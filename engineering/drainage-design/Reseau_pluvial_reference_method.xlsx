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  <sheet name="Profils_RP10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  <font/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1: P01 -&gt; P02 -&gt; P03 -&gt;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'Profils_RP100'!$D$9:$D$13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'Profils_RP100'!$E$9:$E$13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'Profils_RP100'!$C$9:$C$13</f>
            </numRef>
          </xVal>
          <yVal>
            <numRef>
              <f>'Profils_RP100'!$G$9:$G$13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2: P04 -&gt; P05 -&gt;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'Profils_RP100'!$D$32:$D$36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'Profils_RP100'!$E$32:$E$36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'Profils_RP100'!$C$32:$C$36</f>
            </numRef>
          </xVal>
          <yVal>
            <numRef>
              <f>'Profils_RP100'!$G$32:$G$36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Branche 3: P010 -&gt; P07 -&gt; P08 -&gt; P09 -&gt; P06 -&gt; RP100 -&gt; PUB (Profil)</a:t>
            </a:r>
          </a:p>
        </rich>
      </tx>
    </title>
    <plotArea>
      <scatterChart>
        <ser>
          <idx val="0"/>
          <order val="0"/>
          <tx>
            <v>Ground</v>
          </tx>
          <spPr>
            <a:ln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'Profils_RP100'!$D$55:$D$61</f>
            </numRef>
          </yVal>
        </ser>
        <ser>
          <idx val="1"/>
          <order val="1"/>
          <tx>
            <v>Invert</v>
          </tx>
          <spPr>
            <a:ln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'Profils_RP100'!$E$55:$E$61</f>
            </numRef>
          </yVal>
        </ser>
        <ser>
          <idx val="2"/>
          <order val="2"/>
          <tx>
            <v>EGL (approx)</v>
          </tx>
          <spPr>
            <a:ln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'Profils_RP100'!$C$55:$C$61</f>
            </numRef>
          </xVal>
          <yVal>
            <numRef>
              <f>'Profils_RP100'!$G$55:$G$61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Station (m)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Elevation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  <row r="27">
      <c r="A27" t="inlineStr">
        <is>
          <t>Topology update (2026-06-26): P03 and P06 connect to RP100; RP100 discharges to public network.</t>
        </is>
      </c>
    </row>
    <row r="28">
      <c r="A28" t="inlineStr">
        <is>
          <t>Removed wrong links: no P01-P04, no P04-P07, no P05-P08.</t>
        </is>
      </c>
    </row>
    <row r="29">
      <c r="A29" t="inlineStr">
        <is>
          <t>Flow unit fix applied: Q_local uses 2.78E-7 with Area in m2.</t>
        </is>
      </c>
    </row>
    <row r="30">
      <c r="A30" t="inlineStr">
        <is>
          <t>New tab Profils_RP100: branch profiles to RP100/PUB with Ground, Invert, Crown and EGL (approx).</t>
        </is>
      </c>
    </row>
    <row r="31">
      <c r="A31" t="inlineStr">
        <is>
          <t>Conduites_plan_noeuds now highlights non-compliant inputs in red (V/W/AC/AD/P and CHECK status).</t>
        </is>
      </c>
    </row>
    <row r="32">
      <c r="A32" s="16" t="inlineStr">
        <is>
          <t>ENCADRE REGLEMENTAIRE - VILLE DE SOREL-TRACY (REFERENCE PROJET)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17" t="inlineStr">
        <is>
          <t>Source: Reglement no 2098 - branchements a l egout (document municipal public).</t>
        </is>
      </c>
      <c r="B33" s="4" t="n"/>
      <c r="C33" s="4" t="n"/>
      <c r="D33" s="4" t="n"/>
      <c r="E33" s="4" t="n"/>
      <c r="F33" s="4" t="n"/>
      <c r="G33" s="4" t="n"/>
      <c r="H33" s="4" t="n"/>
    </row>
    <row r="34">
      <c r="A34" s="18" t="inlineStr">
        <is>
          <t>Art. 14 (branchement gravitaire): couverture minimale de 2,15 m sous le terrain fini a l emprise de rue.</t>
        </is>
      </c>
      <c r="B34" s="4" t="n"/>
      <c r="C34" s="4" t="n"/>
      <c r="D34" s="4" t="n"/>
      <c r="E34" s="4" t="n"/>
      <c r="F34" s="4" t="n"/>
      <c r="G34" s="4" t="n"/>
      <c r="H34" s="4" t="n"/>
    </row>
    <row r="35">
      <c r="A35" s="19" t="inlineStr">
        <is>
          <t>Art. 10: le proprietaire doit demander a la Ville la profondeur et la localisation exactes de la canalisation municipale.</t>
        </is>
      </c>
      <c r="B35" s="4" t="n"/>
      <c r="C35" s="4" t="n"/>
      <c r="D35" s="4" t="n"/>
      <c r="E35" s="4" t="n"/>
      <c r="F35" s="4" t="n"/>
      <c r="G35" s="4" t="n"/>
      <c r="H35" s="4" t="n"/>
    </row>
    <row r="36">
      <c r="A36" s="17" t="inlineStr">
        <is>
          <t>Interpretation pratique pour ce classeur: utiliser 2,15 m comme garde minimale initiale de branchement, puis confirmer avec le Service du genie/Travaux publics.</t>
        </is>
      </c>
      <c r="B36" s="4" t="n"/>
      <c r="C36" s="4" t="n"/>
      <c r="D36" s="4" t="n"/>
      <c r="E36" s="4" t="n"/>
      <c r="F36" s="4" t="n"/>
      <c r="G36" s="4" t="n"/>
      <c r="H36" s="4" t="n"/>
    </row>
    <row r="37">
      <c r="A37" s="17" t="inlineStr">
        <is>
          <t>Important: les valeurs finales de radiers/profils doivent toujours etre validees par les donnees officielles de la Ville (plans/as-built/TQC).</t>
        </is>
      </c>
      <c r="B37" s="4" t="n"/>
      <c r="C37" s="4" t="n"/>
      <c r="D37" s="4" t="n"/>
      <c r="E37" s="4" t="n"/>
      <c r="F37" s="4" t="n"/>
      <c r="G37" s="4" t="n"/>
      <c r="H37" s="4" t="n"/>
    </row>
    <row r="39">
      <c r="A39" s="20" t="inlineStr">
        <is>
          <t>Note modelisation: Inputs!B19 reste parametre de projet; pour branchement Sorel-Tracy, verifier si 2,15 m doit s appliquer au segment considere.</t>
        </is>
      </c>
      <c r="B39" s="4" t="n"/>
      <c r="C39" s="4" t="n"/>
      <c r="D39" s="4" t="n"/>
      <c r="E39" s="4" t="n"/>
      <c r="F39" s="4" t="n"/>
      <c r="G39" s="4" t="n"/>
      <c r="H39" s="4" t="n"/>
    </row>
  </sheetData>
  <mergeCells count="8">
    <mergeCell ref="A39:H39"/>
    <mergeCell ref="A35:H35"/>
    <mergeCell ref="A33:H33"/>
    <mergeCell ref="A36:H36"/>
    <mergeCell ref="A1:H1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L11_RP100_PUB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AREAS TRIBUTAIRES PAR CATCH BASIN</t>
        </is>
      </c>
    </row>
    <row r="3">
      <c r="A3" s="3" t="inlineStr">
        <is>
          <t>CB_ID</t>
        </is>
      </c>
      <c r="B3" s="3" t="inlineStr">
        <is>
          <t>Receives_into_Pipe_ID</t>
        </is>
      </c>
      <c r="C3" s="3" t="inlineStr">
        <is>
          <t>Area_m2</t>
        </is>
      </c>
      <c r="D3" s="3" t="inlineStr">
        <is>
          <t>Runoff_C</t>
        </is>
      </c>
      <c r="E3" s="3" t="inlineStr">
        <is>
          <t>Area_x_C</t>
        </is>
      </c>
      <c r="F3" s="3" t="inlineStr">
        <is>
          <t>Notes</t>
        </is>
      </c>
    </row>
    <row r="4">
      <c r="A4" s="4" t="n"/>
      <c r="B4" s="4" t="n"/>
      <c r="C4" s="8" t="n"/>
      <c r="D4" s="9" t="n"/>
      <c r="E4" s="8">
        <f>IF(OR(C4="",D4=""),"",C4*D4)</f>
        <v/>
      </c>
      <c r="F4" s="4" t="n"/>
    </row>
    <row r="5">
      <c r="A5" s="4" t="n"/>
      <c r="B5" s="4" t="n"/>
      <c r="C5" s="8" t="n"/>
      <c r="D5" s="9" t="n"/>
      <c r="E5" s="8">
        <f>IF(OR(C5="",D5=""),"",C5*D5)</f>
        <v/>
      </c>
      <c r="F5" s="4" t="n"/>
    </row>
    <row r="6">
      <c r="A6" s="4" t="n"/>
      <c r="B6" s="4" t="n"/>
      <c r="C6" s="8" t="n"/>
      <c r="D6" s="9" t="n"/>
      <c r="E6" s="8">
        <f>IF(OR(C6="",D6=""),"",C6*D6)</f>
        <v/>
      </c>
      <c r="F6" s="4" t="n"/>
    </row>
    <row r="7">
      <c r="A7" s="4" t="n"/>
      <c r="B7" s="4" t="n"/>
      <c r="C7" s="8" t="n"/>
      <c r="D7" s="9" t="n"/>
      <c r="E7" s="8">
        <f>IF(OR(C7="",D7=""),"",C7*D7)</f>
        <v/>
      </c>
      <c r="F7" s="4" t="n"/>
    </row>
    <row r="8">
      <c r="A8" s="4" t="n"/>
      <c r="B8" s="4" t="n"/>
      <c r="C8" s="8" t="n"/>
      <c r="D8" s="9" t="n"/>
      <c r="E8" s="8">
        <f>IF(OR(C8="",D8=""),"",C8*D8)</f>
        <v/>
      </c>
      <c r="F8" s="4" t="n"/>
    </row>
    <row r="9">
      <c r="A9" s="4" t="n"/>
      <c r="B9" s="4" t="n"/>
      <c r="C9" s="8" t="n"/>
      <c r="D9" s="9" t="n"/>
      <c r="E9" s="8">
        <f>IF(OR(C9="",D9=""),"",C9*D9)</f>
        <v/>
      </c>
      <c r="F9" s="4" t="n"/>
    </row>
    <row r="10">
      <c r="A10" s="4" t="n"/>
      <c r="B10" s="4" t="n"/>
      <c r="C10" s="8" t="n"/>
      <c r="D10" s="9" t="n"/>
      <c r="E10" s="8">
        <f>IF(OR(C10="",D10=""),"",C10*D10)</f>
        <v/>
      </c>
      <c r="F10" s="4" t="n"/>
    </row>
    <row r="11">
      <c r="A11" s="4" t="n"/>
      <c r="B11" s="4" t="n"/>
      <c r="C11" s="8" t="n"/>
      <c r="D11" s="9" t="n"/>
      <c r="E11" s="8">
        <f>IF(OR(C11="",D11=""),"",C11*D11)</f>
        <v/>
      </c>
      <c r="F11" s="4" t="n"/>
    </row>
    <row r="12">
      <c r="A12" s="4" t="n"/>
      <c r="B12" s="4" t="n"/>
      <c r="C12" s="8" t="n"/>
      <c r="D12" s="9" t="n"/>
      <c r="E12" s="8">
        <f>IF(OR(C12="",D12=""),"",C12*D12)</f>
        <v/>
      </c>
      <c r="F12" s="4" t="n"/>
    </row>
    <row r="13">
      <c r="A13" s="4" t="n"/>
      <c r="B13" s="4" t="n"/>
      <c r="C13" s="8" t="n"/>
      <c r="D13" s="9" t="n"/>
      <c r="E13" s="8">
        <f>IF(OR(C13="",D13=""),"",C13*D13)</f>
        <v/>
      </c>
      <c r="F13" s="4" t="n"/>
    </row>
    <row r="14">
      <c r="A14" s="4" t="n"/>
      <c r="B14" s="4" t="n"/>
      <c r="C14" s="8" t="n"/>
      <c r="D14" s="9" t="n"/>
      <c r="E14" s="8">
        <f>IF(OR(C14="",D14=""),"",C14*D14)</f>
        <v/>
      </c>
      <c r="F14" s="4" t="n"/>
    </row>
    <row r="15">
      <c r="A15" s="4" t="n"/>
      <c r="B15" s="4" t="n"/>
      <c r="C15" s="8" t="n"/>
      <c r="D15" s="9" t="n"/>
      <c r="E15" s="8">
        <f>IF(OR(C15="",D15=""),"",C15*D15)</f>
        <v/>
      </c>
      <c r="F15" s="4" t="n"/>
    </row>
    <row r="16">
      <c r="A16" s="4" t="n"/>
      <c r="B16" s="4" t="n"/>
      <c r="C16" s="8" t="n"/>
      <c r="D16" s="9" t="n"/>
      <c r="E16" s="8">
        <f>IF(OR(C16="",D16=""),"",C16*D16)</f>
        <v/>
      </c>
      <c r="F16" s="4" t="n"/>
    </row>
    <row r="17">
      <c r="A17" s="4" t="n"/>
      <c r="B17" s="4" t="n"/>
      <c r="C17" s="8" t="n"/>
      <c r="D17" s="9" t="n"/>
      <c r="E17" s="8">
        <f>IF(OR(C17="",D17=""),"",C17*D17)</f>
        <v/>
      </c>
      <c r="F17" s="4" t="n"/>
    </row>
    <row r="18">
      <c r="A18" s="4" t="n"/>
      <c r="B18" s="4" t="n"/>
      <c r="C18" s="8" t="n"/>
      <c r="D18" s="9" t="n"/>
      <c r="E18" s="8">
        <f>IF(OR(C18="",D18=""),"",C18*D18)</f>
        <v/>
      </c>
      <c r="F18" s="4" t="n"/>
    </row>
    <row r="19">
      <c r="A19" s="4" t="n"/>
      <c r="B19" s="4" t="n"/>
      <c r="C19" s="8" t="n"/>
      <c r="D19" s="9" t="n"/>
      <c r="E19" s="8">
        <f>IF(OR(C19="",D19=""),"",C19*D19)</f>
        <v/>
      </c>
      <c r="F19" s="4" t="n"/>
    </row>
    <row r="20">
      <c r="A20" s="4" t="n"/>
      <c r="B20" s="4" t="n"/>
      <c r="C20" s="8" t="n"/>
      <c r="D20" s="9" t="n"/>
      <c r="E20" s="8">
        <f>IF(OR(C20="",D20=""),"",C20*D20)</f>
        <v/>
      </c>
      <c r="F20" s="4" t="n"/>
    </row>
    <row r="21">
      <c r="A21" s="4" t="n"/>
      <c r="B21" s="4" t="n"/>
      <c r="C21" s="8" t="n"/>
      <c r="D21" s="9" t="n"/>
      <c r="E21" s="8">
        <f>IF(OR(C21="",D21=""),"",C21*D21)</f>
        <v/>
      </c>
      <c r="F21" s="4" t="n"/>
    </row>
    <row r="22">
      <c r="A22" s="4" t="n"/>
      <c r="B22" s="4" t="n"/>
      <c r="C22" s="8" t="n"/>
      <c r="D22" s="9" t="n"/>
      <c r="E22" s="8">
        <f>IF(OR(C22="",D22=""),"",C22*D22)</f>
        <v/>
      </c>
      <c r="F22" s="4" t="n"/>
    </row>
    <row r="23">
      <c r="A23" s="4" t="n"/>
      <c r="B23" s="4" t="n"/>
      <c r="C23" s="8" t="n"/>
      <c r="D23" s="9" t="n"/>
      <c r="E23" s="8">
        <f>IF(OR(C23="",D23=""),"",C23*D23)</f>
        <v/>
      </c>
      <c r="F23" s="4" t="n"/>
    </row>
    <row r="24">
      <c r="A24" s="4" t="n"/>
      <c r="B24" s="4" t="n"/>
      <c r="C24" s="8" t="n"/>
      <c r="D24" s="9" t="n"/>
      <c r="E24" s="8">
        <f>IF(OR(C24="",D24=""),"",C24*D24)</f>
        <v/>
      </c>
      <c r="F24" s="4" t="n"/>
    </row>
    <row r="25">
      <c r="A25" s="4" t="n"/>
      <c r="B25" s="4" t="n"/>
      <c r="C25" s="8" t="n"/>
      <c r="D25" s="9" t="n"/>
      <c r="E25" s="8">
        <f>IF(OR(C25="",D25=""),"",C25*D25)</f>
        <v/>
      </c>
      <c r="F25" s="4" t="n"/>
    </row>
    <row r="26">
      <c r="A26" s="4" t="n"/>
      <c r="B26" s="4" t="n"/>
      <c r="C26" s="8" t="n"/>
      <c r="D26" s="9" t="n"/>
      <c r="E26" s="8">
        <f>IF(OR(C26="",D26=""),"",C26*D26)</f>
        <v/>
      </c>
      <c r="F26" s="4" t="n"/>
    </row>
    <row r="27">
      <c r="A27" s="4" t="n"/>
      <c r="B27" s="4" t="n"/>
      <c r="C27" s="8" t="n"/>
      <c r="D27" s="9" t="n"/>
      <c r="E27" s="8">
        <f>IF(OR(C27="",D27=""),"",C27*D27)</f>
        <v/>
      </c>
      <c r="F27" s="4" t="n"/>
    </row>
    <row r="28">
      <c r="A28" s="4" t="n"/>
      <c r="B28" s="4" t="n"/>
      <c r="C28" s="8" t="n"/>
      <c r="D28" s="9" t="n"/>
      <c r="E28" s="8">
        <f>IF(OR(C28="",D28=""),"",C28*D28)</f>
        <v/>
      </c>
      <c r="F28" s="4" t="n"/>
    </row>
    <row r="29">
      <c r="A29" s="4" t="n"/>
      <c r="B29" s="4" t="n"/>
      <c r="C29" s="8" t="n"/>
      <c r="D29" s="9" t="n"/>
      <c r="E29" s="8">
        <f>IF(OR(C29="",D29=""),"",C29*D29)</f>
        <v/>
      </c>
      <c r="F29" s="4" t="n"/>
    </row>
    <row r="30">
      <c r="A30" s="4" t="n"/>
      <c r="B30" s="4" t="n"/>
      <c r="C30" s="8" t="n"/>
      <c r="D30" s="9" t="n"/>
      <c r="E30" s="8">
        <f>IF(OR(C30="",D30=""),"",C30*D30)</f>
        <v/>
      </c>
      <c r="F30" s="4" t="n"/>
    </row>
    <row r="31">
      <c r="A31" s="4" t="n"/>
      <c r="B31" s="4" t="n"/>
      <c r="C31" s="8" t="n"/>
      <c r="D31" s="9" t="n"/>
      <c r="E31" s="8">
        <f>IF(OR(C31="",D31=""),"",C31*D31)</f>
        <v/>
      </c>
      <c r="F31" s="4" t="n"/>
    </row>
    <row r="32">
      <c r="A32" s="4" t="n"/>
      <c r="B32" s="4" t="n"/>
      <c r="C32" s="8" t="n"/>
      <c r="D32" s="9" t="n"/>
      <c r="E32" s="8">
        <f>IF(OR(C32="",D32=""),"",C32*D32)</f>
        <v/>
      </c>
      <c r="F32" s="4" t="n"/>
    </row>
    <row r="33">
      <c r="A33" s="4" t="n"/>
      <c r="B33" s="4" t="n"/>
      <c r="C33" s="8" t="n"/>
      <c r="D33" s="9" t="n"/>
      <c r="E33" s="8">
        <f>IF(OR(C33="",D33=""),"",C33*D33)</f>
        <v/>
      </c>
      <c r="F33" s="4" t="n"/>
    </row>
    <row r="34">
      <c r="A34" s="4" t="n"/>
      <c r="B34" s="4" t="n"/>
      <c r="C34" s="8" t="n"/>
      <c r="D34" s="9" t="n"/>
      <c r="E34" s="8">
        <f>IF(OR(C34="",D34=""),"",C34*D34)</f>
        <v/>
      </c>
      <c r="F34" s="4" t="n"/>
    </row>
    <row r="35">
      <c r="A35" s="4" t="n"/>
      <c r="B35" s="4" t="n"/>
      <c r="C35" s="8" t="n"/>
      <c r="D35" s="9" t="n"/>
      <c r="E35" s="8">
        <f>IF(OR(C35="",D35=""),"",C35*D35)</f>
        <v/>
      </c>
      <c r="F35" s="4" t="n"/>
    </row>
    <row r="36">
      <c r="A36" s="4" t="n"/>
      <c r="B36" s="4" t="n"/>
      <c r="C36" s="8" t="n"/>
      <c r="D36" s="9" t="n"/>
      <c r="E36" s="8">
        <f>IF(OR(C36="",D36=""),"",C36*D36)</f>
        <v/>
      </c>
      <c r="F36" s="4" t="n"/>
    </row>
    <row r="37">
      <c r="A37" s="4" t="n"/>
      <c r="B37" s="4" t="n"/>
      <c r="C37" s="8" t="n"/>
      <c r="D37" s="9" t="n"/>
      <c r="E37" s="8">
        <f>IF(OR(C37="",D37=""),"",C37*D37)</f>
        <v/>
      </c>
      <c r="F37" s="4" t="n"/>
    </row>
    <row r="38">
      <c r="A38" s="4" t="n"/>
      <c r="B38" s="4" t="n"/>
      <c r="C38" s="8" t="n"/>
      <c r="D38" s="9" t="n"/>
      <c r="E38" s="8">
        <f>IF(OR(C38="",D38=""),"",C38*D38)</f>
        <v/>
      </c>
      <c r="F38" s="4" t="n"/>
    </row>
    <row r="39">
      <c r="A39" s="4" t="n"/>
      <c r="B39" s="4" t="n"/>
      <c r="C39" s="8" t="n"/>
      <c r="D39" s="9" t="n"/>
      <c r="E39" s="8">
        <f>IF(OR(C39="",D39=""),"",C39*D39)</f>
        <v/>
      </c>
      <c r="F39" s="4" t="n"/>
    </row>
    <row r="40">
      <c r="A40" s="4" t="n"/>
      <c r="B40" s="4" t="n"/>
      <c r="C40" s="8" t="n"/>
      <c r="D40" s="9" t="n"/>
      <c r="E40" s="8">
        <f>IF(OR(C40="",D40=""),"",C40*D40)</f>
        <v/>
      </c>
      <c r="F40" s="4" t="n"/>
    </row>
    <row r="41">
      <c r="A41" s="4" t="n"/>
      <c r="B41" s="4" t="n"/>
      <c r="C41" s="8" t="n"/>
      <c r="D41" s="9" t="n"/>
      <c r="E41" s="8">
        <f>IF(OR(C41="",D41=""),"",C41*D41)</f>
        <v/>
      </c>
      <c r="F41" s="4" t="n"/>
    </row>
    <row r="42">
      <c r="A42" s="4" t="n"/>
      <c r="B42" s="4" t="n"/>
      <c r="C42" s="8" t="n"/>
      <c r="D42" s="9" t="n"/>
      <c r="E42" s="8">
        <f>IF(OR(C42="",D42=""),"",C42*D42)</f>
        <v/>
      </c>
      <c r="F42" s="4" t="n"/>
    </row>
    <row r="43">
      <c r="A43" s="4" t="n"/>
      <c r="B43" s="4" t="n"/>
      <c r="C43" s="8" t="n"/>
      <c r="D43" s="9" t="n"/>
      <c r="E43" s="8">
        <f>IF(OR(C43="",D43=""),"",C43*D43)</f>
        <v/>
      </c>
      <c r="F43" s="4" t="n"/>
    </row>
    <row r="44">
      <c r="A44" s="4" t="n"/>
      <c r="B44" s="4" t="n"/>
      <c r="C44" s="8" t="n"/>
      <c r="D44" s="9" t="n"/>
      <c r="E44" s="8">
        <f>IF(OR(C44="",D44=""),"",C44*D44)</f>
        <v/>
      </c>
      <c r="F44" s="4" t="n"/>
    </row>
    <row r="45">
      <c r="A45" s="4" t="n"/>
      <c r="B45" s="4" t="n"/>
      <c r="C45" s="8" t="n"/>
      <c r="D45" s="9" t="n"/>
      <c r="E45" s="8">
        <f>IF(OR(C45="",D45=""),"",C45*D45)</f>
        <v/>
      </c>
      <c r="F45" s="4" t="n"/>
    </row>
    <row r="46">
      <c r="A46" s="4" t="n"/>
      <c r="B46" s="4" t="n"/>
      <c r="C46" s="8" t="n"/>
      <c r="D46" s="9" t="n"/>
      <c r="E46" s="8">
        <f>IF(OR(C46="",D46=""),"",C46*D46)</f>
        <v/>
      </c>
      <c r="F46" s="4" t="n"/>
    </row>
    <row r="47">
      <c r="A47" s="4" t="n"/>
      <c r="B47" s="4" t="n"/>
      <c r="C47" s="8" t="n"/>
      <c r="D47" s="9" t="n"/>
      <c r="E47" s="8">
        <f>IF(OR(C47="",D47=""),"",C47*D47)</f>
        <v/>
      </c>
      <c r="F47" s="4" t="n"/>
    </row>
    <row r="48">
      <c r="A48" s="4" t="n"/>
      <c r="B48" s="4" t="n"/>
      <c r="C48" s="8" t="n"/>
      <c r="D48" s="9" t="n"/>
      <c r="E48" s="8">
        <f>IF(OR(C48="",D48=""),"",C48*D48)</f>
        <v/>
      </c>
      <c r="F48" s="4" t="n"/>
    </row>
    <row r="49">
      <c r="A49" s="4" t="n"/>
      <c r="B49" s="4" t="n"/>
      <c r="C49" s="8" t="n"/>
      <c r="D49" s="9" t="n"/>
      <c r="E49" s="8">
        <f>IF(OR(C49="",D49=""),"",C49*D49)</f>
        <v/>
      </c>
      <c r="F49" s="4" t="n"/>
    </row>
    <row r="50">
      <c r="A50" s="4" t="n"/>
      <c r="B50" s="4" t="n"/>
      <c r="C50" s="8" t="n"/>
      <c r="D50" s="9" t="n"/>
      <c r="E50" s="8">
        <f>IF(OR(C50="",D50=""),"",C50*D50)</f>
        <v/>
      </c>
      <c r="F50" s="4" t="n"/>
    </row>
    <row r="51">
      <c r="A51" s="4" t="n"/>
      <c r="B51" s="4" t="n"/>
      <c r="C51" s="8" t="n"/>
      <c r="D51" s="9" t="n"/>
      <c r="E51" s="8">
        <f>IF(OR(C51="",D51=""),"",C51*D51)</f>
        <v/>
      </c>
      <c r="F51" s="4" t="n"/>
    </row>
    <row r="52">
      <c r="A52" s="4" t="n"/>
      <c r="B52" s="4" t="n"/>
      <c r="C52" s="8" t="n"/>
      <c r="D52" s="9" t="n"/>
      <c r="E52" s="8">
        <f>IF(OR(C52="",D52=""),"",C52*D52)</f>
        <v/>
      </c>
      <c r="F52" s="4" t="n"/>
    </row>
    <row r="53">
      <c r="A53" s="4" t="n"/>
      <c r="B53" s="4" t="n"/>
      <c r="C53" s="8" t="n"/>
      <c r="D53" s="9" t="n"/>
      <c r="E53" s="8">
        <f>IF(OR(C53="",D53=""),"",C53*D53)</f>
        <v/>
      </c>
      <c r="F53" s="4" t="n"/>
    </row>
    <row r="54">
      <c r="A54" s="4" t="n"/>
      <c r="B54" s="4" t="n"/>
      <c r="C54" s="8" t="n"/>
      <c r="D54" s="9" t="n"/>
      <c r="E54" s="8">
        <f>IF(OR(C54="",D54=""),"",C54*D54)</f>
        <v/>
      </c>
      <c r="F54" s="4" t="n"/>
    </row>
    <row r="55">
      <c r="A55" s="4" t="n"/>
      <c r="B55" s="4" t="n"/>
      <c r="C55" s="8" t="n"/>
      <c r="D55" s="9" t="n"/>
      <c r="E55" s="8">
        <f>IF(OR(C55="",D55=""),"",C55*D55)</f>
        <v/>
      </c>
      <c r="F55" s="4" t="n"/>
    </row>
    <row r="56">
      <c r="A56" s="4" t="n"/>
      <c r="B56" s="4" t="n"/>
      <c r="C56" s="8" t="n"/>
      <c r="D56" s="9" t="n"/>
      <c r="E56" s="8">
        <f>IF(OR(C56="",D56=""),"",C56*D56)</f>
        <v/>
      </c>
      <c r="F56" s="4" t="n"/>
    </row>
    <row r="57">
      <c r="A57" s="4" t="n"/>
      <c r="B57" s="4" t="n"/>
      <c r="C57" s="8" t="n"/>
      <c r="D57" s="9" t="n"/>
      <c r="E57" s="8">
        <f>IF(OR(C57="",D57=""),"",C57*D57)</f>
        <v/>
      </c>
      <c r="F57" s="4" t="n"/>
    </row>
    <row r="58">
      <c r="A58" s="4" t="n"/>
      <c r="B58" s="4" t="n"/>
      <c r="C58" s="8" t="n"/>
      <c r="D58" s="9" t="n"/>
      <c r="E58" s="8">
        <f>IF(OR(C58="",D58=""),"",C58*D58)</f>
        <v/>
      </c>
      <c r="F58" s="4" t="n"/>
    </row>
    <row r="59">
      <c r="A59" s="4" t="n"/>
      <c r="B59" s="4" t="n"/>
      <c r="C59" s="8" t="n"/>
      <c r="D59" s="9" t="n"/>
      <c r="E59" s="8">
        <f>IF(OR(C59="",D59=""),"",C59*D59)</f>
        <v/>
      </c>
      <c r="F59" s="4" t="n"/>
    </row>
    <row r="60">
      <c r="A60" s="4" t="n"/>
      <c r="B60" s="4" t="n"/>
      <c r="C60" s="8" t="n"/>
      <c r="D60" s="9" t="n"/>
      <c r="E60" s="8">
        <f>IF(OR(C60="",D60=""),"",C60*D60)</f>
        <v/>
      </c>
      <c r="F60" s="4" t="n"/>
    </row>
    <row r="61">
      <c r="A61" s="4" t="n"/>
      <c r="B61" s="4" t="n"/>
      <c r="C61" s="8" t="n"/>
      <c r="D61" s="9" t="n"/>
      <c r="E61" s="8">
        <f>IF(OR(C61="",D61=""),"",C61*D61)</f>
        <v/>
      </c>
      <c r="F61" s="4" t="n"/>
    </row>
    <row r="62">
      <c r="A62" s="4" t="n"/>
      <c r="B62" s="4" t="n"/>
      <c r="C62" s="8" t="n"/>
      <c r="D62" s="9" t="n"/>
      <c r="E62" s="8">
        <f>IF(OR(C62="",D62=""),"",C62*D62)</f>
        <v/>
      </c>
      <c r="F62" s="4" t="n"/>
    </row>
    <row r="63">
      <c r="A63" s="4" t="n"/>
      <c r="B63" s="4" t="n"/>
      <c r="C63" s="8" t="n"/>
      <c r="D63" s="9" t="n"/>
      <c r="E63" s="8">
        <f>IF(OR(C63="",D63=""),"",C63*D63)</f>
        <v/>
      </c>
      <c r="F63" s="4" t="n"/>
    </row>
    <row r="64">
      <c r="A64" s="4" t="n"/>
      <c r="B64" s="4" t="n"/>
      <c r="C64" s="8" t="n"/>
      <c r="D64" s="9" t="n"/>
      <c r="E64" s="8">
        <f>IF(OR(C64="",D64=""),"",C64*D64)</f>
        <v/>
      </c>
      <c r="F64" s="4" t="n"/>
    </row>
    <row r="65">
      <c r="A65" s="4" t="n"/>
      <c r="B65" s="4" t="n"/>
      <c r="C65" s="8" t="n"/>
      <c r="D65" s="9" t="n"/>
      <c r="E65" s="8">
        <f>IF(OR(C65="",D65=""),"",C65*D65)</f>
        <v/>
      </c>
      <c r="F65" s="4" t="n"/>
    </row>
    <row r="66">
      <c r="A66" s="4" t="n"/>
      <c r="B66" s="4" t="n"/>
      <c r="C66" s="8" t="n"/>
      <c r="D66" s="9" t="n"/>
      <c r="E66" s="8">
        <f>IF(OR(C66="",D66=""),"",C66*D66)</f>
        <v/>
      </c>
      <c r="F66" s="4" t="n"/>
    </row>
    <row r="67">
      <c r="A67" s="4" t="n"/>
      <c r="B67" s="4" t="n"/>
      <c r="C67" s="8" t="n"/>
      <c r="D67" s="9" t="n"/>
      <c r="E67" s="8">
        <f>IF(OR(C67="",D67=""),"",C67*D67)</f>
        <v/>
      </c>
      <c r="F67" s="4" t="n"/>
    </row>
    <row r="68">
      <c r="A68" s="4" t="n"/>
      <c r="B68" s="4" t="n"/>
      <c r="C68" s="8" t="n"/>
      <c r="D68" s="9" t="n"/>
      <c r="E68" s="8">
        <f>IF(OR(C68="",D68=""),"",C68*D68)</f>
        <v/>
      </c>
      <c r="F68" s="4" t="n"/>
    </row>
    <row r="69">
      <c r="A69" s="4" t="n"/>
      <c r="B69" s="4" t="n"/>
      <c r="C69" s="8" t="n"/>
      <c r="D69" s="9" t="n"/>
      <c r="E69" s="8">
        <f>IF(OR(C69="",D69=""),"",C69*D69)</f>
        <v/>
      </c>
      <c r="F69" s="4" t="n"/>
    </row>
    <row r="70">
      <c r="A70" s="4" t="n"/>
      <c r="B70" s="4" t="n"/>
      <c r="C70" s="8" t="n"/>
      <c r="D70" s="9" t="n"/>
      <c r="E70" s="8">
        <f>IF(OR(C70="",D70=""),"",C70*D70)</f>
        <v/>
      </c>
      <c r="F70" s="4" t="n"/>
    </row>
    <row r="71">
      <c r="A71" s="4" t="n"/>
      <c r="B71" s="4" t="n"/>
      <c r="C71" s="8" t="n"/>
      <c r="D71" s="9" t="n"/>
      <c r="E71" s="8">
        <f>IF(OR(C71="",D71=""),"",C71*D71)</f>
        <v/>
      </c>
      <c r="F71" s="4" t="n"/>
    </row>
    <row r="72">
      <c r="A72" s="4" t="n"/>
      <c r="B72" s="4" t="n"/>
      <c r="C72" s="8" t="n"/>
      <c r="D72" s="9" t="n"/>
      <c r="E72" s="8">
        <f>IF(OR(C72="",D72=""),"",C72*D72)</f>
        <v/>
      </c>
      <c r="F72" s="4" t="n"/>
    </row>
    <row r="73">
      <c r="A73" s="4" t="n"/>
      <c r="B73" s="4" t="n"/>
      <c r="C73" s="8" t="n"/>
      <c r="D73" s="9" t="n"/>
      <c r="E73" s="8">
        <f>IF(OR(C73="",D73=""),"",C73*D73)</f>
        <v/>
      </c>
      <c r="F73" s="4" t="n"/>
    </row>
    <row r="74">
      <c r="A74" s="4" t="n"/>
      <c r="B74" s="4" t="n"/>
      <c r="C74" s="8" t="n"/>
      <c r="D74" s="9" t="n"/>
      <c r="E74" s="8">
        <f>IF(OR(C74="",D74=""),"",C74*D74)</f>
        <v/>
      </c>
      <c r="F74" s="4" t="n"/>
    </row>
    <row r="75">
      <c r="A75" s="4" t="n"/>
      <c r="B75" s="4" t="n"/>
      <c r="C75" s="8" t="n"/>
      <c r="D75" s="9" t="n"/>
      <c r="E75" s="8">
        <f>IF(OR(C75="",D75=""),"",C75*D75)</f>
        <v/>
      </c>
      <c r="F75" s="4" t="n"/>
    </row>
    <row r="76">
      <c r="A76" s="4" t="n"/>
      <c r="B76" s="4" t="n"/>
      <c r="C76" s="8" t="n"/>
      <c r="D76" s="9" t="n"/>
      <c r="E76" s="8">
        <f>IF(OR(C76="",D76=""),"",C76*D76)</f>
        <v/>
      </c>
      <c r="F76" s="4" t="n"/>
    </row>
    <row r="77">
      <c r="A77" s="4" t="n"/>
      <c r="B77" s="4" t="n"/>
      <c r="C77" s="8" t="n"/>
      <c r="D77" s="9" t="n"/>
      <c r="E77" s="8">
        <f>IF(OR(C77="",D77=""),"",C77*D77)</f>
        <v/>
      </c>
      <c r="F77" s="4" t="n"/>
    </row>
    <row r="78">
      <c r="A78" s="4" t="n"/>
      <c r="B78" s="4" t="n"/>
      <c r="C78" s="8" t="n"/>
      <c r="D78" s="9" t="n"/>
      <c r="E78" s="8">
        <f>IF(OR(C78="",D78=""),"",C78*D78)</f>
        <v/>
      </c>
      <c r="F78" s="4" t="n"/>
    </row>
    <row r="79">
      <c r="A79" s="4" t="n"/>
      <c r="B79" s="4" t="n"/>
      <c r="C79" s="8" t="n"/>
      <c r="D79" s="9" t="n"/>
      <c r="E79" s="8">
        <f>IF(OR(C79="",D79=""),"",C79*D79)</f>
        <v/>
      </c>
      <c r="F79" s="4" t="n"/>
    </row>
    <row r="80">
      <c r="A80" s="4" t="n"/>
      <c r="B80" s="4" t="n"/>
      <c r="C80" s="8" t="n"/>
      <c r="D80" s="9" t="n"/>
      <c r="E80" s="8">
        <f>IF(OR(C80="",D80=""),"",C80*D80)</f>
        <v/>
      </c>
      <c r="F80" s="4" t="n"/>
    </row>
    <row r="81">
      <c r="A81" s="4" t="n"/>
      <c r="B81" s="4" t="n"/>
      <c r="C81" s="8" t="n"/>
      <c r="D81" s="9" t="n"/>
      <c r="E81" s="8">
        <f>IF(OR(C81="",D81=""),"",C81*D81)</f>
        <v/>
      </c>
      <c r="F81" s="4" t="n"/>
    </row>
    <row r="82">
      <c r="A82" s="4" t="n"/>
      <c r="B82" s="4" t="n"/>
      <c r="C82" s="8" t="n"/>
      <c r="D82" s="9" t="n"/>
      <c r="E82" s="8">
        <f>IF(OR(C82="",D82=""),"",C82*D82)</f>
        <v/>
      </c>
      <c r="F82" s="4" t="n"/>
    </row>
    <row r="83">
      <c r="A83" s="4" t="n"/>
      <c r="B83" s="4" t="n"/>
      <c r="C83" s="8" t="n"/>
      <c r="D83" s="9" t="n"/>
      <c r="E83" s="8">
        <f>IF(OR(C83="",D83=""),"",C83*D83)</f>
        <v/>
      </c>
      <c r="F83" s="4" t="n"/>
    </row>
    <row r="84">
      <c r="A84" s="4" t="n"/>
      <c r="B84" s="4" t="n"/>
      <c r="C84" s="8" t="n"/>
      <c r="D84" s="9" t="n"/>
      <c r="E84" s="8">
        <f>IF(OR(C84="",D84=""),"",C84*D84)</f>
        <v/>
      </c>
      <c r="F84" s="4" t="n"/>
    </row>
    <row r="85">
      <c r="A85" s="4" t="n"/>
      <c r="B85" s="4" t="n"/>
      <c r="C85" s="8" t="n"/>
      <c r="D85" s="9" t="n"/>
      <c r="E85" s="8">
        <f>IF(OR(C85="",D85=""),"",C85*D85)</f>
        <v/>
      </c>
      <c r="F85" s="4" t="n"/>
    </row>
    <row r="86">
      <c r="A86" s="4" t="n"/>
      <c r="B86" s="4" t="n"/>
      <c r="C86" s="8" t="n"/>
      <c r="D86" s="9" t="n"/>
      <c r="E86" s="8">
        <f>IF(OR(C86="",D86=""),"",C86*D86)</f>
        <v/>
      </c>
      <c r="F86" s="4" t="n"/>
    </row>
    <row r="87">
      <c r="A87" s="4" t="n"/>
      <c r="B87" s="4" t="n"/>
      <c r="C87" s="8" t="n"/>
      <c r="D87" s="9" t="n"/>
      <c r="E87" s="8">
        <f>IF(OR(C87="",D87=""),"",C87*D87)</f>
        <v/>
      </c>
      <c r="F87" s="4" t="n"/>
    </row>
    <row r="88">
      <c r="A88" s="4" t="n"/>
      <c r="B88" s="4" t="n"/>
      <c r="C88" s="8" t="n"/>
      <c r="D88" s="9" t="n"/>
      <c r="E88" s="8">
        <f>IF(OR(C88="",D88=""),"",C88*D88)</f>
        <v/>
      </c>
      <c r="F88" s="4" t="n"/>
    </row>
    <row r="89">
      <c r="A89" s="4" t="n"/>
      <c r="B89" s="4" t="n"/>
      <c r="C89" s="8" t="n"/>
      <c r="D89" s="9" t="n"/>
      <c r="E89" s="8">
        <f>IF(OR(C89="",D89=""),"",C89*D89)</f>
        <v/>
      </c>
      <c r="F89" s="4" t="n"/>
    </row>
    <row r="90">
      <c r="A90" s="4" t="n"/>
      <c r="B90" s="4" t="n"/>
      <c r="C90" s="8" t="n"/>
      <c r="D90" s="9" t="n"/>
      <c r="E90" s="8">
        <f>IF(OR(C90="",D90=""),"",C90*D90)</f>
        <v/>
      </c>
      <c r="F90" s="4" t="n"/>
    </row>
    <row r="91">
      <c r="A91" s="4" t="n"/>
      <c r="B91" s="4" t="n"/>
      <c r="C91" s="8" t="n"/>
      <c r="D91" s="9" t="n"/>
      <c r="E91" s="8">
        <f>IF(OR(C91="",D91=""),"",C91*D91)</f>
        <v/>
      </c>
      <c r="F91" s="4" t="n"/>
    </row>
    <row r="92">
      <c r="A92" s="4" t="n"/>
      <c r="B92" s="4" t="n"/>
      <c r="C92" s="8" t="n"/>
      <c r="D92" s="9" t="n"/>
      <c r="E92" s="8">
        <f>IF(OR(C92="",D92=""),"",C92*D92)</f>
        <v/>
      </c>
      <c r="F92" s="4" t="n"/>
    </row>
    <row r="93">
      <c r="A93" s="4" t="n"/>
      <c r="B93" s="4" t="n"/>
      <c r="C93" s="8" t="n"/>
      <c r="D93" s="9" t="n"/>
      <c r="E93" s="8">
        <f>IF(OR(C93="",D93=""),"",C93*D93)</f>
        <v/>
      </c>
      <c r="F93" s="4" t="n"/>
    </row>
    <row r="94">
      <c r="A94" s="4" t="n"/>
      <c r="B94" s="4" t="n"/>
      <c r="C94" s="8" t="n"/>
      <c r="D94" s="9" t="n"/>
      <c r="E94" s="8">
        <f>IF(OR(C94="",D94=""),"",C94*D94)</f>
        <v/>
      </c>
      <c r="F94" s="4" t="n"/>
    </row>
    <row r="95">
      <c r="A95" s="4" t="n"/>
      <c r="B95" s="4" t="n"/>
      <c r="C95" s="8" t="n"/>
      <c r="D95" s="9" t="n"/>
      <c r="E95" s="8">
        <f>IF(OR(C95="",D95=""),"",C95*D95)</f>
        <v/>
      </c>
      <c r="F95" s="4" t="n"/>
    </row>
    <row r="96">
      <c r="A96" s="4" t="n"/>
      <c r="B96" s="4" t="n"/>
      <c r="C96" s="8" t="n"/>
      <c r="D96" s="9" t="n"/>
      <c r="E96" s="8">
        <f>IF(OR(C96="",D96=""),"",C96*D96)</f>
        <v/>
      </c>
      <c r="F96" s="4" t="n"/>
    </row>
    <row r="97">
      <c r="A97" s="4" t="n"/>
      <c r="B97" s="4" t="n"/>
      <c r="C97" s="8" t="n"/>
      <c r="D97" s="9" t="n"/>
      <c r="E97" s="8">
        <f>IF(OR(C97="",D97=""),"",C97*D97)</f>
        <v/>
      </c>
      <c r="F97" s="4" t="n"/>
    </row>
    <row r="98">
      <c r="A98" s="4" t="n"/>
      <c r="B98" s="4" t="n"/>
      <c r="C98" s="8" t="n"/>
      <c r="D98" s="9" t="n"/>
      <c r="E98" s="8">
        <f>IF(OR(C98="",D98=""),"",C98*D98)</f>
        <v/>
      </c>
      <c r="F98" s="4" t="n"/>
    </row>
    <row r="99">
      <c r="A99" s="4" t="n"/>
      <c r="B99" s="4" t="n"/>
      <c r="C99" s="8" t="n"/>
      <c r="D99" s="9" t="n"/>
      <c r="E99" s="8">
        <f>IF(OR(C99="",D99=""),"",C99*D99)</f>
        <v/>
      </c>
      <c r="F99" s="4" t="n"/>
    </row>
    <row r="100">
      <c r="A100" s="4" t="n"/>
      <c r="B100" s="4" t="n"/>
      <c r="C100" s="8" t="n"/>
      <c r="D100" s="9" t="n"/>
      <c r="E100" s="8">
        <f>IF(OR(C100="",D100=""),"",C100*D100)</f>
        <v/>
      </c>
      <c r="F100" s="4" t="n"/>
    </row>
    <row r="101">
      <c r="A101" s="4" t="n"/>
      <c r="B101" s="4" t="n"/>
      <c r="C101" s="8" t="n"/>
      <c r="D101" s="9" t="n"/>
      <c r="E101" s="8">
        <f>IF(OR(C101="",D101=""),"",C101*D101)</f>
        <v/>
      </c>
      <c r="F101" s="4" t="n"/>
    </row>
    <row r="102">
      <c r="A102" s="4" t="n"/>
      <c r="B102" s="4" t="n"/>
      <c r="C102" s="8" t="n"/>
      <c r="D102" s="9" t="n"/>
      <c r="E102" s="8">
        <f>IF(OR(C102="",D102=""),"",C102*D102)</f>
        <v/>
      </c>
      <c r="F102" s="4" t="n"/>
    </row>
    <row r="103">
      <c r="A103" s="4" t="n"/>
      <c r="B103" s="4" t="n"/>
      <c r="C103" s="8" t="n"/>
      <c r="D103" s="9" t="n"/>
      <c r="E103" s="8">
        <f>IF(OR(C103="",D103=""),"",C103*D103)</f>
        <v/>
      </c>
      <c r="F103" s="4" t="n"/>
    </row>
    <row r="104">
      <c r="A104" s="4" t="n"/>
      <c r="B104" s="4" t="n"/>
      <c r="C104" s="8" t="n"/>
      <c r="D104" s="9" t="n"/>
      <c r="E104" s="8">
        <f>IF(OR(C104="",D104=""),"",C104*D104)</f>
        <v/>
      </c>
      <c r="F104" s="4" t="n"/>
    </row>
    <row r="105">
      <c r="A105" s="4" t="n"/>
      <c r="B105" s="4" t="n"/>
      <c r="C105" s="8" t="n"/>
      <c r="D105" s="9" t="n"/>
      <c r="E105" s="8">
        <f>IF(OR(C105="",D105=""),"",C105*D105)</f>
        <v/>
      </c>
      <c r="F105" s="4" t="n"/>
    </row>
    <row r="106">
      <c r="A106" s="4" t="n"/>
      <c r="B106" s="4" t="n"/>
      <c r="C106" s="8" t="n"/>
      <c r="D106" s="9" t="n"/>
      <c r="E106" s="8">
        <f>IF(OR(C106="",D106=""),"",C106*D106)</f>
        <v/>
      </c>
      <c r="F106" s="4" t="n"/>
    </row>
    <row r="107">
      <c r="A107" s="4" t="n"/>
      <c r="B107" s="4" t="n"/>
      <c r="C107" s="8" t="n"/>
      <c r="D107" s="9" t="n"/>
      <c r="E107" s="8">
        <f>IF(OR(C107="",D107=""),"",C107*D107)</f>
        <v/>
      </c>
      <c r="F107" s="4" t="n"/>
    </row>
    <row r="108">
      <c r="A108" s="4" t="n"/>
      <c r="B108" s="4" t="n"/>
      <c r="C108" s="8" t="n"/>
      <c r="D108" s="9" t="n"/>
      <c r="E108" s="8">
        <f>IF(OR(C108="",D108=""),"",C108*D108)</f>
        <v/>
      </c>
      <c r="F108" s="4" t="n"/>
    </row>
    <row r="109">
      <c r="A109" s="4" t="n"/>
      <c r="B109" s="4" t="n"/>
      <c r="C109" s="8" t="n"/>
      <c r="D109" s="9" t="n"/>
      <c r="E109" s="8">
        <f>IF(OR(C109="",D109=""),"",C109*D109)</f>
        <v/>
      </c>
      <c r="F109" s="4" t="n"/>
    </row>
    <row r="110">
      <c r="A110" s="4" t="n"/>
      <c r="B110" s="4" t="n"/>
      <c r="C110" s="8" t="n"/>
      <c r="D110" s="9" t="n"/>
      <c r="E110" s="8">
        <f>IF(OR(C110="",D110=""),"",C110*D110)</f>
        <v/>
      </c>
      <c r="F110" s="4" t="n"/>
    </row>
    <row r="111">
      <c r="A111" s="4" t="n"/>
      <c r="B111" s="4" t="n"/>
      <c r="C111" s="8" t="n"/>
      <c r="D111" s="9" t="n"/>
      <c r="E111" s="8">
        <f>IF(OR(C111="",D111=""),"",C111*D111)</f>
        <v/>
      </c>
      <c r="F111" s="4" t="n"/>
    </row>
    <row r="112">
      <c r="A112" s="4" t="n"/>
      <c r="B112" s="4" t="n"/>
      <c r="C112" s="8" t="n"/>
      <c r="D112" s="9" t="n"/>
      <c r="E112" s="8">
        <f>IF(OR(C112="",D112=""),"",C112*D112)</f>
        <v/>
      </c>
      <c r="F112" s="4" t="n"/>
    </row>
    <row r="113">
      <c r="A113" s="4" t="n"/>
      <c r="B113" s="4" t="n"/>
      <c r="C113" s="8" t="n"/>
      <c r="D113" s="9" t="n"/>
      <c r="E113" s="8">
        <f>IF(OR(C113="",D113=""),"",C113*D113)</f>
        <v/>
      </c>
      <c r="F113" s="4" t="n"/>
    </row>
    <row r="114">
      <c r="A114" s="4" t="n"/>
      <c r="B114" s="4" t="n"/>
      <c r="C114" s="8" t="n"/>
      <c r="D114" s="9" t="n"/>
      <c r="E114" s="8">
        <f>IF(OR(C114="",D114=""),"",C114*D114)</f>
        <v/>
      </c>
      <c r="F114" s="4" t="n"/>
    </row>
    <row r="115">
      <c r="A115" s="4" t="n"/>
      <c r="B115" s="4" t="n"/>
      <c r="C115" s="8" t="n"/>
      <c r="D115" s="9" t="n"/>
      <c r="E115" s="8">
        <f>IF(OR(C115="",D115=""),"",C115*D115)</f>
        <v/>
      </c>
      <c r="F115" s="4" t="n"/>
    </row>
    <row r="116">
      <c r="A116" s="4" t="n"/>
      <c r="B116" s="4" t="n"/>
      <c r="C116" s="8" t="n"/>
      <c r="D116" s="9" t="n"/>
      <c r="E116" s="8">
        <f>IF(OR(C116="",D116=""),"",C116*D116)</f>
        <v/>
      </c>
      <c r="F116" s="4" t="n"/>
    </row>
    <row r="117">
      <c r="A117" s="4" t="n"/>
      <c r="B117" s="4" t="n"/>
      <c r="C117" s="8" t="n"/>
      <c r="D117" s="9" t="n"/>
      <c r="E117" s="8">
        <f>IF(OR(C117="",D117=""),"",C117*D117)</f>
        <v/>
      </c>
      <c r="F117" s="4" t="n"/>
    </row>
    <row r="118">
      <c r="A118" s="4" t="n"/>
      <c r="B118" s="4" t="n"/>
      <c r="C118" s="8" t="n"/>
      <c r="D118" s="9" t="n"/>
      <c r="E118" s="8">
        <f>IF(OR(C118="",D118=""),"",C118*D118)</f>
        <v/>
      </c>
      <c r="F118" s="4" t="n"/>
    </row>
    <row r="119">
      <c r="A119" s="4" t="n"/>
      <c r="B119" s="4" t="n"/>
      <c r="C119" s="8" t="n"/>
      <c r="D119" s="9" t="n"/>
      <c r="E119" s="8">
        <f>IF(OR(C119="",D119=""),"",C119*D119)</f>
        <v/>
      </c>
      <c r="F119" s="4" t="n"/>
    </row>
    <row r="120">
      <c r="A120" s="4" t="n"/>
      <c r="B120" s="4" t="n"/>
      <c r="C120" s="8" t="n"/>
      <c r="D120" s="9" t="n"/>
      <c r="E120" s="8">
        <f>IF(OR(C120="",D120=""),"",C120*D120)</f>
        <v/>
      </c>
      <c r="F120" s="4" t="n"/>
    </row>
    <row r="121">
      <c r="A121" s="4" t="n"/>
      <c r="B121" s="4" t="n"/>
      <c r="C121" s="8" t="n"/>
      <c r="D121" s="9" t="n"/>
      <c r="E121" s="8">
        <f>IF(OR(C121="",D121=""),"",C121*D121)</f>
        <v/>
      </c>
      <c r="F121" s="4" t="n"/>
    </row>
    <row r="122">
      <c r="A122" s="4" t="n"/>
      <c r="B122" s="4" t="n"/>
      <c r="C122" s="8" t="n"/>
      <c r="D122" s="9" t="n"/>
      <c r="E122" s="8">
        <f>IF(OR(C122="",D122=""),"",C122*D122)</f>
        <v/>
      </c>
      <c r="F122" s="4" t="n"/>
    </row>
    <row r="123">
      <c r="A123" s="4" t="n"/>
      <c r="B123" s="4" t="n"/>
      <c r="C123" s="8" t="n"/>
      <c r="D123" s="9" t="n"/>
      <c r="E123" s="8">
        <f>IF(OR(C123="",D123=""),"",C123*D123)</f>
        <v/>
      </c>
      <c r="F123" s="4" t="n"/>
    </row>
    <row r="124">
      <c r="A124" s="4" t="n"/>
      <c r="B124" s="4" t="n"/>
      <c r="C124" s="8" t="n"/>
      <c r="D124" s="9" t="n"/>
      <c r="E124" s="8">
        <f>IF(OR(C124="",D124=""),"",C124*D124)</f>
        <v/>
      </c>
      <c r="F124" s="4" t="n"/>
    </row>
    <row r="125">
      <c r="A125" s="4" t="n"/>
      <c r="B125" s="4" t="n"/>
      <c r="C125" s="8" t="n"/>
      <c r="D125" s="9" t="n"/>
      <c r="E125" s="8">
        <f>IF(OR(C125="",D125=""),"",C125*D125)</f>
        <v/>
      </c>
      <c r="F125" s="4" t="n"/>
    </row>
    <row r="126">
      <c r="A126" s="4" t="n"/>
      <c r="B126" s="4" t="n"/>
      <c r="C126" s="8" t="n"/>
      <c r="D126" s="9" t="n"/>
      <c r="E126" s="8">
        <f>IF(OR(C126="",D126=""),"",C126*D126)</f>
        <v/>
      </c>
      <c r="F126" s="4" t="n"/>
    </row>
    <row r="127">
      <c r="A127" s="4" t="n"/>
      <c r="B127" s="4" t="n"/>
      <c r="C127" s="8" t="n"/>
      <c r="D127" s="9" t="n"/>
      <c r="E127" s="8">
        <f>IF(OR(C127="",D127=""),"",C127*D127)</f>
        <v/>
      </c>
      <c r="F127" s="4" t="n"/>
    </row>
    <row r="128">
      <c r="A128" s="4" t="n"/>
      <c r="B128" s="4" t="n"/>
      <c r="C128" s="8" t="n"/>
      <c r="D128" s="9" t="n"/>
      <c r="E128" s="8">
        <f>IF(OR(C128="",D128=""),"",C128*D128)</f>
        <v/>
      </c>
      <c r="F128" s="4" t="n"/>
    </row>
    <row r="129">
      <c r="A129" s="4" t="n"/>
      <c r="B129" s="4" t="n"/>
      <c r="C129" s="8" t="n"/>
      <c r="D129" s="9" t="n"/>
      <c r="E129" s="8">
        <f>IF(OR(C129="",D129=""),"",C129*D129)</f>
        <v/>
      </c>
      <c r="F129" s="4" t="n"/>
    </row>
    <row r="130">
      <c r="A130" s="4" t="n"/>
      <c r="B130" s="4" t="n"/>
      <c r="C130" s="8" t="n"/>
      <c r="D130" s="9" t="n"/>
      <c r="E130" s="8">
        <f>IF(OR(C130="",D130=""),"",C130*D130)</f>
        <v/>
      </c>
      <c r="F130" s="4" t="n"/>
    </row>
    <row r="131">
      <c r="A131" s="4" t="n"/>
      <c r="B131" s="4" t="n"/>
      <c r="C131" s="8" t="n"/>
      <c r="D131" s="9" t="n"/>
      <c r="E131" s="8">
        <f>IF(OR(C131="",D131=""),"",C131*D131)</f>
        <v/>
      </c>
      <c r="F131" s="4" t="n"/>
    </row>
    <row r="132">
      <c r="A132" s="4" t="n"/>
      <c r="B132" s="4" t="n"/>
      <c r="C132" s="8" t="n"/>
      <c r="D132" s="9" t="n"/>
      <c r="E132" s="8">
        <f>IF(OR(C132="",D132=""),"",C132*D132)</f>
        <v/>
      </c>
      <c r="F132" s="4" t="n"/>
    </row>
    <row r="133">
      <c r="A133" s="4" t="n"/>
      <c r="B133" s="4" t="n"/>
      <c r="C133" s="8" t="n"/>
      <c r="D133" s="9" t="n"/>
      <c r="E133" s="8">
        <f>IF(OR(C133="",D133=""),"",C133*D133)</f>
        <v/>
      </c>
      <c r="F133" s="4" t="n"/>
    </row>
    <row r="134">
      <c r="A134" s="4" t="n"/>
      <c r="B134" s="4" t="n"/>
      <c r="C134" s="8" t="n"/>
      <c r="D134" s="9" t="n"/>
      <c r="E134" s="8">
        <f>IF(OR(C134="",D134=""),"",C134*D134)</f>
        <v/>
      </c>
      <c r="F134" s="4" t="n"/>
    </row>
    <row r="135">
      <c r="A135" s="4" t="n"/>
      <c r="B135" s="4" t="n"/>
      <c r="C135" s="8" t="n"/>
      <c r="D135" s="9" t="n"/>
      <c r="E135" s="8">
        <f>IF(OR(C135="",D135=""),"",C135*D135)</f>
        <v/>
      </c>
      <c r="F135" s="4" t="n"/>
    </row>
    <row r="136">
      <c r="A136" s="4" t="n"/>
      <c r="B136" s="4" t="n"/>
      <c r="C136" s="8" t="n"/>
      <c r="D136" s="9" t="n"/>
      <c r="E136" s="8">
        <f>IF(OR(C136="",D136=""),"",C136*D136)</f>
        <v/>
      </c>
      <c r="F136" s="4" t="n"/>
    </row>
    <row r="137">
      <c r="A137" s="4" t="n"/>
      <c r="B137" s="4" t="n"/>
      <c r="C137" s="8" t="n"/>
      <c r="D137" s="9" t="n"/>
      <c r="E137" s="8">
        <f>IF(OR(C137="",D137=""),"",C137*D137)</f>
        <v/>
      </c>
      <c r="F137" s="4" t="n"/>
    </row>
    <row r="138">
      <c r="A138" s="4" t="n"/>
      <c r="B138" s="4" t="n"/>
      <c r="C138" s="8" t="n"/>
      <c r="D138" s="9" t="n"/>
      <c r="E138" s="8">
        <f>IF(OR(C138="",D138=""),"",C138*D138)</f>
        <v/>
      </c>
      <c r="F138" s="4" t="n"/>
    </row>
    <row r="139">
      <c r="A139" s="4" t="n"/>
      <c r="B139" s="4" t="n"/>
      <c r="C139" s="8" t="n"/>
      <c r="D139" s="9" t="n"/>
      <c r="E139" s="8">
        <f>IF(OR(C139="",D139=""),"",C139*D139)</f>
        <v/>
      </c>
      <c r="F139" s="4" t="n"/>
    </row>
    <row r="140">
      <c r="A140" s="4" t="n"/>
      <c r="B140" s="4" t="n"/>
      <c r="C140" s="8" t="n"/>
      <c r="D140" s="9" t="n"/>
      <c r="E140" s="8">
        <f>IF(OR(C140="",D140=""),"",C140*D140)</f>
        <v/>
      </c>
      <c r="F140" s="4" t="n"/>
    </row>
    <row r="141">
      <c r="A141" s="4" t="n"/>
      <c r="B141" s="4" t="n"/>
      <c r="C141" s="8" t="n"/>
      <c r="D141" s="9" t="n"/>
      <c r="E141" s="8">
        <f>IF(OR(C141="",D141=""),"",C141*D141)</f>
        <v/>
      </c>
      <c r="F141" s="4" t="n"/>
    </row>
    <row r="142">
      <c r="A142" s="4" t="n"/>
      <c r="B142" s="4" t="n"/>
      <c r="C142" s="8" t="n"/>
      <c r="D142" s="9" t="n"/>
      <c r="E142" s="8">
        <f>IF(OR(C142="",D142=""),"",C142*D142)</f>
        <v/>
      </c>
      <c r="F142" s="4" t="n"/>
    </row>
    <row r="143">
      <c r="A143" s="4" t="n"/>
      <c r="B143" s="4" t="n"/>
      <c r="C143" s="8" t="n"/>
      <c r="D143" s="9" t="n"/>
      <c r="E143" s="8">
        <f>IF(OR(C143="",D143=""),"",C143*D143)</f>
        <v/>
      </c>
      <c r="F143" s="4" t="n"/>
    </row>
    <row r="144">
      <c r="A144" s="4" t="n"/>
      <c r="B144" s="4" t="n"/>
      <c r="C144" s="8" t="n"/>
      <c r="D144" s="9" t="n"/>
      <c r="E144" s="8">
        <f>IF(OR(C144="",D144=""),"",C144*D144)</f>
        <v/>
      </c>
      <c r="F144" s="4" t="n"/>
    </row>
    <row r="145">
      <c r="A145" s="4" t="n"/>
      <c r="B145" s="4" t="n"/>
      <c r="C145" s="8" t="n"/>
      <c r="D145" s="9" t="n"/>
      <c r="E145" s="8">
        <f>IF(OR(C145="",D145=""),"",C145*D145)</f>
        <v/>
      </c>
      <c r="F145" s="4" t="n"/>
    </row>
    <row r="146">
      <c r="A146" s="4" t="n"/>
      <c r="B146" s="4" t="n"/>
      <c r="C146" s="8" t="n"/>
      <c r="D146" s="9" t="n"/>
      <c r="E146" s="8">
        <f>IF(OR(C146="",D146=""),"",C146*D146)</f>
        <v/>
      </c>
      <c r="F146" s="4" t="n"/>
    </row>
    <row r="147">
      <c r="A147" s="4" t="n"/>
      <c r="B147" s="4" t="n"/>
      <c r="C147" s="8" t="n"/>
      <c r="D147" s="9" t="n"/>
      <c r="E147" s="8">
        <f>IF(OR(C147="",D147=""),"",C147*D147)</f>
        <v/>
      </c>
      <c r="F147" s="4" t="n"/>
    </row>
    <row r="148">
      <c r="A148" s="4" t="n"/>
      <c r="B148" s="4" t="n"/>
      <c r="C148" s="8" t="n"/>
      <c r="D148" s="9" t="n"/>
      <c r="E148" s="8">
        <f>IF(OR(C148="",D148=""),"",C148*D148)</f>
        <v/>
      </c>
      <c r="F148" s="4" t="n"/>
    </row>
    <row r="149">
      <c r="A149" s="4" t="n"/>
      <c r="B149" s="4" t="n"/>
      <c r="C149" s="8" t="n"/>
      <c r="D149" s="9" t="n"/>
      <c r="E149" s="8">
        <f>IF(OR(C149="",D149=""),"",C149*D149)</f>
        <v/>
      </c>
      <c r="F149" s="4" t="n"/>
    </row>
    <row r="150">
      <c r="A150" s="4" t="n"/>
      <c r="B150" s="4" t="n"/>
      <c r="C150" s="8" t="n"/>
      <c r="D150" s="9" t="n"/>
      <c r="E150" s="8">
        <f>IF(OR(C150="",D150=""),"",C150*D150)</f>
        <v/>
      </c>
      <c r="F150" s="4" t="n"/>
    </row>
    <row r="151">
      <c r="A151" s="4" t="n"/>
      <c r="B151" s="4" t="n"/>
      <c r="C151" s="8" t="n"/>
      <c r="D151" s="9" t="n"/>
      <c r="E151" s="8">
        <f>IF(OR(C151="",D151=""),"",C151*D151)</f>
        <v/>
      </c>
      <c r="F151" s="4" t="n"/>
    </row>
    <row r="152">
      <c r="A152" s="4" t="n"/>
      <c r="B152" s="4" t="n"/>
      <c r="C152" s="8" t="n"/>
      <c r="D152" s="9" t="n"/>
      <c r="E152" s="8">
        <f>IF(OR(C152="",D152=""),"",C152*D152)</f>
        <v/>
      </c>
      <c r="F152" s="4" t="n"/>
    </row>
    <row r="153">
      <c r="A153" s="4" t="n"/>
      <c r="B153" s="4" t="n"/>
      <c r="C153" s="8" t="n"/>
      <c r="D153" s="9" t="n"/>
      <c r="E153" s="8">
        <f>IF(OR(C153="",D153=""),"",C153*D153)</f>
        <v/>
      </c>
      <c r="F153" s="4" t="n"/>
    </row>
    <row r="154">
      <c r="A154" s="4" t="n"/>
      <c r="B154" s="4" t="n"/>
      <c r="C154" s="8" t="n"/>
      <c r="D154" s="9" t="n"/>
      <c r="E154" s="8">
        <f>IF(OR(C154="",D154=""),"",C154*D154)</f>
        <v/>
      </c>
      <c r="F154" s="4" t="n"/>
    </row>
    <row r="155">
      <c r="A155" s="4" t="n"/>
      <c r="B155" s="4" t="n"/>
      <c r="C155" s="8" t="n"/>
      <c r="D155" s="9" t="n"/>
      <c r="E155" s="8">
        <f>IF(OR(C155="",D155=""),"",C155*D155)</f>
        <v/>
      </c>
      <c r="F155" s="4" t="n"/>
    </row>
    <row r="156">
      <c r="A156" s="4" t="n"/>
      <c r="B156" s="4" t="n"/>
      <c r="C156" s="8" t="n"/>
      <c r="D156" s="9" t="n"/>
      <c r="E156" s="8">
        <f>IF(OR(C156="",D156=""),"",C156*D156)</f>
        <v/>
      </c>
      <c r="F156" s="4" t="n"/>
    </row>
    <row r="157">
      <c r="A157" s="4" t="n"/>
      <c r="B157" s="4" t="n"/>
      <c r="C157" s="8" t="n"/>
      <c r="D157" s="9" t="n"/>
      <c r="E157" s="8">
        <f>IF(OR(C157="",D157=""),"",C157*D157)</f>
        <v/>
      </c>
      <c r="F157" s="4" t="n"/>
    </row>
    <row r="158">
      <c r="A158" s="4" t="n"/>
      <c r="B158" s="4" t="n"/>
      <c r="C158" s="8" t="n"/>
      <c r="D158" s="9" t="n"/>
      <c r="E158" s="8">
        <f>IF(OR(C158="",D158=""),"",C158*D158)</f>
        <v/>
      </c>
      <c r="F158" s="4" t="n"/>
    </row>
    <row r="159">
      <c r="A159" s="4" t="n"/>
      <c r="B159" s="4" t="n"/>
      <c r="C159" s="8" t="n"/>
      <c r="D159" s="9" t="n"/>
      <c r="E159" s="8">
        <f>IF(OR(C159="",D159=""),"",C159*D159)</f>
        <v/>
      </c>
      <c r="F159" s="4" t="n"/>
    </row>
    <row r="160">
      <c r="A160" s="4" t="n"/>
      <c r="B160" s="4" t="n"/>
      <c r="C160" s="8" t="n"/>
      <c r="D160" s="9" t="n"/>
      <c r="E160" s="8">
        <f>IF(OR(C160="",D160=""),"",C160*D160)</f>
        <v/>
      </c>
      <c r="F160" s="4" t="n"/>
    </row>
    <row r="161">
      <c r="A161" s="4" t="n"/>
      <c r="B161" s="4" t="n"/>
      <c r="C161" s="8" t="n"/>
      <c r="D161" s="9" t="n"/>
      <c r="E161" s="8">
        <f>IF(OR(C161="",D161=""),"",C161*D161)</f>
        <v/>
      </c>
      <c r="F161" s="4" t="n"/>
    </row>
    <row r="162">
      <c r="A162" s="4" t="n"/>
      <c r="B162" s="4" t="n"/>
      <c r="C162" s="8" t="n"/>
      <c r="D162" s="9" t="n"/>
      <c r="E162" s="8">
        <f>IF(OR(C162="",D162=""),"",C162*D162)</f>
        <v/>
      </c>
      <c r="F162" s="4" t="n"/>
    </row>
    <row r="163">
      <c r="A163" s="4" t="n"/>
      <c r="B163" s="4" t="n"/>
      <c r="C163" s="8" t="n"/>
      <c r="D163" s="9" t="n"/>
      <c r="E163" s="8">
        <f>IF(OR(C163="",D163=""),"",C163*D163)</f>
        <v/>
      </c>
      <c r="F163" s="4" t="n"/>
    </row>
    <row r="164">
      <c r="A164" s="4" t="n"/>
      <c r="B164" s="4" t="n"/>
      <c r="C164" s="8" t="n"/>
      <c r="D164" s="9" t="n"/>
      <c r="E164" s="8">
        <f>IF(OR(C164="",D164=""),"",C164*D164)</f>
        <v/>
      </c>
      <c r="F164" s="4" t="n"/>
    </row>
    <row r="165">
      <c r="A165" s="4" t="n"/>
      <c r="B165" s="4" t="n"/>
      <c r="C165" s="8" t="n"/>
      <c r="D165" s="9" t="n"/>
      <c r="E165" s="8">
        <f>IF(OR(C165="",D165=""),"",C165*D165)</f>
        <v/>
      </c>
      <c r="F165" s="4" t="n"/>
    </row>
    <row r="166">
      <c r="A166" s="4" t="n"/>
      <c r="B166" s="4" t="n"/>
      <c r="C166" s="8" t="n"/>
      <c r="D166" s="9" t="n"/>
      <c r="E166" s="8">
        <f>IF(OR(C166="",D166=""),"",C166*D166)</f>
        <v/>
      </c>
      <c r="F166" s="4" t="n"/>
    </row>
    <row r="167">
      <c r="A167" s="4" t="n"/>
      <c r="B167" s="4" t="n"/>
      <c r="C167" s="8" t="n"/>
      <c r="D167" s="9" t="n"/>
      <c r="E167" s="8">
        <f>IF(OR(C167="",D167=""),"",C167*D167)</f>
        <v/>
      </c>
      <c r="F167" s="4" t="n"/>
    </row>
    <row r="168">
      <c r="A168" s="4" t="n"/>
      <c r="B168" s="4" t="n"/>
      <c r="C168" s="8" t="n"/>
      <c r="D168" s="9" t="n"/>
      <c r="E168" s="8">
        <f>IF(OR(C168="",D168=""),"",C168*D168)</f>
        <v/>
      </c>
      <c r="F168" s="4" t="n"/>
    </row>
    <row r="169">
      <c r="A169" s="4" t="n"/>
      <c r="B169" s="4" t="n"/>
      <c r="C169" s="8" t="n"/>
      <c r="D169" s="9" t="n"/>
      <c r="E169" s="8">
        <f>IF(OR(C169="",D169=""),"",C169*D169)</f>
        <v/>
      </c>
      <c r="F169" s="4" t="n"/>
    </row>
    <row r="170">
      <c r="A170" s="4" t="n"/>
      <c r="B170" s="4" t="n"/>
      <c r="C170" s="8" t="n"/>
      <c r="D170" s="9" t="n"/>
      <c r="E170" s="8">
        <f>IF(OR(C170="",D170=""),"",C170*D170)</f>
        <v/>
      </c>
      <c r="F170" s="4" t="n"/>
    </row>
    <row r="171">
      <c r="A171" s="4" t="n"/>
      <c r="B171" s="4" t="n"/>
      <c r="C171" s="8" t="n"/>
      <c r="D171" s="9" t="n"/>
      <c r="E171" s="8">
        <f>IF(OR(C171="",D171=""),"",C171*D171)</f>
        <v/>
      </c>
      <c r="F171" s="4" t="n"/>
    </row>
    <row r="172">
      <c r="A172" s="4" t="n"/>
      <c r="B172" s="4" t="n"/>
      <c r="C172" s="8" t="n"/>
      <c r="D172" s="9" t="n"/>
      <c r="E172" s="8">
        <f>IF(OR(C172="",D172=""),"",C172*D172)</f>
        <v/>
      </c>
      <c r="F172" s="4" t="n"/>
    </row>
    <row r="173">
      <c r="A173" s="4" t="n"/>
      <c r="B173" s="4" t="n"/>
      <c r="C173" s="8" t="n"/>
      <c r="D173" s="9" t="n"/>
      <c r="E173" s="8">
        <f>IF(OR(C173="",D173=""),"",C173*D173)</f>
        <v/>
      </c>
      <c r="F173" s="4" t="n"/>
    </row>
    <row r="174">
      <c r="A174" s="4" t="n"/>
      <c r="B174" s="4" t="n"/>
      <c r="C174" s="8" t="n"/>
      <c r="D174" s="9" t="n"/>
      <c r="E174" s="8">
        <f>IF(OR(C174="",D174=""),"",C174*D174)</f>
        <v/>
      </c>
      <c r="F174" s="4" t="n"/>
    </row>
    <row r="175">
      <c r="A175" s="4" t="n"/>
      <c r="B175" s="4" t="n"/>
      <c r="C175" s="8" t="n"/>
      <c r="D175" s="9" t="n"/>
      <c r="E175" s="8">
        <f>IF(OR(C175="",D175=""),"",C175*D175)</f>
        <v/>
      </c>
      <c r="F175" s="4" t="n"/>
    </row>
    <row r="176">
      <c r="A176" s="4" t="n"/>
      <c r="B176" s="4" t="n"/>
      <c r="C176" s="8" t="n"/>
      <c r="D176" s="9" t="n"/>
      <c r="E176" s="8">
        <f>IF(OR(C176="",D176=""),"",C176*D176)</f>
        <v/>
      </c>
      <c r="F176" s="4" t="n"/>
    </row>
    <row r="177">
      <c r="A177" s="4" t="n"/>
      <c r="B177" s="4" t="n"/>
      <c r="C177" s="8" t="n"/>
      <c r="D177" s="9" t="n"/>
      <c r="E177" s="8">
        <f>IF(OR(C177="",D177=""),"",C177*D177)</f>
        <v/>
      </c>
      <c r="F177" s="4" t="n"/>
    </row>
    <row r="178">
      <c r="A178" s="4" t="n"/>
      <c r="B178" s="4" t="n"/>
      <c r="C178" s="8" t="n"/>
      <c r="D178" s="9" t="n"/>
      <c r="E178" s="8">
        <f>IF(OR(C178="",D178=""),"",C178*D178)</f>
        <v/>
      </c>
      <c r="F178" s="4" t="n"/>
    </row>
    <row r="179">
      <c r="A179" s="4" t="n"/>
      <c r="B179" s="4" t="n"/>
      <c r="C179" s="8" t="n"/>
      <c r="D179" s="9" t="n"/>
      <c r="E179" s="8">
        <f>IF(OR(C179="",D179=""),"",C179*D179)</f>
        <v/>
      </c>
      <c r="F179" s="4" t="n"/>
    </row>
    <row r="180">
      <c r="A180" s="4" t="n"/>
      <c r="B180" s="4" t="n"/>
      <c r="C180" s="8" t="n"/>
      <c r="D180" s="9" t="n"/>
      <c r="E180" s="8">
        <f>IF(OR(C180="",D180=""),"",C180*D180)</f>
        <v/>
      </c>
      <c r="F180" s="4" t="n"/>
    </row>
    <row r="181">
      <c r="A181" s="4" t="n"/>
      <c r="B181" s="4" t="n"/>
      <c r="C181" s="8" t="n"/>
      <c r="D181" s="9" t="n"/>
      <c r="E181" s="8">
        <f>IF(OR(C181="",D181=""),"",C181*D181)</f>
        <v/>
      </c>
      <c r="F181" s="4" t="n"/>
    </row>
    <row r="182">
      <c r="A182" s="4" t="n"/>
      <c r="B182" s="4" t="n"/>
      <c r="C182" s="8" t="n"/>
      <c r="D182" s="9" t="n"/>
      <c r="E182" s="8">
        <f>IF(OR(C182="",D182=""),"",C182*D182)</f>
        <v/>
      </c>
      <c r="F182" s="4" t="n"/>
    </row>
    <row r="183">
      <c r="A183" s="4" t="n"/>
      <c r="B183" s="4" t="n"/>
      <c r="C183" s="8" t="n"/>
      <c r="D183" s="9" t="n"/>
      <c r="E183" s="8">
        <f>IF(OR(C183="",D183=""),"",C183*D183)</f>
        <v/>
      </c>
      <c r="F183" s="4" t="n"/>
    </row>
    <row r="184">
      <c r="A184" s="4" t="n"/>
      <c r="B184" s="4" t="n"/>
      <c r="C184" s="8" t="n"/>
      <c r="D184" s="9" t="n"/>
      <c r="E184" s="8">
        <f>IF(OR(C184="",D184=""),"",C184*D184)</f>
        <v/>
      </c>
      <c r="F184" s="4" t="n"/>
    </row>
    <row r="185">
      <c r="A185" s="4" t="n"/>
      <c r="B185" s="4" t="n"/>
      <c r="C185" s="8" t="n"/>
      <c r="D185" s="9" t="n"/>
      <c r="E185" s="8">
        <f>IF(OR(C185="",D185=""),"",C185*D185)</f>
        <v/>
      </c>
      <c r="F185" s="4" t="n"/>
    </row>
    <row r="186">
      <c r="A186" s="4" t="n"/>
      <c r="B186" s="4" t="n"/>
      <c r="C186" s="8" t="n"/>
      <c r="D186" s="9" t="n"/>
      <c r="E186" s="8">
        <f>IF(OR(C186="",D186=""),"",C186*D186)</f>
        <v/>
      </c>
      <c r="F186" s="4" t="n"/>
    </row>
    <row r="187">
      <c r="A187" s="4" t="n"/>
      <c r="B187" s="4" t="n"/>
      <c r="C187" s="8" t="n"/>
      <c r="D187" s="9" t="n"/>
      <c r="E187" s="8">
        <f>IF(OR(C187="",D187=""),"",C187*D187)</f>
        <v/>
      </c>
      <c r="F187" s="4" t="n"/>
    </row>
    <row r="188">
      <c r="A188" s="4" t="n"/>
      <c r="B188" s="4" t="n"/>
      <c r="C188" s="8" t="n"/>
      <c r="D188" s="9" t="n"/>
      <c r="E188" s="8">
        <f>IF(OR(C188="",D188=""),"",C188*D188)</f>
        <v/>
      </c>
      <c r="F188" s="4" t="n"/>
    </row>
    <row r="189">
      <c r="A189" s="4" t="n"/>
      <c r="B189" s="4" t="n"/>
      <c r="C189" s="8" t="n"/>
      <c r="D189" s="9" t="n"/>
      <c r="E189" s="8">
        <f>IF(OR(C189="",D189=""),"",C189*D189)</f>
        <v/>
      </c>
      <c r="F189" s="4" t="n"/>
    </row>
    <row r="190">
      <c r="A190" s="4" t="n"/>
      <c r="B190" s="4" t="n"/>
      <c r="C190" s="8" t="n"/>
      <c r="D190" s="9" t="n"/>
      <c r="E190" s="8">
        <f>IF(OR(C190="",D190=""),"",C190*D190)</f>
        <v/>
      </c>
      <c r="F190" s="4" t="n"/>
    </row>
    <row r="191">
      <c r="A191" s="4" t="n"/>
      <c r="B191" s="4" t="n"/>
      <c r="C191" s="8" t="n"/>
      <c r="D191" s="9" t="n"/>
      <c r="E191" s="8">
        <f>IF(OR(C191="",D191=""),"",C191*D191)</f>
        <v/>
      </c>
      <c r="F191" s="4" t="n"/>
    </row>
    <row r="192">
      <c r="A192" s="4" t="n"/>
      <c r="B192" s="4" t="n"/>
      <c r="C192" s="8" t="n"/>
      <c r="D192" s="9" t="n"/>
      <c r="E192" s="8">
        <f>IF(OR(C192="",D192=""),"",C192*D192)</f>
        <v/>
      </c>
      <c r="F192" s="4" t="n"/>
    </row>
    <row r="193">
      <c r="A193" s="4" t="n"/>
      <c r="B193" s="4" t="n"/>
      <c r="C193" s="8" t="n"/>
      <c r="D193" s="9" t="n"/>
      <c r="E193" s="8">
        <f>IF(OR(C193="",D193=""),"",C193*D193)</f>
        <v/>
      </c>
      <c r="F193" s="4" t="n"/>
    </row>
    <row r="194">
      <c r="A194" s="4" t="n"/>
      <c r="B194" s="4" t="n"/>
      <c r="C194" s="8" t="n"/>
      <c r="D194" s="9" t="n"/>
      <c r="E194" s="8">
        <f>IF(OR(C194="",D194=""),"",C194*D194)</f>
        <v/>
      </c>
      <c r="F194" s="4" t="n"/>
    </row>
    <row r="195">
      <c r="A195" s="4" t="n"/>
      <c r="B195" s="4" t="n"/>
      <c r="C195" s="8" t="n"/>
      <c r="D195" s="9" t="n"/>
      <c r="E195" s="8">
        <f>IF(OR(C195="",D195=""),"",C195*D195)</f>
        <v/>
      </c>
      <c r="F195" s="4" t="n"/>
    </row>
    <row r="196">
      <c r="A196" s="4" t="n"/>
      <c r="B196" s="4" t="n"/>
      <c r="C196" s="8" t="n"/>
      <c r="D196" s="9" t="n"/>
      <c r="E196" s="8">
        <f>IF(OR(C196="",D196=""),"",C196*D196)</f>
        <v/>
      </c>
      <c r="F196" s="4" t="n"/>
    </row>
    <row r="197">
      <c r="A197" s="4" t="n"/>
      <c r="B197" s="4" t="n"/>
      <c r="C197" s="8" t="n"/>
      <c r="D197" s="9" t="n"/>
      <c r="E197" s="8">
        <f>IF(OR(C197="",D197=""),"",C197*D197)</f>
        <v/>
      </c>
      <c r="F197" s="4" t="n"/>
    </row>
    <row r="198">
      <c r="A198" s="4" t="n"/>
      <c r="B198" s="4" t="n"/>
      <c r="C198" s="8" t="n"/>
      <c r="D198" s="9" t="n"/>
      <c r="E198" s="8">
        <f>IF(OR(C198="",D198=""),"",C198*D198)</f>
        <v/>
      </c>
      <c r="F198" s="4" t="n"/>
    </row>
    <row r="199">
      <c r="A199" s="4" t="n"/>
      <c r="B199" s="4" t="n"/>
      <c r="C199" s="8" t="n"/>
      <c r="D199" s="9" t="n"/>
      <c r="E199" s="8">
        <f>IF(OR(C199="",D199=""),"",C199*D199)</f>
        <v/>
      </c>
      <c r="F199" s="4" t="n"/>
    </row>
    <row r="200">
      <c r="A200" s="4" t="n"/>
      <c r="B200" s="4" t="n"/>
      <c r="C200" s="8" t="n"/>
      <c r="D200" s="9" t="n"/>
      <c r="E200" s="8">
        <f>IF(OR(C200="",D200=""),"",C200*D200)</f>
        <v/>
      </c>
      <c r="F200" s="4" t="n"/>
    </row>
    <row r="201">
      <c r="A201" s="4" t="n"/>
      <c r="B201" s="4" t="n"/>
      <c r="C201" s="8" t="n"/>
      <c r="D201" s="9" t="n"/>
      <c r="E201" s="8">
        <f>IF(OR(C201="",D201=""),"",C201*D201)</f>
        <v/>
      </c>
      <c r="F201" s="4" t="n"/>
    </row>
    <row r="202">
      <c r="A202" s="4" t="n"/>
      <c r="B202" s="4" t="n"/>
      <c r="C202" s="8" t="n"/>
      <c r="D202" s="9" t="n"/>
      <c r="E202" s="8">
        <f>IF(OR(C202="",D202=""),"",C202*D202)</f>
        <v/>
      </c>
      <c r="F202" s="4" t="n"/>
    </row>
    <row r="203">
      <c r="A203" s="4" t="n"/>
      <c r="B203" s="4" t="n"/>
      <c r="C203" s="8" t="n"/>
      <c r="D203" s="9" t="n"/>
      <c r="E203" s="8">
        <f>IF(OR(C203="",D203=""),"",C203*D203)</f>
        <v/>
      </c>
      <c r="F203" s="4" t="n"/>
    </row>
    <row r="204">
      <c r="A204" s="4" t="n"/>
      <c r="B204" s="4" t="n"/>
      <c r="C204" s="8" t="n"/>
      <c r="D204" s="9" t="n"/>
      <c r="E204" s="8">
        <f>IF(OR(C204="",D204=""),"",C204*D204)</f>
        <v/>
      </c>
      <c r="F204" s="4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SUMIFS(CB_Tributaires!$C:$C,CB_Tributaires!$B:$B,$A4)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IF(A4="","",2.78E-7*IF(G4="",Inputs!$B$17,G4)*F4*I4)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IF(A4="","",IF(OR(T4&gt;1,U4&lt;Inputs!$B$11,U4&gt;Inputs!$B$12,AA4&lt;Inputs!$B$19,AB4&lt;Inputs!$B$19,N4&lt;Inputs!$B$7,N4&gt;Inputs!$B$8),"CHECK","OK"))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SUMIFS(CB_Tributaires!$C:$C,CB_Tributaires!$B:$B,$A5)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IF(A5="","",2.78E-7*IF(G5="",Inputs!$B$17,G5)*F5*I5)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IF(A5="","",IF(OR(T5&gt;1,U5&lt;Inputs!$B$11,U5&gt;Inputs!$B$12,AA5&lt;Inputs!$B$19,AB5&lt;Inputs!$B$19,N5&lt;Inputs!$B$7,N5&gt;Inputs!$B$8),"CHECK","OK"))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SUMIFS(CB_Tributaires!$C:$C,CB_Tributaires!$B:$B,$A6)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IF(A6="","",2.78E-7*IF(G6="",Inputs!$B$17,G6)*F6*I6)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IF(A6="","",IF(OR(T6&gt;1,U6&lt;Inputs!$B$11,U6&gt;Inputs!$B$12,AA6&lt;Inputs!$B$19,AB6&lt;Inputs!$B$19,N6&lt;Inputs!$B$7,N6&gt;Inputs!$B$8),"CHECK","OK"))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SUMIFS(CB_Tributaires!$C:$C,CB_Tributaires!$B:$B,$A7)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IF(A7="","",2.78E-7*IF(G7="",Inputs!$B$17,G7)*F7*I7)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IF(A7="","",IF(OR(T7&gt;1,U7&lt;Inputs!$B$11,U7&gt;Inputs!$B$12,AA7&lt;Inputs!$B$19,AB7&lt;Inputs!$B$19,N7&lt;Inputs!$B$7,N7&gt;Inputs!$B$8),"CHECK","OK"))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SUMIFS(CB_Tributaires!$C:$C,CB_Tributaires!$B:$B,$A8)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IF(A8="","",2.78E-7*IF(G8="",Inputs!$B$17,G8)*F8*I8)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IF(A8="","",IF(OR(T8&gt;1,U8&lt;Inputs!$B$11,U8&gt;Inputs!$B$12,AA8&lt;Inputs!$B$19,AB8&lt;Inputs!$B$19,N8&lt;Inputs!$B$7,N8&gt;Inputs!$B$8),"CHECK","OK"))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SUMIFS(CB_Tributaires!$C:$C,CB_Tributaires!$B:$B,$A9)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IF(A9="","",2.78E-7*IF(G9="",Inputs!$B$17,G9)*F9*I9)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IF(A9="","",IF(OR(T9&gt;1,U9&lt;Inputs!$B$11,U9&gt;Inputs!$B$12,AA9&lt;Inputs!$B$19,AB9&lt;Inputs!$B$19,N9&lt;Inputs!$B$7,N9&gt;Inputs!$B$8),"CHECK","OK"))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SUMIFS(CB_Tributaires!$C:$C,CB_Tributaires!$B:$B,$A10)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IF(A10="","",2.78E-7*IF(G10="",Inputs!$B$17,G10)*F10*I10)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IF(A10="","",IF(OR(T10&gt;1,U10&lt;Inputs!$B$11,U10&gt;Inputs!$B$12,AA10&lt;Inputs!$B$19,AB10&lt;Inputs!$B$19,N10&lt;Inputs!$B$7,N10&gt;Inputs!$B$8),"CHECK","OK"))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SUMIFS(CB_Tributaires!$C:$C,CB_Tributaires!$B:$B,$A11)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IF(A11="","",2.78E-7*IF(G11="",Inputs!$B$17,G11)*F11*I11)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IF(A11="","",IF(OR(T11&gt;1,U11&lt;Inputs!$B$11,U11&gt;Inputs!$B$12,AA11&lt;Inputs!$B$19,AB11&lt;Inputs!$B$19,N11&lt;Inputs!$B$7,N11&gt;Inputs!$B$8),"CHECK","OK"))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SUMIFS(CB_Tributaires!$C:$C,CB_Tributaires!$B:$B,$A12)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IF(A12="","",2.78E-7*IF(G12="",Inputs!$B$17,G12)*F12*I12)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IF(A12="","",IF(OR(T12&gt;1,U12&lt;Inputs!$B$11,U12&gt;Inputs!$B$12,AA12&lt;Inputs!$B$19,AB12&lt;Inputs!$B$19,N12&lt;Inputs!$B$7,N12&gt;Inputs!$B$8),"CHECK","OK"))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SUMIFS(CB_Tributaires!$C:$C,CB_Tributaires!$B:$B,$A13)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IF(A13="","",2.78E-7*IF(G13="",Inputs!$B$17,G13)*F13*I13)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IF(A13="","",IF(OR(T13&gt;1,U13&lt;Inputs!$B$11,U13&gt;Inputs!$B$12,AA13&lt;Inputs!$B$19,AB13&lt;Inputs!$B$19,N13&lt;Inputs!$B$7,N13&gt;Inputs!$B$8),"CHECK","OK"))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SUMIFS(CB_Tributaires!$C:$C,CB_Tributaires!$B:$B,$A14)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IF(A14="","",2.78E-7*IF(G14="",Inputs!$B$17,G14)*F14*I14)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IF(A14="","",IF(OR(T14&gt;1,U14&lt;Inputs!$B$11,U14&gt;Inputs!$B$12,AA14&lt;Inputs!$B$19,AB14&lt;Inputs!$B$19,N14&lt;Inputs!$B$7,N14&gt;Inputs!$B$8),"CHECK","OK"))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</row>
    <row r="15">
      <c r="A15" s="4" t="n"/>
      <c r="B15" s="4" t="n"/>
      <c r="C15" s="8" t="n"/>
      <c r="D15" s="8" t="n"/>
      <c r="E15" s="8">
        <f>SUMIFS(CB_Tributaires!$C:$C,CB_Tributaires!$B:$B,$A15)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IF(A15="","",2.78E-7*IF(G15="",Inputs!$B$17,G15)*F15*I15)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IF(A15="","",IF(OR(T15&gt;1,U15&lt;Inputs!$B$11,U15&gt;Inputs!$B$12,AA15&lt;Inputs!$B$19,AB15&lt;Inputs!$B$19,N15&lt;Inputs!$B$7,N15&gt;Inputs!$B$8),"CHECK","OK"))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</row>
    <row r="16">
      <c r="A16" s="4" t="n"/>
      <c r="B16" s="4" t="n"/>
      <c r="C16" s="8" t="n"/>
      <c r="D16" s="8" t="n"/>
      <c r="E16" s="8">
        <f>SUMIFS(CB_Tributaires!$C:$C,CB_Tributaires!$B:$B,$A16)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IF(A16="","",2.78E-7*IF(G16="",Inputs!$B$17,G16)*F16*I16)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IF(A16="","",IF(OR(T16&gt;1,U16&lt;Inputs!$B$11,U16&gt;Inputs!$B$12,AA16&lt;Inputs!$B$19,AB16&lt;Inputs!$B$19,N16&lt;Inputs!$B$7,N16&gt;Inputs!$B$8),"CHECK","OK"))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</row>
    <row r="17">
      <c r="A17" s="4" t="n"/>
      <c r="B17" s="4" t="n"/>
      <c r="C17" s="8" t="n"/>
      <c r="D17" s="8" t="n"/>
      <c r="E17" s="8">
        <f>SUMIFS(CB_Tributaires!$C:$C,CB_Tributaires!$B:$B,$A17)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IF(A17="","",2.78E-7*IF(G17="",Inputs!$B$17,G17)*F17*I17)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IF(A17="","",IF(OR(T17&gt;1,U17&lt;Inputs!$B$11,U17&gt;Inputs!$B$12,AA17&lt;Inputs!$B$19,AB17&lt;Inputs!$B$19,N17&lt;Inputs!$B$7,N17&gt;Inputs!$B$8),"CHECK","OK"))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</row>
    <row r="18">
      <c r="A18" s="4" t="n"/>
      <c r="B18" s="4" t="n"/>
      <c r="C18" s="8" t="n"/>
      <c r="D18" s="8" t="n"/>
      <c r="E18" s="8">
        <f>SUMIFS(CB_Tributaires!$C:$C,CB_Tributaires!$B:$B,$A18)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IF(A18="","",2.78E-7*IF(G18="",Inputs!$B$17,G18)*F18*I18)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IF(A18="","",IF(OR(T18&gt;1,U18&lt;Inputs!$B$11,U18&gt;Inputs!$B$12,AA18&lt;Inputs!$B$19,AB18&lt;Inputs!$B$19,N18&lt;Inputs!$B$7,N18&gt;Inputs!$B$8),"CHECK","OK"))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</row>
    <row r="19">
      <c r="A19" s="4" t="n"/>
      <c r="B19" s="4" t="n"/>
      <c r="C19" s="8" t="n"/>
      <c r="D19" s="8" t="n"/>
      <c r="E19" s="8">
        <f>SUMIFS(CB_Tributaires!$C:$C,CB_Tributaires!$B:$B,$A19)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IF(A19="","",2.78E-7*IF(G19="",Inputs!$B$17,G19)*F19*I19)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IF(A19="","",IF(OR(T19&gt;1,U19&lt;Inputs!$B$11,U19&gt;Inputs!$B$12,AA19&lt;Inputs!$B$19,AB19&lt;Inputs!$B$19,N19&lt;Inputs!$B$7,N19&gt;Inputs!$B$8),"CHECK","OK"))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</row>
    <row r="20">
      <c r="A20" s="4" t="n"/>
      <c r="B20" s="4" t="n"/>
      <c r="C20" s="8" t="n"/>
      <c r="D20" s="8" t="n"/>
      <c r="E20" s="8">
        <f>SUMIFS(CB_Tributaires!$C:$C,CB_Tributaires!$B:$B,$A20)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IF(A20="","",2.78E-7*IF(G20="",Inputs!$B$17,G20)*F20*I20)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IF(A20="","",IF(OR(T20&gt;1,U20&lt;Inputs!$B$11,U20&gt;Inputs!$B$12,AA20&lt;Inputs!$B$19,AB20&lt;Inputs!$B$19,N20&lt;Inputs!$B$7,N20&gt;Inputs!$B$8),"CHECK","OK"))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</row>
    <row r="21">
      <c r="A21" s="4" t="n"/>
      <c r="B21" s="4" t="n"/>
      <c r="C21" s="8" t="n"/>
      <c r="D21" s="8" t="n"/>
      <c r="E21" s="8">
        <f>SUMIFS(CB_Tributaires!$C:$C,CB_Tributaires!$B:$B,$A21)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IF(A21="","",2.78E-7*IF(G21="",Inputs!$B$17,G21)*F21*I21)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IF(A21="","",IF(OR(T21&gt;1,U21&lt;Inputs!$B$11,U21&gt;Inputs!$B$12,AA21&lt;Inputs!$B$19,AB21&lt;Inputs!$B$19,N21&lt;Inputs!$B$7,N21&gt;Inputs!$B$8),"CHECK","OK"))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</row>
    <row r="22">
      <c r="A22" s="4" t="n"/>
      <c r="B22" s="4" t="n"/>
      <c r="C22" s="8" t="n"/>
      <c r="D22" s="8" t="n"/>
      <c r="E22" s="8">
        <f>SUMIFS(CB_Tributaires!$C:$C,CB_Tributaires!$B:$B,$A22)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IF(A22="","",2.78E-7*IF(G22="",Inputs!$B$17,G22)*F22*I22)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IF(A22="","",IF(OR(T22&gt;1,U22&lt;Inputs!$B$11,U22&gt;Inputs!$B$12,AA22&lt;Inputs!$B$19,AB22&lt;Inputs!$B$19,N22&lt;Inputs!$B$7,N22&gt;Inputs!$B$8),"CHECK","OK"))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</row>
    <row r="23">
      <c r="A23" s="4" t="n"/>
      <c r="B23" s="4" t="n"/>
      <c r="C23" s="8" t="n"/>
      <c r="D23" s="8" t="n"/>
      <c r="E23" s="8">
        <f>SUMIFS(CB_Tributaires!$C:$C,CB_Tributaires!$B:$B,$A23)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IF(A23="","",2.78E-7*IF(G23="",Inputs!$B$17,G23)*F23*I23)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IF(A23="","",IF(OR(T23&gt;1,U23&lt;Inputs!$B$11,U23&gt;Inputs!$B$12,AA23&lt;Inputs!$B$19,AB23&lt;Inputs!$B$19,N23&lt;Inputs!$B$7,N23&gt;Inputs!$B$8),"CHECK","OK"))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</row>
    <row r="24">
      <c r="A24" s="4" t="n"/>
      <c r="B24" s="4" t="n"/>
      <c r="C24" s="8" t="n"/>
      <c r="D24" s="8" t="n"/>
      <c r="E24" s="8">
        <f>SUMIFS(CB_Tributaires!$C:$C,CB_Tributaires!$B:$B,$A24)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IF(A24="","",2.78E-7*IF(G24="",Inputs!$B$17,G24)*F24*I24)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IF(A24="","",IF(OR(T24&gt;1,U24&lt;Inputs!$B$11,U24&gt;Inputs!$B$12,AA24&lt;Inputs!$B$19,AB24&lt;Inputs!$B$19,N24&lt;Inputs!$B$7,N24&gt;Inputs!$B$8),"CHECK","OK"))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</row>
    <row r="25">
      <c r="A25" s="4" t="n"/>
      <c r="B25" s="4" t="n"/>
      <c r="C25" s="8" t="n"/>
      <c r="D25" s="8" t="n"/>
      <c r="E25" s="8">
        <f>SUMIFS(CB_Tributaires!$C:$C,CB_Tributaires!$B:$B,$A25)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IF(A25="","",2.78E-7*IF(G25="",Inputs!$B$17,G25)*F25*I25)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IF(A25="","",IF(OR(T25&gt;1,U25&lt;Inputs!$B$11,U25&gt;Inputs!$B$12,AA25&lt;Inputs!$B$19,AB25&lt;Inputs!$B$19,N25&lt;Inputs!$B$7,N25&gt;Inputs!$B$8),"CHECK","OK"))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</row>
    <row r="26">
      <c r="A26" s="4" t="n"/>
      <c r="B26" s="4" t="n"/>
      <c r="C26" s="8" t="n"/>
      <c r="D26" s="8" t="n"/>
      <c r="E26" s="8">
        <f>SUMIFS(CB_Tributaires!$C:$C,CB_Tributaires!$B:$B,$A26)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IF(A26="","",2.78E-7*IF(G26="",Inputs!$B$17,G26)*F26*I26)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IF(A26="","",IF(OR(T26&gt;1,U26&lt;Inputs!$B$11,U26&gt;Inputs!$B$12,AA26&lt;Inputs!$B$19,AB26&lt;Inputs!$B$19,N26&lt;Inputs!$B$7,N26&gt;Inputs!$B$8),"CHECK","OK"))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</row>
    <row r="27">
      <c r="A27" s="4" t="n"/>
      <c r="B27" s="4" t="n"/>
      <c r="C27" s="8" t="n"/>
      <c r="D27" s="8" t="n"/>
      <c r="E27" s="8">
        <f>SUMIFS(CB_Tributaires!$C:$C,CB_Tributaires!$B:$B,$A27)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IF(A27="","",2.78E-7*IF(G27="",Inputs!$B$17,G27)*F27*I27)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IF(A27="","",IF(OR(T27&gt;1,U27&lt;Inputs!$B$11,U27&gt;Inputs!$B$12,AA27&lt;Inputs!$B$19,AB27&lt;Inputs!$B$19,N27&lt;Inputs!$B$7,N27&gt;Inputs!$B$8),"CHECK","OK"))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</row>
    <row r="28">
      <c r="A28" s="4" t="n"/>
      <c r="B28" s="4" t="n"/>
      <c r="C28" s="8" t="n"/>
      <c r="D28" s="8" t="n"/>
      <c r="E28" s="8">
        <f>SUMIFS(CB_Tributaires!$C:$C,CB_Tributaires!$B:$B,$A28)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IF(A28="","",2.78E-7*IF(G28="",Inputs!$B$17,G28)*F28*I28)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IF(A28="","",IF(OR(T28&gt;1,U28&lt;Inputs!$B$11,U28&gt;Inputs!$B$12,AA28&lt;Inputs!$B$19,AB28&lt;Inputs!$B$19,N28&lt;Inputs!$B$7,N28&gt;Inputs!$B$8),"CHECK","OK"))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</row>
    <row r="29">
      <c r="A29" s="4" t="n"/>
      <c r="B29" s="4" t="n"/>
      <c r="C29" s="8" t="n"/>
      <c r="D29" s="8" t="n"/>
      <c r="E29" s="8">
        <f>SUMIFS(CB_Tributaires!$C:$C,CB_Tributaires!$B:$B,$A29)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IF(A29="","",2.78E-7*IF(G29="",Inputs!$B$17,G29)*F29*I29)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IF(A29="","",IF(OR(T29&gt;1,U29&lt;Inputs!$B$11,U29&gt;Inputs!$B$12,AA29&lt;Inputs!$B$19,AB29&lt;Inputs!$B$19,N29&lt;Inputs!$B$7,N29&gt;Inputs!$B$8),"CHECK","OK"))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</row>
    <row r="30">
      <c r="A30" s="4" t="n"/>
      <c r="B30" s="4" t="n"/>
      <c r="C30" s="8" t="n"/>
      <c r="D30" s="8" t="n"/>
      <c r="E30" s="8">
        <f>SUMIFS(CB_Tributaires!$C:$C,CB_Tributaires!$B:$B,$A30)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IF(A30="","",2.78E-7*IF(G30="",Inputs!$B$17,G30)*F30*I30)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IF(A30="","",IF(OR(T30&gt;1,U30&lt;Inputs!$B$11,U30&gt;Inputs!$B$12,AA30&lt;Inputs!$B$19,AB30&lt;Inputs!$B$19,N30&lt;Inputs!$B$7,N30&gt;Inputs!$B$8),"CHECK","OK"))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</row>
    <row r="31">
      <c r="A31" s="4" t="n"/>
      <c r="B31" s="4" t="n"/>
      <c r="C31" s="8" t="n"/>
      <c r="D31" s="8" t="n"/>
      <c r="E31" s="8">
        <f>SUMIFS(CB_Tributaires!$C:$C,CB_Tributaires!$B:$B,$A31)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IF(A31="","",2.78E-7*IF(G31="",Inputs!$B$17,G31)*F31*I31)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IF(A31="","",IF(OR(T31&gt;1,U31&lt;Inputs!$B$11,U31&gt;Inputs!$B$12,AA31&lt;Inputs!$B$19,AB31&lt;Inputs!$B$19,N31&lt;Inputs!$B$7,N31&gt;Inputs!$B$8),"CHECK","OK"))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</row>
    <row r="32">
      <c r="A32" s="4" t="n"/>
      <c r="B32" s="4" t="n"/>
      <c r="C32" s="8" t="n"/>
      <c r="D32" s="8" t="n"/>
      <c r="E32" s="8">
        <f>SUMIFS(CB_Tributaires!$C:$C,CB_Tributaires!$B:$B,$A32)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IF(A32="","",2.78E-7*IF(G32="",Inputs!$B$17,G32)*F32*I32)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IF(A32="","",IF(OR(T32&gt;1,U32&lt;Inputs!$B$11,U32&gt;Inputs!$B$12,AA32&lt;Inputs!$B$19,AB32&lt;Inputs!$B$19,N32&lt;Inputs!$B$7,N32&gt;Inputs!$B$8),"CHECK","OK"))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</row>
    <row r="33">
      <c r="A33" s="4" t="n"/>
      <c r="B33" s="4" t="n"/>
      <c r="C33" s="8" t="n"/>
      <c r="D33" s="8" t="n"/>
      <c r="E33" s="8">
        <f>SUMIFS(CB_Tributaires!$C:$C,CB_Tributaires!$B:$B,$A33)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IF(A33="","",2.78E-7*IF(G33="",Inputs!$B$17,G33)*F33*I33)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IF(A33="","",IF(OR(T33&gt;1,U33&lt;Inputs!$B$11,U33&gt;Inputs!$B$12,AA33&lt;Inputs!$B$19,AB33&lt;Inputs!$B$19,N33&lt;Inputs!$B$7,N33&gt;Inputs!$B$8),"CHECK","OK"))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</row>
    <row r="34">
      <c r="A34" s="4" t="n"/>
      <c r="B34" s="4" t="n"/>
      <c r="C34" s="8" t="n"/>
      <c r="D34" s="8" t="n"/>
      <c r="E34" s="8">
        <f>SUMIFS(CB_Tributaires!$C:$C,CB_Tributaires!$B:$B,$A34)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IF(A34="","",2.78E-7*IF(G34="",Inputs!$B$17,G34)*F34*I34)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IF(A34="","",IF(OR(T34&gt;1,U34&lt;Inputs!$B$11,U34&gt;Inputs!$B$12,AA34&lt;Inputs!$B$19,AB34&lt;Inputs!$B$19,N34&lt;Inputs!$B$7,N34&gt;Inputs!$B$8),"CHECK","OK"))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</row>
    <row r="35">
      <c r="A35" s="4" t="n"/>
      <c r="B35" s="4" t="n"/>
      <c r="C35" s="8" t="n"/>
      <c r="D35" s="8" t="n"/>
      <c r="E35" s="8">
        <f>SUMIFS(CB_Tributaires!$C:$C,CB_Tributaires!$B:$B,$A35)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IF(A35="","",2.78E-7*IF(G35="",Inputs!$B$17,G35)*F35*I35)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IF(A35="","",IF(OR(T35&gt;1,U35&lt;Inputs!$B$11,U35&gt;Inputs!$B$12,AA35&lt;Inputs!$B$19,AB35&lt;Inputs!$B$19,N35&lt;Inputs!$B$7,N35&gt;Inputs!$B$8),"CHECK","OK"))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</row>
    <row r="36">
      <c r="A36" s="4" t="n"/>
      <c r="B36" s="4" t="n"/>
      <c r="C36" s="8" t="n"/>
      <c r="D36" s="8" t="n"/>
      <c r="E36" s="8">
        <f>SUMIFS(CB_Tributaires!$C:$C,CB_Tributaires!$B:$B,$A36)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IF(A36="","",2.78E-7*IF(G36="",Inputs!$B$17,G36)*F36*I36)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IF(A36="","",IF(OR(T36&gt;1,U36&lt;Inputs!$B$11,U36&gt;Inputs!$B$12,AA36&lt;Inputs!$B$19,AB36&lt;Inputs!$B$19,N36&lt;Inputs!$B$7,N36&gt;Inputs!$B$8),"CHECK","OK"))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</row>
    <row r="37">
      <c r="A37" s="4" t="n"/>
      <c r="B37" s="4" t="n"/>
      <c r="C37" s="8" t="n"/>
      <c r="D37" s="8" t="n"/>
      <c r="E37" s="8">
        <f>SUMIFS(CB_Tributaires!$C:$C,CB_Tributaires!$B:$B,$A37)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IF(A37="","",2.78E-7*IF(G37="",Inputs!$B$17,G37)*F37*I37)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IF(A37="","",IF(OR(T37&gt;1,U37&lt;Inputs!$B$11,U37&gt;Inputs!$B$12,AA37&lt;Inputs!$B$19,AB37&lt;Inputs!$B$19,N37&lt;Inputs!$B$7,N37&gt;Inputs!$B$8),"CHECK","OK"))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</row>
    <row r="38">
      <c r="A38" s="4" t="n"/>
      <c r="B38" s="4" t="n"/>
      <c r="C38" s="8" t="n"/>
      <c r="D38" s="8" t="n"/>
      <c r="E38" s="8">
        <f>SUMIFS(CB_Tributaires!$C:$C,CB_Tributaires!$B:$B,$A38)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IF(A38="","",2.78E-7*IF(G38="",Inputs!$B$17,G38)*F38*I38)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IF(A38="","",IF(OR(T38&gt;1,U38&lt;Inputs!$B$11,U38&gt;Inputs!$B$12,AA38&lt;Inputs!$B$19,AB38&lt;Inputs!$B$19,N38&lt;Inputs!$B$7,N38&gt;Inputs!$B$8),"CHECK","OK"))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</row>
    <row r="39">
      <c r="A39" s="4" t="n"/>
      <c r="B39" s="4" t="n"/>
      <c r="C39" s="8" t="n"/>
      <c r="D39" s="8" t="n"/>
      <c r="E39" s="8">
        <f>SUMIFS(CB_Tributaires!$C:$C,CB_Tributaires!$B:$B,$A39)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IF(A39="","",2.78E-7*IF(G39="",Inputs!$B$17,G39)*F39*I39)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IF(A39="","",IF(OR(T39&gt;1,U39&lt;Inputs!$B$11,U39&gt;Inputs!$B$12,AA39&lt;Inputs!$B$19,AB39&lt;Inputs!$B$19,N39&lt;Inputs!$B$7,N39&gt;Inputs!$B$8),"CHECK","OK"))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</row>
    <row r="40">
      <c r="A40" s="4" t="n"/>
      <c r="B40" s="4" t="n"/>
      <c r="C40" s="8" t="n"/>
      <c r="D40" s="8" t="n"/>
      <c r="E40" s="8">
        <f>SUMIFS(CB_Tributaires!$C:$C,CB_Tributaires!$B:$B,$A40)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IF(A40="","",2.78E-7*IF(G40="",Inputs!$B$17,G40)*F40*I40)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IF(A40="","",IF(OR(T40&gt;1,U40&lt;Inputs!$B$11,U40&gt;Inputs!$B$12,AA40&lt;Inputs!$B$19,AB40&lt;Inputs!$B$19,N40&lt;Inputs!$B$7,N40&gt;Inputs!$B$8),"CHECK","OK"))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</row>
    <row r="41">
      <c r="A41" s="4" t="n"/>
      <c r="B41" s="4" t="n"/>
      <c r="C41" s="8" t="n"/>
      <c r="D41" s="8" t="n"/>
      <c r="E41" s="8">
        <f>SUMIFS(CB_Tributaires!$C:$C,CB_Tributaires!$B:$B,$A41)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IF(A41="","",2.78E-7*IF(G41="",Inputs!$B$17,G41)*F41*I41)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IF(A41="","",IF(OR(T41&gt;1,U41&lt;Inputs!$B$11,U41&gt;Inputs!$B$12,AA41&lt;Inputs!$B$19,AB41&lt;Inputs!$B$19,N41&lt;Inputs!$B$7,N41&gt;Inputs!$B$8),"CHECK","OK"))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</row>
    <row r="42">
      <c r="A42" s="4" t="n"/>
      <c r="B42" s="4" t="n"/>
      <c r="C42" s="8" t="n"/>
      <c r="D42" s="8" t="n"/>
      <c r="E42" s="8">
        <f>SUMIFS(CB_Tributaires!$C:$C,CB_Tributaires!$B:$B,$A42)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IF(A42="","",2.78E-7*IF(G42="",Inputs!$B$17,G42)*F42*I42)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IF(A42="","",IF(OR(T42&gt;1,U42&lt;Inputs!$B$11,U42&gt;Inputs!$B$12,AA42&lt;Inputs!$B$19,AB42&lt;Inputs!$B$19,N42&lt;Inputs!$B$7,N42&gt;Inputs!$B$8),"CHECK","OK"))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</row>
    <row r="43">
      <c r="A43" s="4" t="n"/>
      <c r="B43" s="4" t="n"/>
      <c r="C43" s="8" t="n"/>
      <c r="D43" s="8" t="n"/>
      <c r="E43" s="8">
        <f>SUMIFS(CB_Tributaires!$C:$C,CB_Tributaires!$B:$B,$A43)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IF(A43="","",2.78E-7*IF(G43="",Inputs!$B$17,G43)*F43*I43)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IF(A43="","",IF(OR(T43&gt;1,U43&lt;Inputs!$B$11,U43&gt;Inputs!$B$12,AA43&lt;Inputs!$B$19,AB43&lt;Inputs!$B$19,N43&lt;Inputs!$B$7,N43&gt;Inputs!$B$8),"CHECK","OK"))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</row>
    <row r="44">
      <c r="A44" s="4" t="n"/>
      <c r="B44" s="4" t="n"/>
      <c r="C44" s="8" t="n"/>
      <c r="D44" s="8" t="n"/>
      <c r="E44" s="8">
        <f>SUMIFS(CB_Tributaires!$C:$C,CB_Tributaires!$B:$B,$A44)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IF(A44="","",2.78E-7*IF(G44="",Inputs!$B$17,G44)*F44*I44)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IF(A44="","",IF(OR(T44&gt;1,U44&lt;Inputs!$B$11,U44&gt;Inputs!$B$12,AA44&lt;Inputs!$B$19,AB44&lt;Inputs!$B$19,N44&lt;Inputs!$B$7,N44&gt;Inputs!$B$8),"CHECK","OK"))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</row>
    <row r="45">
      <c r="A45" s="4" t="n"/>
      <c r="B45" s="4" t="n"/>
      <c r="C45" s="8" t="n"/>
      <c r="D45" s="8" t="n"/>
      <c r="E45" s="8">
        <f>SUMIFS(CB_Tributaires!$C:$C,CB_Tributaires!$B:$B,$A45)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IF(A45="","",2.78E-7*IF(G45="",Inputs!$B$17,G45)*F45*I45)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IF(A45="","",IF(OR(T45&gt;1,U45&lt;Inputs!$B$11,U45&gt;Inputs!$B$12,AA45&lt;Inputs!$B$19,AB45&lt;Inputs!$B$19,N45&lt;Inputs!$B$7,N45&gt;Inputs!$B$8),"CHECK","OK"))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</row>
    <row r="46">
      <c r="A46" s="4" t="n"/>
      <c r="B46" s="4" t="n"/>
      <c r="C46" s="8" t="n"/>
      <c r="D46" s="8" t="n"/>
      <c r="E46" s="8">
        <f>SUMIFS(CB_Tributaires!$C:$C,CB_Tributaires!$B:$B,$A46)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IF(A46="","",2.78E-7*IF(G46="",Inputs!$B$17,G46)*F46*I46)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IF(A46="","",IF(OR(T46&gt;1,U46&lt;Inputs!$B$11,U46&gt;Inputs!$B$12,AA46&lt;Inputs!$B$19,AB46&lt;Inputs!$B$19,N46&lt;Inputs!$B$7,N46&gt;Inputs!$B$8),"CHECK","OK"))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</row>
    <row r="47">
      <c r="A47" s="4" t="n"/>
      <c r="B47" s="4" t="n"/>
      <c r="C47" s="8" t="n"/>
      <c r="D47" s="8" t="n"/>
      <c r="E47" s="8">
        <f>SUMIFS(CB_Tributaires!$C:$C,CB_Tributaires!$B:$B,$A47)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IF(A47="","",2.78E-7*IF(G47="",Inputs!$B$17,G47)*F47*I47)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IF(A47="","",IF(OR(T47&gt;1,U47&lt;Inputs!$B$11,U47&gt;Inputs!$B$12,AA47&lt;Inputs!$B$19,AB47&lt;Inputs!$B$19,N47&lt;Inputs!$B$7,N47&gt;Inputs!$B$8),"CHECK","OK"))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</row>
    <row r="48">
      <c r="A48" s="4" t="n"/>
      <c r="B48" s="4" t="n"/>
      <c r="C48" s="8" t="n"/>
      <c r="D48" s="8" t="n"/>
      <c r="E48" s="8">
        <f>SUMIFS(CB_Tributaires!$C:$C,CB_Tributaires!$B:$B,$A48)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IF(A48="","",2.78E-7*IF(G48="",Inputs!$B$17,G48)*F48*I48)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IF(A48="","",IF(OR(T48&gt;1,U48&lt;Inputs!$B$11,U48&gt;Inputs!$B$12,AA48&lt;Inputs!$B$19,AB48&lt;Inputs!$B$19,N48&lt;Inputs!$B$7,N48&gt;Inputs!$B$8),"CHECK","OK"))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</row>
    <row r="49">
      <c r="A49" s="4" t="n"/>
      <c r="B49" s="4" t="n"/>
      <c r="C49" s="8" t="n"/>
      <c r="D49" s="8" t="n"/>
      <c r="E49" s="8">
        <f>SUMIFS(CB_Tributaires!$C:$C,CB_Tributaires!$B:$B,$A49)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IF(A49="","",2.78E-7*IF(G49="",Inputs!$B$17,G49)*F49*I49)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IF(A49="","",IF(OR(T49&gt;1,U49&lt;Inputs!$B$11,U49&gt;Inputs!$B$12,AA49&lt;Inputs!$B$19,AB49&lt;Inputs!$B$19,N49&lt;Inputs!$B$7,N49&gt;Inputs!$B$8),"CHECK","OK"))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</row>
    <row r="50">
      <c r="A50" s="4" t="n"/>
      <c r="B50" s="4" t="n"/>
      <c r="C50" s="8" t="n"/>
      <c r="D50" s="8" t="n"/>
      <c r="E50" s="8">
        <f>SUMIFS(CB_Tributaires!$C:$C,CB_Tributaires!$B:$B,$A50)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IF(A50="","",2.78E-7*IF(G50="",Inputs!$B$17,G50)*F50*I50)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IF(A50="","",IF(OR(T50&gt;1,U50&lt;Inputs!$B$11,U50&gt;Inputs!$B$12,AA50&lt;Inputs!$B$19,AB50&lt;Inputs!$B$19,N50&lt;Inputs!$B$7,N50&gt;Inputs!$B$8),"CHECK","OK"))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</row>
    <row r="51">
      <c r="A51" s="4" t="n"/>
      <c r="B51" s="4" t="n"/>
      <c r="C51" s="8" t="n"/>
      <c r="D51" s="8" t="n"/>
      <c r="E51" s="8">
        <f>SUMIFS(CB_Tributaires!$C:$C,CB_Tributaires!$B:$B,$A51)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IF(A51="","",2.78E-7*IF(G51="",Inputs!$B$17,G51)*F51*I51)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IF(A51="","",IF(OR(T51&gt;1,U51&lt;Inputs!$B$11,U51&gt;Inputs!$B$12,AA51&lt;Inputs!$B$19,AB51&lt;Inputs!$B$19,N51&lt;Inputs!$B$7,N51&gt;Inputs!$B$8),"CHECK","OK"))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</row>
    <row r="52">
      <c r="A52" s="4" t="n"/>
      <c r="B52" s="4" t="n"/>
      <c r="C52" s="8" t="n"/>
      <c r="D52" s="8" t="n"/>
      <c r="E52" s="8">
        <f>SUMIFS(CB_Tributaires!$C:$C,CB_Tributaires!$B:$B,$A52)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IF(A52="","",2.78E-7*IF(G52="",Inputs!$B$17,G52)*F52*I52)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IF(A52="","",IF(OR(T52&gt;1,U52&lt;Inputs!$B$11,U52&gt;Inputs!$B$12,AA52&lt;Inputs!$B$19,AB52&lt;Inputs!$B$19,N52&lt;Inputs!$B$7,N52&gt;Inputs!$B$8),"CHECK","OK"))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</row>
    <row r="53">
      <c r="A53" s="4" t="n"/>
      <c r="B53" s="4" t="n"/>
      <c r="C53" s="8" t="n"/>
      <c r="D53" s="8" t="n"/>
      <c r="E53" s="8">
        <f>SUMIFS(CB_Tributaires!$C:$C,CB_Tributaires!$B:$B,$A53)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IF(A53="","",2.78E-7*IF(G53="",Inputs!$B$17,G53)*F53*I53)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IF(A53="","",IF(OR(T53&gt;1,U53&lt;Inputs!$B$11,U53&gt;Inputs!$B$12,AA53&lt;Inputs!$B$19,AB53&lt;Inputs!$B$19,N53&lt;Inputs!$B$7,N53&gt;Inputs!$B$8),"CHECK","OK"))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</row>
    <row r="54">
      <c r="A54" s="4" t="n"/>
      <c r="B54" s="4" t="n"/>
      <c r="C54" s="8" t="n"/>
      <c r="D54" s="8" t="n"/>
      <c r="E54" s="8">
        <f>SUMIFS(CB_Tributaires!$C:$C,CB_Tributaires!$B:$B,$A54)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IF(A54="","",2.78E-7*IF(G54="",Inputs!$B$17,G54)*F54*I54)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IF(A54="","",IF(OR(T54&gt;1,U54&lt;Inputs!$B$11,U54&gt;Inputs!$B$12,AA54&lt;Inputs!$B$19,AB54&lt;Inputs!$B$19,N54&lt;Inputs!$B$7,N54&gt;Inputs!$B$8),"CHECK","OK"))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</row>
    <row r="55">
      <c r="A55" s="4" t="n"/>
      <c r="B55" s="4" t="n"/>
      <c r="C55" s="8" t="n"/>
      <c r="D55" s="8" t="n"/>
      <c r="E55" s="8">
        <f>SUMIFS(CB_Tributaires!$C:$C,CB_Tributaires!$B:$B,$A55)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IF(A55="","",2.78E-7*IF(G55="",Inputs!$B$17,G55)*F55*I55)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IF(A55="","",IF(OR(T55&gt;1,U55&lt;Inputs!$B$11,U55&gt;Inputs!$B$12,AA55&lt;Inputs!$B$19,AB55&lt;Inputs!$B$19,N55&lt;Inputs!$B$7,N55&gt;Inputs!$B$8),"CHECK","OK"))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</row>
    <row r="56">
      <c r="A56" s="4" t="n"/>
      <c r="B56" s="4" t="n"/>
      <c r="C56" s="8" t="n"/>
      <c r="D56" s="8" t="n"/>
      <c r="E56" s="8">
        <f>SUMIFS(CB_Tributaires!$C:$C,CB_Tributaires!$B:$B,$A56)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IF(A56="","",2.78E-7*IF(G56="",Inputs!$B$17,G56)*F56*I56)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IF(A56="","",IF(OR(T56&gt;1,U56&lt;Inputs!$B$11,U56&gt;Inputs!$B$12,AA56&lt;Inputs!$B$19,AB56&lt;Inputs!$B$19,N56&lt;Inputs!$B$7,N56&gt;Inputs!$B$8),"CHECK","OK"))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</row>
    <row r="57">
      <c r="A57" s="4" t="n"/>
      <c r="B57" s="4" t="n"/>
      <c r="C57" s="8" t="n"/>
      <c r="D57" s="8" t="n"/>
      <c r="E57" s="8">
        <f>SUMIFS(CB_Tributaires!$C:$C,CB_Tributaires!$B:$B,$A57)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IF(A57="","",2.78E-7*IF(G57="",Inputs!$B$17,G57)*F57*I57)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IF(A57="","",IF(OR(T57&gt;1,U57&lt;Inputs!$B$11,U57&gt;Inputs!$B$12,AA57&lt;Inputs!$B$19,AB57&lt;Inputs!$B$19,N57&lt;Inputs!$B$7,N57&gt;Inputs!$B$8),"CHECK","OK"))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</row>
    <row r="58">
      <c r="A58" s="4" t="n"/>
      <c r="B58" s="4" t="n"/>
      <c r="C58" s="8" t="n"/>
      <c r="D58" s="8" t="n"/>
      <c r="E58" s="8">
        <f>SUMIFS(CB_Tributaires!$C:$C,CB_Tributaires!$B:$B,$A58)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IF(A58="","",2.78E-7*IF(G58="",Inputs!$B$17,G58)*F58*I58)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IF(A58="","",IF(OR(T58&gt;1,U58&lt;Inputs!$B$11,U58&gt;Inputs!$B$12,AA58&lt;Inputs!$B$19,AB58&lt;Inputs!$B$19,N58&lt;Inputs!$B$7,N58&gt;Inputs!$B$8),"CHECK","OK"))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</row>
    <row r="59">
      <c r="A59" s="4" t="n"/>
      <c r="B59" s="4" t="n"/>
      <c r="C59" s="8" t="n"/>
      <c r="D59" s="8" t="n"/>
      <c r="E59" s="8">
        <f>SUMIFS(CB_Tributaires!$C:$C,CB_Tributaires!$B:$B,$A59)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IF(A59="","",2.78E-7*IF(G59="",Inputs!$B$17,G59)*F59*I59)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IF(A59="","",IF(OR(T59&gt;1,U59&lt;Inputs!$B$11,U59&gt;Inputs!$B$12,AA59&lt;Inputs!$B$19,AB59&lt;Inputs!$B$19,N59&lt;Inputs!$B$7,N59&gt;Inputs!$B$8),"CHECK","OK"))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</row>
    <row r="60">
      <c r="A60" s="4" t="n"/>
      <c r="B60" s="4" t="n"/>
      <c r="C60" s="8" t="n"/>
      <c r="D60" s="8" t="n"/>
      <c r="E60" s="8">
        <f>SUMIFS(CB_Tributaires!$C:$C,CB_Tributaires!$B:$B,$A60)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IF(A60="","",2.78E-7*IF(G60="",Inputs!$B$17,G60)*F60*I60)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IF(A60="","",IF(OR(T60&gt;1,U60&lt;Inputs!$B$11,U60&gt;Inputs!$B$12,AA60&lt;Inputs!$B$19,AB60&lt;Inputs!$B$19,N60&lt;Inputs!$B$7,N60&gt;Inputs!$B$8),"CHECK","OK"))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</row>
    <row r="61">
      <c r="A61" s="4" t="n"/>
      <c r="B61" s="4" t="n"/>
      <c r="C61" s="8" t="n"/>
      <c r="D61" s="8" t="n"/>
      <c r="E61" s="8">
        <f>SUMIFS(CB_Tributaires!$C:$C,CB_Tributaires!$B:$B,$A61)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IF(A61="","",2.78E-7*IF(G61="",Inputs!$B$17,G61)*F61*I61)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IF(A61="","",IF(OR(T61&gt;1,U61&lt;Inputs!$B$11,U61&gt;Inputs!$B$12,AA61&lt;Inputs!$B$19,AB61&lt;Inputs!$B$19,N61&lt;Inputs!$B$7,N61&gt;Inputs!$B$8),"CHECK","OK"))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</row>
    <row r="62">
      <c r="A62" s="4" t="n"/>
      <c r="B62" s="4" t="n"/>
      <c r="C62" s="8" t="n"/>
      <c r="D62" s="8" t="n"/>
      <c r="E62" s="8">
        <f>SUMIFS(CB_Tributaires!$C:$C,CB_Tributaires!$B:$B,$A62)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IF(A62="","",2.78E-7*IF(G62="",Inputs!$B$17,G62)*F62*I62)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IF(A62="","",IF(OR(T62&gt;1,U62&lt;Inputs!$B$11,U62&gt;Inputs!$B$12,AA62&lt;Inputs!$B$19,AB62&lt;Inputs!$B$19,N62&lt;Inputs!$B$7,N62&gt;Inputs!$B$8),"CHECK","OK"))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</row>
    <row r="63">
      <c r="A63" s="4" t="n"/>
      <c r="B63" s="4" t="n"/>
      <c r="C63" s="8" t="n"/>
      <c r="D63" s="8" t="n"/>
      <c r="E63" s="8">
        <f>SUMIFS(CB_Tributaires!$C:$C,CB_Tributaires!$B:$B,$A63)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IF(A63="","",2.78E-7*IF(G63="",Inputs!$B$17,G63)*F63*I63)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IF(A63="","",IF(OR(T63&gt;1,U63&lt;Inputs!$B$11,U63&gt;Inputs!$B$12,AA63&lt;Inputs!$B$19,AB63&lt;Inputs!$B$19,N63&lt;Inputs!$B$7,N63&gt;Inputs!$B$8),"CHECK","OK"))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</row>
    <row r="64">
      <c r="A64" s="4" t="n"/>
      <c r="B64" s="4" t="n"/>
      <c r="C64" s="8" t="n"/>
      <c r="D64" s="8" t="n"/>
      <c r="E64" s="8">
        <f>SUMIFS(CB_Tributaires!$C:$C,CB_Tributaires!$B:$B,$A64)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IF(A64="","",2.78E-7*IF(G64="",Inputs!$B$17,G64)*F64*I64)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IF(A64="","",IF(OR(T64&gt;1,U64&lt;Inputs!$B$11,U64&gt;Inputs!$B$12,AA64&lt;Inputs!$B$19,AB64&lt;Inputs!$B$19,N64&lt;Inputs!$B$7,N64&gt;Inputs!$B$8),"CHECK","OK"))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</row>
    <row r="65">
      <c r="A65" s="4" t="n"/>
      <c r="B65" s="4" t="n"/>
      <c r="C65" s="8" t="n"/>
      <c r="D65" s="8" t="n"/>
      <c r="E65" s="8">
        <f>SUMIFS(CB_Tributaires!$C:$C,CB_Tributaires!$B:$B,$A65)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IF(A65="","",2.78E-7*IF(G65="",Inputs!$B$17,G65)*F65*I65)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IF(A65="","",IF(OR(T65&gt;1,U65&lt;Inputs!$B$11,U65&gt;Inputs!$B$12,AA65&lt;Inputs!$B$19,AB65&lt;Inputs!$B$19,N65&lt;Inputs!$B$7,N65&gt;Inputs!$B$8),"CHECK","OK"))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</row>
    <row r="66">
      <c r="A66" s="4" t="n"/>
      <c r="B66" s="4" t="n"/>
      <c r="C66" s="8" t="n"/>
      <c r="D66" s="8" t="n"/>
      <c r="E66" s="8">
        <f>SUMIFS(CB_Tributaires!$C:$C,CB_Tributaires!$B:$B,$A66)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IF(A66="","",2.78E-7*IF(G66="",Inputs!$B$17,G66)*F66*I66)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IF(A66="","",IF(OR(T66&gt;1,U66&lt;Inputs!$B$11,U66&gt;Inputs!$B$12,AA66&lt;Inputs!$B$19,AB66&lt;Inputs!$B$19,N66&lt;Inputs!$B$7,N66&gt;Inputs!$B$8),"CHECK","OK"))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</row>
    <row r="67">
      <c r="A67" s="4" t="n"/>
      <c r="B67" s="4" t="n"/>
      <c r="C67" s="8" t="n"/>
      <c r="D67" s="8" t="n"/>
      <c r="E67" s="8">
        <f>SUMIFS(CB_Tributaires!$C:$C,CB_Tributaires!$B:$B,$A67)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IF(A67="","",2.78E-7*IF(G67="",Inputs!$B$17,G67)*F67*I67)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IF(A67="","",IF(OR(T67&gt;1,U67&lt;Inputs!$B$11,U67&gt;Inputs!$B$12,AA67&lt;Inputs!$B$19,AB67&lt;Inputs!$B$19,N67&lt;Inputs!$B$7,N67&gt;Inputs!$B$8),"CHECK","OK"))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</row>
    <row r="68">
      <c r="A68" s="4" t="n"/>
      <c r="B68" s="4" t="n"/>
      <c r="C68" s="8" t="n"/>
      <c r="D68" s="8" t="n"/>
      <c r="E68" s="8">
        <f>SUMIFS(CB_Tributaires!$C:$C,CB_Tributaires!$B:$B,$A68)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IF(A68="","",2.78E-7*IF(G68="",Inputs!$B$17,G68)*F68*I68)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IF(A68="","",IF(OR(T68&gt;1,U68&lt;Inputs!$B$11,U68&gt;Inputs!$B$12,AA68&lt;Inputs!$B$19,AB68&lt;Inputs!$B$19,N68&lt;Inputs!$B$7,N68&gt;Inputs!$B$8),"CHECK","OK"))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</row>
    <row r="69">
      <c r="A69" s="4" t="n"/>
      <c r="B69" s="4" t="n"/>
      <c r="C69" s="8" t="n"/>
      <c r="D69" s="8" t="n"/>
      <c r="E69" s="8">
        <f>SUMIFS(CB_Tributaires!$C:$C,CB_Tributaires!$B:$B,$A69)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IF(A69="","",2.78E-7*IF(G69="",Inputs!$B$17,G69)*F69*I69)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IF(A69="","",IF(OR(T69&gt;1,U69&lt;Inputs!$B$11,U69&gt;Inputs!$B$12,AA69&lt;Inputs!$B$19,AB69&lt;Inputs!$B$19,N69&lt;Inputs!$B$7,N69&gt;Inputs!$B$8),"CHECK","OK"))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</row>
    <row r="70">
      <c r="A70" s="4" t="n"/>
      <c r="B70" s="4" t="n"/>
      <c r="C70" s="8" t="n"/>
      <c r="D70" s="8" t="n"/>
      <c r="E70" s="8">
        <f>SUMIFS(CB_Tributaires!$C:$C,CB_Tributaires!$B:$B,$A70)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IF(A70="","",2.78E-7*IF(G70="",Inputs!$B$17,G70)*F70*I70)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IF(A70="","",IF(OR(T70&gt;1,U70&lt;Inputs!$B$11,U70&gt;Inputs!$B$12,AA70&lt;Inputs!$B$19,AB70&lt;Inputs!$B$19,N70&lt;Inputs!$B$7,N70&gt;Inputs!$B$8),"CHECK","OK"))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</row>
    <row r="71">
      <c r="A71" s="4" t="n"/>
      <c r="B71" s="4" t="n"/>
      <c r="C71" s="8" t="n"/>
      <c r="D71" s="8" t="n"/>
      <c r="E71" s="8">
        <f>SUMIFS(CB_Tributaires!$C:$C,CB_Tributaires!$B:$B,$A71)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IF(A71="","",2.78E-7*IF(G71="",Inputs!$B$17,G71)*F71*I71)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IF(A71="","",IF(OR(T71&gt;1,U71&lt;Inputs!$B$11,U71&gt;Inputs!$B$12,AA71&lt;Inputs!$B$19,AB71&lt;Inputs!$B$19,N71&lt;Inputs!$B$7,N71&gt;Inputs!$B$8),"CHECK","OK"))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</row>
    <row r="72">
      <c r="A72" s="4" t="n"/>
      <c r="B72" s="4" t="n"/>
      <c r="C72" s="8" t="n"/>
      <c r="D72" s="8" t="n"/>
      <c r="E72" s="8">
        <f>SUMIFS(CB_Tributaires!$C:$C,CB_Tributaires!$B:$B,$A72)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IF(A72="","",2.78E-7*IF(G72="",Inputs!$B$17,G72)*F72*I72)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IF(A72="","",IF(OR(T72&gt;1,U72&lt;Inputs!$B$11,U72&gt;Inputs!$B$12,AA72&lt;Inputs!$B$19,AB72&lt;Inputs!$B$19,N72&lt;Inputs!$B$7,N72&gt;Inputs!$B$8),"CHECK","OK"))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</row>
    <row r="73">
      <c r="A73" s="4" t="n"/>
      <c r="B73" s="4" t="n"/>
      <c r="C73" s="8" t="n"/>
      <c r="D73" s="8" t="n"/>
      <c r="E73" s="8">
        <f>SUMIFS(CB_Tributaires!$C:$C,CB_Tributaires!$B:$B,$A73)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IF(A73="","",2.78E-7*IF(G73="",Inputs!$B$17,G73)*F73*I73)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IF(A73="","",IF(OR(T73&gt;1,U73&lt;Inputs!$B$11,U73&gt;Inputs!$B$12,AA73&lt;Inputs!$B$19,AB73&lt;Inputs!$B$19,N73&lt;Inputs!$B$7,N73&gt;Inputs!$B$8),"CHECK","OK"))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</row>
    <row r="74">
      <c r="A74" s="4" t="n"/>
      <c r="B74" s="4" t="n"/>
      <c r="C74" s="8" t="n"/>
      <c r="D74" s="8" t="n"/>
      <c r="E74" s="8">
        <f>SUMIFS(CB_Tributaires!$C:$C,CB_Tributaires!$B:$B,$A74)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IF(A74="","",2.78E-7*IF(G74="",Inputs!$B$17,G74)*F74*I74)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IF(A74="","",IF(OR(T74&gt;1,U74&lt;Inputs!$B$11,U74&gt;Inputs!$B$12,AA74&lt;Inputs!$B$19,AB74&lt;Inputs!$B$19,N74&lt;Inputs!$B$7,N74&gt;Inputs!$B$8),"CHECK","OK"))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</row>
    <row r="75">
      <c r="A75" s="4" t="n"/>
      <c r="B75" s="4" t="n"/>
      <c r="C75" s="8" t="n"/>
      <c r="D75" s="8" t="n"/>
      <c r="E75" s="8">
        <f>SUMIFS(CB_Tributaires!$C:$C,CB_Tributaires!$B:$B,$A75)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IF(A75="","",2.78E-7*IF(G75="",Inputs!$B$17,G75)*F75*I75)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IF(A75="","",IF(OR(T75&gt;1,U75&lt;Inputs!$B$11,U75&gt;Inputs!$B$12,AA75&lt;Inputs!$B$19,AB75&lt;Inputs!$B$19,N75&lt;Inputs!$B$7,N75&gt;Inputs!$B$8),"CHECK","OK"))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</row>
    <row r="76">
      <c r="A76" s="4" t="n"/>
      <c r="B76" s="4" t="n"/>
      <c r="C76" s="8" t="n"/>
      <c r="D76" s="8" t="n"/>
      <c r="E76" s="8">
        <f>SUMIFS(CB_Tributaires!$C:$C,CB_Tributaires!$B:$B,$A76)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IF(A76="","",2.78E-7*IF(G76="",Inputs!$B$17,G76)*F76*I76)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IF(A76="","",IF(OR(T76&gt;1,U76&lt;Inputs!$B$11,U76&gt;Inputs!$B$12,AA76&lt;Inputs!$B$19,AB76&lt;Inputs!$B$19,N76&lt;Inputs!$B$7,N76&gt;Inputs!$B$8),"CHECK","OK"))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</row>
    <row r="77">
      <c r="A77" s="4" t="n"/>
      <c r="B77" s="4" t="n"/>
      <c r="C77" s="8" t="n"/>
      <c r="D77" s="8" t="n"/>
      <c r="E77" s="8">
        <f>SUMIFS(CB_Tributaires!$C:$C,CB_Tributaires!$B:$B,$A77)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IF(A77="","",2.78E-7*IF(G77="",Inputs!$B$17,G77)*F77*I77)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IF(A77="","",IF(OR(T77&gt;1,U77&lt;Inputs!$B$11,U77&gt;Inputs!$B$12,AA77&lt;Inputs!$B$19,AB77&lt;Inputs!$B$19,N77&lt;Inputs!$B$7,N77&gt;Inputs!$B$8),"CHECK","OK"))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</row>
    <row r="78">
      <c r="A78" s="4" t="n"/>
      <c r="B78" s="4" t="n"/>
      <c r="C78" s="8" t="n"/>
      <c r="D78" s="8" t="n"/>
      <c r="E78" s="8">
        <f>SUMIFS(CB_Tributaires!$C:$C,CB_Tributaires!$B:$B,$A78)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IF(A78="","",2.78E-7*IF(G78="",Inputs!$B$17,G78)*F78*I78)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IF(A78="","",IF(OR(T78&gt;1,U78&lt;Inputs!$B$11,U78&gt;Inputs!$B$12,AA78&lt;Inputs!$B$19,AB78&lt;Inputs!$B$19,N78&lt;Inputs!$B$7,N78&gt;Inputs!$B$8),"CHECK","OK"))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</row>
    <row r="79">
      <c r="A79" s="4" t="n"/>
      <c r="B79" s="4" t="n"/>
      <c r="C79" s="8" t="n"/>
      <c r="D79" s="8" t="n"/>
      <c r="E79" s="8">
        <f>SUMIFS(CB_Tributaires!$C:$C,CB_Tributaires!$B:$B,$A79)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IF(A79="","",2.78E-7*IF(G79="",Inputs!$B$17,G79)*F79*I79)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IF(A79="","",IF(OR(T79&gt;1,U79&lt;Inputs!$B$11,U79&gt;Inputs!$B$12,AA79&lt;Inputs!$B$19,AB79&lt;Inputs!$B$19,N79&lt;Inputs!$B$7,N79&gt;Inputs!$B$8),"CHECK","OK"))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</row>
    <row r="80">
      <c r="A80" s="4" t="n"/>
      <c r="B80" s="4" t="n"/>
      <c r="C80" s="8" t="n"/>
      <c r="D80" s="8" t="n"/>
      <c r="E80" s="8">
        <f>SUMIFS(CB_Tributaires!$C:$C,CB_Tributaires!$B:$B,$A80)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IF(A80="","",2.78E-7*IF(G80="",Inputs!$B$17,G80)*F80*I80)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IF(A80="","",IF(OR(T80&gt;1,U80&lt;Inputs!$B$11,U80&gt;Inputs!$B$12,AA80&lt;Inputs!$B$19,AB80&lt;Inputs!$B$19,N80&lt;Inputs!$B$7,N80&gt;Inputs!$B$8),"CHECK","OK"))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</row>
    <row r="81">
      <c r="A81" s="4" t="n"/>
      <c r="B81" s="4" t="n"/>
      <c r="C81" s="8" t="n"/>
      <c r="D81" s="8" t="n"/>
      <c r="E81" s="8">
        <f>SUMIFS(CB_Tributaires!$C:$C,CB_Tributaires!$B:$B,$A81)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IF(A81="","",2.78E-7*IF(G81="",Inputs!$B$17,G81)*F81*I81)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IF(A81="","",IF(OR(T81&gt;1,U81&lt;Inputs!$B$11,U81&gt;Inputs!$B$12,AA81&lt;Inputs!$B$19,AB81&lt;Inputs!$B$19,N81&lt;Inputs!$B$7,N81&gt;Inputs!$B$8),"CHECK","OK"))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</row>
    <row r="82">
      <c r="A82" s="4" t="n"/>
      <c r="B82" s="4" t="n"/>
      <c r="C82" s="8" t="n"/>
      <c r="D82" s="8" t="n"/>
      <c r="E82" s="8">
        <f>SUMIFS(CB_Tributaires!$C:$C,CB_Tributaires!$B:$B,$A82)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IF(A82="","",2.78E-7*IF(G82="",Inputs!$B$17,G82)*F82*I82)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IF(A82="","",IF(OR(T82&gt;1,U82&lt;Inputs!$B$11,U82&gt;Inputs!$B$12,AA82&lt;Inputs!$B$19,AB82&lt;Inputs!$B$19,N82&lt;Inputs!$B$7,N82&gt;Inputs!$B$8),"CHECK","OK"))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</row>
    <row r="83">
      <c r="A83" s="4" t="n"/>
      <c r="B83" s="4" t="n"/>
      <c r="C83" s="8" t="n"/>
      <c r="D83" s="8" t="n"/>
      <c r="E83" s="8">
        <f>SUMIFS(CB_Tributaires!$C:$C,CB_Tributaires!$B:$B,$A83)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IF(A83="","",2.78E-7*IF(G83="",Inputs!$B$17,G83)*F83*I83)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IF(A83="","",IF(OR(T83&gt;1,U83&lt;Inputs!$B$11,U83&gt;Inputs!$B$12,AA83&lt;Inputs!$B$19,AB83&lt;Inputs!$B$19,N83&lt;Inputs!$B$7,N83&gt;Inputs!$B$8),"CHECK","OK"))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</row>
    <row r="84">
      <c r="A84" s="4" t="n"/>
      <c r="B84" s="4" t="n"/>
      <c r="C84" s="8" t="n"/>
      <c r="D84" s="8" t="n"/>
      <c r="E84" s="8">
        <f>SUMIFS(CB_Tributaires!$C:$C,CB_Tributaires!$B:$B,$A84)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IF(A84="","",2.78E-7*IF(G84="",Inputs!$B$17,G84)*F84*I84)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IF(A84="","",IF(OR(T84&gt;1,U84&lt;Inputs!$B$11,U84&gt;Inputs!$B$12,AA84&lt;Inputs!$B$19,AB84&lt;Inputs!$B$19,N84&lt;Inputs!$B$7,N84&gt;Inputs!$B$8),"CHECK","OK"))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</row>
    <row r="85">
      <c r="A85" s="4" t="n"/>
      <c r="B85" s="4" t="n"/>
      <c r="C85" s="8" t="n"/>
      <c r="D85" s="8" t="n"/>
      <c r="E85" s="8">
        <f>SUMIFS(CB_Tributaires!$C:$C,CB_Tributaires!$B:$B,$A85)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IF(A85="","",2.78E-7*IF(G85="",Inputs!$B$17,G85)*F85*I85)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IF(A85="","",IF(OR(T85&gt;1,U85&lt;Inputs!$B$11,U85&gt;Inputs!$B$12,AA85&lt;Inputs!$B$19,AB85&lt;Inputs!$B$19,N85&lt;Inputs!$B$7,N85&gt;Inputs!$B$8),"CHECK","OK"))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</row>
    <row r="86">
      <c r="A86" s="4" t="n"/>
      <c r="B86" s="4" t="n"/>
      <c r="C86" s="8" t="n"/>
      <c r="D86" s="8" t="n"/>
      <c r="E86" s="8">
        <f>SUMIFS(CB_Tributaires!$C:$C,CB_Tributaires!$B:$B,$A86)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IF(A86="","",2.78E-7*IF(G86="",Inputs!$B$17,G86)*F86*I86)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IF(A86="","",IF(OR(T86&gt;1,U86&lt;Inputs!$B$11,U86&gt;Inputs!$B$12,AA86&lt;Inputs!$B$19,AB86&lt;Inputs!$B$19,N86&lt;Inputs!$B$7,N86&gt;Inputs!$B$8),"CHECK","OK"))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</row>
    <row r="87">
      <c r="A87" s="4" t="n"/>
      <c r="B87" s="4" t="n"/>
      <c r="C87" s="8" t="n"/>
      <c r="D87" s="8" t="n"/>
      <c r="E87" s="8">
        <f>SUMIFS(CB_Tributaires!$C:$C,CB_Tributaires!$B:$B,$A87)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IF(A87="","",2.78E-7*IF(G87="",Inputs!$B$17,G87)*F87*I87)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IF(A87="","",IF(OR(T87&gt;1,U87&lt;Inputs!$B$11,U87&gt;Inputs!$B$12,AA87&lt;Inputs!$B$19,AB87&lt;Inputs!$B$19,N87&lt;Inputs!$B$7,N87&gt;Inputs!$B$8),"CHECK","OK"))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</row>
    <row r="88">
      <c r="A88" s="4" t="n"/>
      <c r="B88" s="4" t="n"/>
      <c r="C88" s="8" t="n"/>
      <c r="D88" s="8" t="n"/>
      <c r="E88" s="8">
        <f>SUMIFS(CB_Tributaires!$C:$C,CB_Tributaires!$B:$B,$A88)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IF(A88="","",2.78E-7*IF(G88="",Inputs!$B$17,G88)*F88*I88)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IF(A88="","",IF(OR(T88&gt;1,U88&lt;Inputs!$B$11,U88&gt;Inputs!$B$12,AA88&lt;Inputs!$B$19,AB88&lt;Inputs!$B$19,N88&lt;Inputs!$B$7,N88&gt;Inputs!$B$8),"CHECK","OK"))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</row>
    <row r="89">
      <c r="A89" s="4" t="n"/>
      <c r="B89" s="4" t="n"/>
      <c r="C89" s="8" t="n"/>
      <c r="D89" s="8" t="n"/>
      <c r="E89" s="8">
        <f>SUMIFS(CB_Tributaires!$C:$C,CB_Tributaires!$B:$B,$A89)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IF(A89="","",2.78E-7*IF(G89="",Inputs!$B$17,G89)*F89*I89)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IF(A89="","",IF(OR(T89&gt;1,U89&lt;Inputs!$B$11,U89&gt;Inputs!$B$12,AA89&lt;Inputs!$B$19,AB89&lt;Inputs!$B$19,N89&lt;Inputs!$B$7,N89&gt;Inputs!$B$8),"CHECK","OK"))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</row>
    <row r="90">
      <c r="A90" s="4" t="n"/>
      <c r="B90" s="4" t="n"/>
      <c r="C90" s="8" t="n"/>
      <c r="D90" s="8" t="n"/>
      <c r="E90" s="8">
        <f>SUMIFS(CB_Tributaires!$C:$C,CB_Tributaires!$B:$B,$A90)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IF(A90="","",2.78E-7*IF(G90="",Inputs!$B$17,G90)*F90*I90)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IF(A90="","",IF(OR(T90&gt;1,U90&lt;Inputs!$B$11,U90&gt;Inputs!$B$12,AA90&lt;Inputs!$B$19,AB90&lt;Inputs!$B$19,N90&lt;Inputs!$B$7,N90&gt;Inputs!$B$8),"CHECK","OK"))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</row>
    <row r="91">
      <c r="A91" s="4" t="n"/>
      <c r="B91" s="4" t="n"/>
      <c r="C91" s="8" t="n"/>
      <c r="D91" s="8" t="n"/>
      <c r="E91" s="8">
        <f>SUMIFS(CB_Tributaires!$C:$C,CB_Tributaires!$B:$B,$A91)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IF(A91="","",2.78E-7*IF(G91="",Inputs!$B$17,G91)*F91*I91)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IF(A91="","",IF(OR(T91&gt;1,U91&lt;Inputs!$B$11,U91&gt;Inputs!$B$12,AA91&lt;Inputs!$B$19,AB91&lt;Inputs!$B$19,N91&lt;Inputs!$B$7,N91&gt;Inputs!$B$8),"CHECK","OK"))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</row>
    <row r="92">
      <c r="A92" s="4" t="n"/>
      <c r="B92" s="4" t="n"/>
      <c r="C92" s="8" t="n"/>
      <c r="D92" s="8" t="n"/>
      <c r="E92" s="8">
        <f>SUMIFS(CB_Tributaires!$C:$C,CB_Tributaires!$B:$B,$A92)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IF(A92="","",2.78E-7*IF(G92="",Inputs!$B$17,G92)*F92*I92)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IF(A92="","",IF(OR(T92&gt;1,U92&lt;Inputs!$B$11,U92&gt;Inputs!$B$12,AA92&lt;Inputs!$B$19,AB92&lt;Inputs!$B$19,N92&lt;Inputs!$B$7,N92&gt;Inputs!$B$8),"CHECK","OK"))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</row>
    <row r="93">
      <c r="A93" s="4" t="n"/>
      <c r="B93" s="4" t="n"/>
      <c r="C93" s="8" t="n"/>
      <c r="D93" s="8" t="n"/>
      <c r="E93" s="8">
        <f>SUMIFS(CB_Tributaires!$C:$C,CB_Tributaires!$B:$B,$A93)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IF(A93="","",2.78E-7*IF(G93="",Inputs!$B$17,G93)*F93*I93)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IF(A93="","",IF(OR(T93&gt;1,U93&lt;Inputs!$B$11,U93&gt;Inputs!$B$12,AA93&lt;Inputs!$B$19,AB93&lt;Inputs!$B$19,N93&lt;Inputs!$B$7,N93&gt;Inputs!$B$8),"CHECK","OK"))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</row>
    <row r="94">
      <c r="A94" s="4" t="n"/>
      <c r="B94" s="4" t="n"/>
      <c r="C94" s="8" t="n"/>
      <c r="D94" s="8" t="n"/>
      <c r="E94" s="8">
        <f>SUMIFS(CB_Tributaires!$C:$C,CB_Tributaires!$B:$B,$A94)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IF(A94="","",2.78E-7*IF(G94="",Inputs!$B$17,G94)*F94*I94)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IF(A94="","",IF(OR(T94&gt;1,U94&lt;Inputs!$B$11,U94&gt;Inputs!$B$12,AA94&lt;Inputs!$B$19,AB94&lt;Inputs!$B$19,N94&lt;Inputs!$B$7,N94&gt;Inputs!$B$8),"CHECK","OK"))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</row>
    <row r="95">
      <c r="A95" s="4" t="n"/>
      <c r="B95" s="4" t="n"/>
      <c r="C95" s="8" t="n"/>
      <c r="D95" s="8" t="n"/>
      <c r="E95" s="8">
        <f>SUMIFS(CB_Tributaires!$C:$C,CB_Tributaires!$B:$B,$A95)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IF(A95="","",2.78E-7*IF(G95="",Inputs!$B$17,G95)*F95*I95)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IF(A95="","",IF(OR(T95&gt;1,U95&lt;Inputs!$B$11,U95&gt;Inputs!$B$12,AA95&lt;Inputs!$B$19,AB95&lt;Inputs!$B$19,N95&lt;Inputs!$B$7,N95&gt;Inputs!$B$8),"CHECK","OK"))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</row>
    <row r="96">
      <c r="A96" s="4" t="n"/>
      <c r="B96" s="4" t="n"/>
      <c r="C96" s="8" t="n"/>
      <c r="D96" s="8" t="n"/>
      <c r="E96" s="8">
        <f>SUMIFS(CB_Tributaires!$C:$C,CB_Tributaires!$B:$B,$A96)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IF(A96="","",2.78E-7*IF(G96="",Inputs!$B$17,G96)*F96*I96)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IF(A96="","",IF(OR(T96&gt;1,U96&lt;Inputs!$B$11,U96&gt;Inputs!$B$12,AA96&lt;Inputs!$B$19,AB96&lt;Inputs!$B$19,N96&lt;Inputs!$B$7,N96&gt;Inputs!$B$8),"CHECK","OK"))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</row>
    <row r="97">
      <c r="A97" s="4" t="n"/>
      <c r="B97" s="4" t="n"/>
      <c r="C97" s="8" t="n"/>
      <c r="D97" s="8" t="n"/>
      <c r="E97" s="8">
        <f>SUMIFS(CB_Tributaires!$C:$C,CB_Tributaires!$B:$B,$A97)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IF(A97="","",2.78E-7*IF(G97="",Inputs!$B$17,G97)*F97*I97)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IF(A97="","",IF(OR(T97&gt;1,U97&lt;Inputs!$B$11,U97&gt;Inputs!$B$12,AA97&lt;Inputs!$B$19,AB97&lt;Inputs!$B$19,N97&lt;Inputs!$B$7,N97&gt;Inputs!$B$8),"CHECK","OK"))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</row>
    <row r="98">
      <c r="A98" s="4" t="n"/>
      <c r="B98" s="4" t="n"/>
      <c r="C98" s="8" t="n"/>
      <c r="D98" s="8" t="n"/>
      <c r="E98" s="8">
        <f>SUMIFS(CB_Tributaires!$C:$C,CB_Tributaires!$B:$B,$A98)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IF(A98="","",2.78E-7*IF(G98="",Inputs!$B$17,G98)*F98*I98)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IF(A98="","",IF(OR(T98&gt;1,U98&lt;Inputs!$B$11,U98&gt;Inputs!$B$12,AA98&lt;Inputs!$B$19,AB98&lt;Inputs!$B$19,N98&lt;Inputs!$B$7,N98&gt;Inputs!$B$8),"CHECK","OK"))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</row>
    <row r="99">
      <c r="A99" s="4" t="n"/>
      <c r="B99" s="4" t="n"/>
      <c r="C99" s="8" t="n"/>
      <c r="D99" s="8" t="n"/>
      <c r="E99" s="8">
        <f>SUMIFS(CB_Tributaires!$C:$C,CB_Tributaires!$B:$B,$A99)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IF(A99="","",2.78E-7*IF(G99="",Inputs!$B$17,G99)*F99*I99)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IF(A99="","",IF(OR(T99&gt;1,U99&lt;Inputs!$B$11,U99&gt;Inputs!$B$12,AA99&lt;Inputs!$B$19,AB99&lt;Inputs!$B$19,N99&lt;Inputs!$B$7,N99&gt;Inputs!$B$8),"CHECK","OK"))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</row>
    <row r="100">
      <c r="A100" s="4" t="n"/>
      <c r="B100" s="4" t="n"/>
      <c r="C100" s="8" t="n"/>
      <c r="D100" s="8" t="n"/>
      <c r="E100" s="8">
        <f>SUMIFS(CB_Tributaires!$C:$C,CB_Tributaires!$B:$B,$A100)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IF(A100="","",2.78E-7*IF(G100="",Inputs!$B$17,G100)*F100*I100)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IF(A100="","",IF(OR(T100&gt;1,U100&lt;Inputs!$B$11,U100&gt;Inputs!$B$12,AA100&lt;Inputs!$B$19,AB100&lt;Inputs!$B$19,N100&lt;Inputs!$B$7,N100&gt;Inputs!$B$8),"CHECK","OK"))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</row>
    <row r="101">
      <c r="A101" s="4" t="n"/>
      <c r="B101" s="4" t="n"/>
      <c r="C101" s="8" t="n"/>
      <c r="D101" s="8" t="n"/>
      <c r="E101" s="8">
        <f>SUMIFS(CB_Tributaires!$C:$C,CB_Tributaires!$B:$B,$A101)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IF(A101="","",2.78E-7*IF(G101="",Inputs!$B$17,G101)*F101*I101)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IF(A101="","",IF(OR(T101&gt;1,U101&lt;Inputs!$B$11,U101&gt;Inputs!$B$12,AA101&lt;Inputs!$B$19,AB101&lt;Inputs!$B$19,N101&lt;Inputs!$B$7,N101&gt;Inputs!$B$8),"CHECK","OK"))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</row>
    <row r="102">
      <c r="A102" s="4" t="n"/>
      <c r="B102" s="4" t="n"/>
      <c r="C102" s="8" t="n"/>
      <c r="D102" s="8" t="n"/>
      <c r="E102" s="8">
        <f>SUMIFS(CB_Tributaires!$C:$C,CB_Tributaires!$B:$B,$A102)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IF(A102="","",2.78E-7*IF(G102="",Inputs!$B$17,G102)*F102*I102)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IF(A102="","",IF(OR(T102&gt;1,U102&lt;Inputs!$B$11,U102&gt;Inputs!$B$12,AA102&lt;Inputs!$B$19,AB102&lt;Inputs!$B$19,N102&lt;Inputs!$B$7,N102&gt;Inputs!$B$8),"CHECK","OK"))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</row>
    <row r="103">
      <c r="A103" s="4" t="n"/>
      <c r="B103" s="4" t="n"/>
      <c r="C103" s="8" t="n"/>
      <c r="D103" s="8" t="n"/>
      <c r="E103" s="8">
        <f>SUMIFS(CB_Tributaires!$C:$C,CB_Tributaires!$B:$B,$A103)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IF(A103="","",2.78E-7*IF(G103="",Inputs!$B$17,G103)*F103*I103)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IF(A103="","",IF(OR(T103&gt;1,U103&lt;Inputs!$B$11,U103&gt;Inputs!$B$12,AA103&lt;Inputs!$B$19,AB103&lt;Inputs!$B$19,N103&lt;Inputs!$B$7,N103&gt;Inputs!$B$8),"CHECK","OK"))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</row>
    <row r="104">
      <c r="A104" s="4" t="n"/>
      <c r="B104" s="4" t="n"/>
      <c r="C104" s="8" t="n"/>
      <c r="D104" s="8" t="n"/>
      <c r="E104" s="8">
        <f>SUMIFS(CB_Tributaires!$C:$C,CB_Tributaires!$B:$B,$A104)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IF(A104="","",2.78E-7*IF(G104="",Inputs!$B$17,G104)*F104*I104)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IF(A104="","",IF(OR(T104&gt;1,U104&lt;Inputs!$B$11,U104&gt;Inputs!$B$12,AA104&lt;Inputs!$B$19,AB104&lt;Inputs!$B$19,N104&lt;Inputs!$B$7,N104&gt;Inputs!$B$8),"CHECK","OK"))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</row>
    <row r="105">
      <c r="A105" s="4" t="n"/>
      <c r="B105" s="4" t="n"/>
      <c r="C105" s="8" t="n"/>
      <c r="D105" s="8" t="n"/>
      <c r="E105" s="8">
        <f>SUMIFS(CB_Tributaires!$C:$C,CB_Tributaires!$B:$B,$A105)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IF(A105="","",2.78E-7*IF(G105="",Inputs!$B$17,G105)*F105*I105)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IF(A105="","",IF(OR(T105&gt;1,U105&lt;Inputs!$B$11,U105&gt;Inputs!$B$12,AA105&lt;Inputs!$B$19,AB105&lt;Inputs!$B$19,N105&lt;Inputs!$B$7,N105&gt;Inputs!$B$8),"CHECK","OK"))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</row>
    <row r="106">
      <c r="A106" s="4" t="n"/>
      <c r="B106" s="4" t="n"/>
      <c r="C106" s="8" t="n"/>
      <c r="D106" s="8" t="n"/>
      <c r="E106" s="8">
        <f>SUMIFS(CB_Tributaires!$C:$C,CB_Tributaires!$B:$B,$A106)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IF(A106="","",2.78E-7*IF(G106="",Inputs!$B$17,G106)*F106*I106)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IF(A106="","",IF(OR(T106&gt;1,U106&lt;Inputs!$B$11,U106&gt;Inputs!$B$12,AA106&lt;Inputs!$B$19,AB106&lt;Inputs!$B$19,N106&lt;Inputs!$B$7,N106&gt;Inputs!$B$8),"CHECK","OK"))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</row>
    <row r="107">
      <c r="A107" s="4" t="n"/>
      <c r="B107" s="4" t="n"/>
      <c r="C107" s="8" t="n"/>
      <c r="D107" s="8" t="n"/>
      <c r="E107" s="8">
        <f>SUMIFS(CB_Tributaires!$C:$C,CB_Tributaires!$B:$B,$A107)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IF(A107="","",2.78E-7*IF(G107="",Inputs!$B$17,G107)*F107*I107)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IF(A107="","",IF(OR(T107&gt;1,U107&lt;Inputs!$B$11,U107&gt;Inputs!$B$12,AA107&lt;Inputs!$B$19,AB107&lt;Inputs!$B$19,N107&lt;Inputs!$B$7,N107&gt;Inputs!$B$8),"CHECK","OK"))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</row>
    <row r="108">
      <c r="A108" s="4" t="n"/>
      <c r="B108" s="4" t="n"/>
      <c r="C108" s="8" t="n"/>
      <c r="D108" s="8" t="n"/>
      <c r="E108" s="8">
        <f>SUMIFS(CB_Tributaires!$C:$C,CB_Tributaires!$B:$B,$A108)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IF(A108="","",2.78E-7*IF(G108="",Inputs!$B$17,G108)*F108*I108)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IF(A108="","",IF(OR(T108&gt;1,U108&lt;Inputs!$B$11,U108&gt;Inputs!$B$12,AA108&lt;Inputs!$B$19,AB108&lt;Inputs!$B$19,N108&lt;Inputs!$B$7,N108&gt;Inputs!$B$8),"CHECK","OK"))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</row>
    <row r="109">
      <c r="A109" s="4" t="n"/>
      <c r="B109" s="4" t="n"/>
      <c r="C109" s="8" t="n"/>
      <c r="D109" s="8" t="n"/>
      <c r="E109" s="8">
        <f>SUMIFS(CB_Tributaires!$C:$C,CB_Tributaires!$B:$B,$A109)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IF(A109="","",2.78E-7*IF(G109="",Inputs!$B$17,G109)*F109*I109)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IF(A109="","",IF(OR(T109&gt;1,U109&lt;Inputs!$B$11,U109&gt;Inputs!$B$12,AA109&lt;Inputs!$B$19,AB109&lt;Inputs!$B$19,N109&lt;Inputs!$B$7,N109&gt;Inputs!$B$8),"CHECK","OK"))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</row>
    <row r="110">
      <c r="A110" s="4" t="n"/>
      <c r="B110" s="4" t="n"/>
      <c r="C110" s="8" t="n"/>
      <c r="D110" s="8" t="n"/>
      <c r="E110" s="8">
        <f>SUMIFS(CB_Tributaires!$C:$C,CB_Tributaires!$B:$B,$A110)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IF(A110="","",2.78E-7*IF(G110="",Inputs!$B$17,G110)*F110*I110)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IF(A110="","",IF(OR(T110&gt;1,U110&lt;Inputs!$B$11,U110&gt;Inputs!$B$12,AA110&lt;Inputs!$B$19,AB110&lt;Inputs!$B$19,N110&lt;Inputs!$B$7,N110&gt;Inputs!$B$8),"CHECK","OK"))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</row>
    <row r="111">
      <c r="A111" s="4" t="n"/>
      <c r="B111" s="4" t="n"/>
      <c r="C111" s="8" t="n"/>
      <c r="D111" s="8" t="n"/>
      <c r="E111" s="8">
        <f>SUMIFS(CB_Tributaires!$C:$C,CB_Tributaires!$B:$B,$A111)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IF(A111="","",2.78E-7*IF(G111="",Inputs!$B$17,G111)*F111*I111)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IF(A111="","",IF(OR(T111&gt;1,U111&lt;Inputs!$B$11,U111&gt;Inputs!$B$12,AA111&lt;Inputs!$B$19,AB111&lt;Inputs!$B$19,N111&lt;Inputs!$B$7,N111&gt;Inputs!$B$8),"CHECK","OK"))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</row>
    <row r="112">
      <c r="A112" s="4" t="n"/>
      <c r="B112" s="4" t="n"/>
      <c r="C112" s="8" t="n"/>
      <c r="D112" s="8" t="n"/>
      <c r="E112" s="8">
        <f>SUMIFS(CB_Tributaires!$C:$C,CB_Tributaires!$B:$B,$A112)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IF(A112="","",2.78E-7*IF(G112="",Inputs!$B$17,G112)*F112*I112)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IF(A112="","",IF(OR(T112&gt;1,U112&lt;Inputs!$B$11,U112&gt;Inputs!$B$12,AA112&lt;Inputs!$B$19,AB112&lt;Inputs!$B$19,N112&lt;Inputs!$B$7,N112&gt;Inputs!$B$8),"CHECK","OK"))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</row>
    <row r="113">
      <c r="A113" s="4" t="n"/>
      <c r="B113" s="4" t="n"/>
      <c r="C113" s="8" t="n"/>
      <c r="D113" s="8" t="n"/>
      <c r="E113" s="8">
        <f>SUMIFS(CB_Tributaires!$C:$C,CB_Tributaires!$B:$B,$A113)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IF(A113="","",2.78E-7*IF(G113="",Inputs!$B$17,G113)*F113*I113)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IF(A113="","",IF(OR(T113&gt;1,U113&lt;Inputs!$B$11,U113&gt;Inputs!$B$12,AA113&lt;Inputs!$B$19,AB113&lt;Inputs!$B$19,N113&lt;Inputs!$B$7,N113&gt;Inputs!$B$8),"CHECK","OK"))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</row>
    <row r="114">
      <c r="A114" s="4" t="n"/>
      <c r="B114" s="4" t="n"/>
      <c r="C114" s="8" t="n"/>
      <c r="D114" s="8" t="n"/>
      <c r="E114" s="8">
        <f>SUMIFS(CB_Tributaires!$C:$C,CB_Tributaires!$B:$B,$A114)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IF(A114="","",2.78E-7*IF(G114="",Inputs!$B$17,G114)*F114*I114)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IF(A114="","",IF(OR(T114&gt;1,U114&lt;Inputs!$B$11,U114&gt;Inputs!$B$12,AA114&lt;Inputs!$B$19,AB114&lt;Inputs!$B$19,N114&lt;Inputs!$B$7,N114&gt;Inputs!$B$8),"CHECK","OK"))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</row>
    <row r="115">
      <c r="A115" s="4" t="n"/>
      <c r="B115" s="4" t="n"/>
      <c r="C115" s="8" t="n"/>
      <c r="D115" s="8" t="n"/>
      <c r="E115" s="8">
        <f>SUMIFS(CB_Tributaires!$C:$C,CB_Tributaires!$B:$B,$A115)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IF(A115="","",2.78E-7*IF(G115="",Inputs!$B$17,G115)*F115*I115)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IF(A115="","",IF(OR(T115&gt;1,U115&lt;Inputs!$B$11,U115&gt;Inputs!$B$12,AA115&lt;Inputs!$B$19,AB115&lt;Inputs!$B$19,N115&lt;Inputs!$B$7,N115&gt;Inputs!$B$8),"CHECK","OK"))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</row>
    <row r="116">
      <c r="A116" s="4" t="n"/>
      <c r="B116" s="4" t="n"/>
      <c r="C116" s="8" t="n"/>
      <c r="D116" s="8" t="n"/>
      <c r="E116" s="8">
        <f>SUMIFS(CB_Tributaires!$C:$C,CB_Tributaires!$B:$B,$A116)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IF(A116="","",2.78E-7*IF(G116="",Inputs!$B$17,G116)*F116*I116)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IF(A116="","",IF(OR(T116&gt;1,U116&lt;Inputs!$B$11,U116&gt;Inputs!$B$12,AA116&lt;Inputs!$B$19,AB116&lt;Inputs!$B$19,N116&lt;Inputs!$B$7,N116&gt;Inputs!$B$8),"CHECK","OK"))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</row>
    <row r="117">
      <c r="A117" s="4" t="n"/>
      <c r="B117" s="4" t="n"/>
      <c r="C117" s="8" t="n"/>
      <c r="D117" s="8" t="n"/>
      <c r="E117" s="8">
        <f>SUMIFS(CB_Tributaires!$C:$C,CB_Tributaires!$B:$B,$A117)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IF(A117="","",2.78E-7*IF(G117="",Inputs!$B$17,G117)*F117*I117)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IF(A117="","",IF(OR(T117&gt;1,U117&lt;Inputs!$B$11,U117&gt;Inputs!$B$12,AA117&lt;Inputs!$B$19,AB117&lt;Inputs!$B$19,N117&lt;Inputs!$B$7,N117&gt;Inputs!$B$8),"CHECK","OK"))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</row>
    <row r="118">
      <c r="A118" s="4" t="n"/>
      <c r="B118" s="4" t="n"/>
      <c r="C118" s="8" t="n"/>
      <c r="D118" s="8" t="n"/>
      <c r="E118" s="8">
        <f>SUMIFS(CB_Tributaires!$C:$C,CB_Tributaires!$B:$B,$A118)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IF(A118="","",2.78E-7*IF(G118="",Inputs!$B$17,G118)*F118*I118)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IF(A118="","",IF(OR(T118&gt;1,U118&lt;Inputs!$B$11,U118&gt;Inputs!$B$12,AA118&lt;Inputs!$B$19,AB118&lt;Inputs!$B$19,N118&lt;Inputs!$B$7,N118&gt;Inputs!$B$8),"CHECK","OK"))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</row>
    <row r="119">
      <c r="A119" s="4" t="n"/>
      <c r="B119" s="4" t="n"/>
      <c r="C119" s="8" t="n"/>
      <c r="D119" s="8" t="n"/>
      <c r="E119" s="8">
        <f>SUMIFS(CB_Tributaires!$C:$C,CB_Tributaires!$B:$B,$A119)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IF(A119="","",2.78E-7*IF(G119="",Inputs!$B$17,G119)*F119*I119)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IF(A119="","",IF(OR(T119&gt;1,U119&lt;Inputs!$B$11,U119&gt;Inputs!$B$12,AA119&lt;Inputs!$B$19,AB119&lt;Inputs!$B$19,N119&lt;Inputs!$B$7,N119&gt;Inputs!$B$8),"CHECK","OK"))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</row>
    <row r="120">
      <c r="A120" s="4" t="n"/>
      <c r="B120" s="4" t="n"/>
      <c r="C120" s="8" t="n"/>
      <c r="D120" s="8" t="n"/>
      <c r="E120" s="8">
        <f>SUMIFS(CB_Tributaires!$C:$C,CB_Tributaires!$B:$B,$A120)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IF(A120="","",2.78E-7*IF(G120="",Inputs!$B$17,G120)*F120*I120)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IF(A120="","",IF(OR(T120&gt;1,U120&lt;Inputs!$B$11,U120&gt;Inputs!$B$12,AA120&lt;Inputs!$B$19,AB120&lt;Inputs!$B$19,N120&lt;Inputs!$B$7,N120&gt;Inputs!$B$8),"CHECK","OK"))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</row>
    <row r="121">
      <c r="A121" s="4" t="n"/>
      <c r="B121" s="4" t="n"/>
      <c r="C121" s="8" t="n"/>
      <c r="D121" s="8" t="n"/>
      <c r="E121" s="8">
        <f>SUMIFS(CB_Tributaires!$C:$C,CB_Tributaires!$B:$B,$A121)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IF(A121="","",2.78E-7*IF(G121="",Inputs!$B$17,G121)*F121*I121)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IF(A121="","",IF(OR(T121&gt;1,U121&lt;Inputs!$B$11,U121&gt;Inputs!$B$12,AA121&lt;Inputs!$B$19,AB121&lt;Inputs!$B$19,N121&lt;Inputs!$B$7,N121&gt;Inputs!$B$8),"CHECK","OK"))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</row>
    <row r="122">
      <c r="A122" s="4" t="n"/>
      <c r="B122" s="4" t="n"/>
      <c r="C122" s="8" t="n"/>
      <c r="D122" s="8" t="n"/>
      <c r="E122" s="8">
        <f>SUMIFS(CB_Tributaires!$C:$C,CB_Tributaires!$B:$B,$A122)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IF(A122="","",2.78E-7*IF(G122="",Inputs!$B$17,G122)*F122*I122)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IF(A122="","",IF(OR(T122&gt;1,U122&lt;Inputs!$B$11,U122&gt;Inputs!$B$12,AA122&lt;Inputs!$B$19,AB122&lt;Inputs!$B$19,N122&lt;Inputs!$B$7,N122&gt;Inputs!$B$8),"CHECK","OK"))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</row>
    <row r="123">
      <c r="A123" s="4" t="n"/>
      <c r="B123" s="4" t="n"/>
      <c r="C123" s="8" t="n"/>
      <c r="D123" s="8" t="n"/>
      <c r="E123" s="8">
        <f>SUMIFS(CB_Tributaires!$C:$C,CB_Tributaires!$B:$B,$A123)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IF(A123="","",2.78E-7*IF(G123="",Inputs!$B$17,G123)*F123*I123)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IF(A123="","",IF(OR(T123&gt;1,U123&lt;Inputs!$B$11,U123&gt;Inputs!$B$12,AA123&lt;Inputs!$B$19,AB123&lt;Inputs!$B$19,N123&lt;Inputs!$B$7,N123&gt;Inputs!$B$8),"CHECK","OK"))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</row>
    <row r="124">
      <c r="A124" s="4" t="n"/>
      <c r="B124" s="4" t="n"/>
      <c r="C124" s="8" t="n"/>
      <c r="D124" s="8" t="n"/>
      <c r="E124" s="8">
        <f>SUMIFS(CB_Tributaires!$C:$C,CB_Tributaires!$B:$B,$A124)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IF(A124="","",2.78E-7*IF(G124="",Inputs!$B$17,G124)*F124*I124)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IF(A124="","",IF(OR(T124&gt;1,U124&lt;Inputs!$B$11,U124&gt;Inputs!$B$12,AA124&lt;Inputs!$B$19,AB124&lt;Inputs!$B$19,N124&lt;Inputs!$B$7,N124&gt;Inputs!$B$8),"CHECK","OK"))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</row>
    <row r="125">
      <c r="A125" s="4" t="n"/>
      <c r="B125" s="4" t="n"/>
      <c r="C125" s="8" t="n"/>
      <c r="D125" s="8" t="n"/>
      <c r="E125" s="8">
        <f>SUMIFS(CB_Tributaires!$C:$C,CB_Tributaires!$B:$B,$A125)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IF(A125="","",2.78E-7*IF(G125="",Inputs!$B$17,G125)*F125*I125)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IF(A125="","",IF(OR(T125&gt;1,U125&lt;Inputs!$B$11,U125&gt;Inputs!$B$12,AA125&lt;Inputs!$B$19,AB125&lt;Inputs!$B$19,N125&lt;Inputs!$B$7,N125&gt;Inputs!$B$8),"CHECK","OK"))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</row>
    <row r="126">
      <c r="A126" s="4" t="n"/>
      <c r="B126" s="4" t="n"/>
      <c r="C126" s="8" t="n"/>
      <c r="D126" s="8" t="n"/>
      <c r="E126" s="8">
        <f>SUMIFS(CB_Tributaires!$C:$C,CB_Tributaires!$B:$B,$A126)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IF(A126="","",2.78E-7*IF(G126="",Inputs!$B$17,G126)*F126*I126)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IF(A126="","",IF(OR(T126&gt;1,U126&lt;Inputs!$B$11,U126&gt;Inputs!$B$12,AA126&lt;Inputs!$B$19,AB126&lt;Inputs!$B$19,N126&lt;Inputs!$B$7,N126&gt;Inputs!$B$8),"CHECK","OK"))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</row>
    <row r="127">
      <c r="A127" s="4" t="n"/>
      <c r="B127" s="4" t="n"/>
      <c r="C127" s="8" t="n"/>
      <c r="D127" s="8" t="n"/>
      <c r="E127" s="8">
        <f>SUMIFS(CB_Tributaires!$C:$C,CB_Tributaires!$B:$B,$A127)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IF(A127="","",2.78E-7*IF(G127="",Inputs!$B$17,G127)*F127*I127)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IF(A127="","",IF(OR(T127&gt;1,U127&lt;Inputs!$B$11,U127&gt;Inputs!$B$12,AA127&lt;Inputs!$B$19,AB127&lt;Inputs!$B$19,N127&lt;Inputs!$B$7,N127&gt;Inputs!$B$8),"CHECK","OK"))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</row>
    <row r="128">
      <c r="A128" s="4" t="n"/>
      <c r="B128" s="4" t="n"/>
      <c r="C128" s="8" t="n"/>
      <c r="D128" s="8" t="n"/>
      <c r="E128" s="8">
        <f>SUMIFS(CB_Tributaires!$C:$C,CB_Tributaires!$B:$B,$A128)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IF(A128="","",2.78E-7*IF(G128="",Inputs!$B$17,G128)*F128*I128)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IF(A128="","",IF(OR(T128&gt;1,U128&lt;Inputs!$B$11,U128&gt;Inputs!$B$12,AA128&lt;Inputs!$B$19,AB128&lt;Inputs!$B$19,N128&lt;Inputs!$B$7,N128&gt;Inputs!$B$8),"CHECK","OK"))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</row>
    <row r="129">
      <c r="A129" s="4" t="n"/>
      <c r="B129" s="4" t="n"/>
      <c r="C129" s="8" t="n"/>
      <c r="D129" s="8" t="n"/>
      <c r="E129" s="8">
        <f>SUMIFS(CB_Tributaires!$C:$C,CB_Tributaires!$B:$B,$A129)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IF(A129="","",2.78E-7*IF(G129="",Inputs!$B$17,G129)*F129*I129)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IF(A129="","",IF(OR(T129&gt;1,U129&lt;Inputs!$B$11,U129&gt;Inputs!$B$12,AA129&lt;Inputs!$B$19,AB129&lt;Inputs!$B$19,N129&lt;Inputs!$B$7,N129&gt;Inputs!$B$8),"CHECK","OK"))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</row>
    <row r="130">
      <c r="A130" s="4" t="n"/>
      <c r="B130" s="4" t="n"/>
      <c r="C130" s="8" t="n"/>
      <c r="D130" s="8" t="n"/>
      <c r="E130" s="8">
        <f>SUMIFS(CB_Tributaires!$C:$C,CB_Tributaires!$B:$B,$A130)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IF(A130="","",2.78E-7*IF(G130="",Inputs!$B$17,G130)*F130*I130)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IF(A130="","",IF(OR(T130&gt;1,U130&lt;Inputs!$B$11,U130&gt;Inputs!$B$12,AA130&lt;Inputs!$B$19,AB130&lt;Inputs!$B$19,N130&lt;Inputs!$B$7,N130&gt;Inputs!$B$8),"CHECK","OK"))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</row>
    <row r="131">
      <c r="A131" s="4" t="n"/>
      <c r="B131" s="4" t="n"/>
      <c r="C131" s="8" t="n"/>
      <c r="D131" s="8" t="n"/>
      <c r="E131" s="8">
        <f>SUMIFS(CB_Tributaires!$C:$C,CB_Tributaires!$B:$B,$A131)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IF(A131="","",2.78E-7*IF(G131="",Inputs!$B$17,G131)*F131*I131)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IF(A131="","",IF(OR(T131&gt;1,U131&lt;Inputs!$B$11,U131&gt;Inputs!$B$12,AA131&lt;Inputs!$B$19,AB131&lt;Inputs!$B$19,N131&lt;Inputs!$B$7,N131&gt;Inputs!$B$8),"CHECK","OK"))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</row>
    <row r="132">
      <c r="A132" s="4" t="n"/>
      <c r="B132" s="4" t="n"/>
      <c r="C132" s="8" t="n"/>
      <c r="D132" s="8" t="n"/>
      <c r="E132" s="8">
        <f>SUMIFS(CB_Tributaires!$C:$C,CB_Tributaires!$B:$B,$A132)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IF(A132="","",2.78E-7*IF(G132="",Inputs!$B$17,G132)*F132*I132)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IF(A132="","",IF(OR(T132&gt;1,U132&lt;Inputs!$B$11,U132&gt;Inputs!$B$12,AA132&lt;Inputs!$B$19,AB132&lt;Inputs!$B$19,N132&lt;Inputs!$B$7,N132&gt;Inputs!$B$8),"CHECK","OK"))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</row>
    <row r="133">
      <c r="A133" s="4" t="n"/>
      <c r="B133" s="4" t="n"/>
      <c r="C133" s="8" t="n"/>
      <c r="D133" s="8" t="n"/>
      <c r="E133" s="8">
        <f>SUMIFS(CB_Tributaires!$C:$C,CB_Tributaires!$B:$B,$A133)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IF(A133="","",2.78E-7*IF(G133="",Inputs!$B$17,G133)*F133*I133)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IF(A133="","",IF(OR(T133&gt;1,U133&lt;Inputs!$B$11,U133&gt;Inputs!$B$12,AA133&lt;Inputs!$B$19,AB133&lt;Inputs!$B$19,N133&lt;Inputs!$B$7,N133&gt;Inputs!$B$8),"CHECK","OK"))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</row>
    <row r="134">
      <c r="A134" s="4" t="n"/>
      <c r="B134" s="4" t="n"/>
      <c r="C134" s="8" t="n"/>
      <c r="D134" s="8" t="n"/>
      <c r="E134" s="8">
        <f>SUMIFS(CB_Tributaires!$C:$C,CB_Tributaires!$B:$B,$A134)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IF(A134="","",2.78E-7*IF(G134="",Inputs!$B$17,G134)*F134*I134)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IF(A134="","",IF(OR(T134&gt;1,U134&lt;Inputs!$B$11,U134&gt;Inputs!$B$12,AA134&lt;Inputs!$B$19,AB134&lt;Inputs!$B$19,N134&lt;Inputs!$B$7,N134&gt;Inputs!$B$8),"CHECK","OK"))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</row>
    <row r="135">
      <c r="A135" s="4" t="n"/>
      <c r="B135" s="4" t="n"/>
      <c r="C135" s="8" t="n"/>
      <c r="D135" s="8" t="n"/>
      <c r="E135" s="8">
        <f>SUMIFS(CB_Tributaires!$C:$C,CB_Tributaires!$B:$B,$A135)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IF(A135="","",2.78E-7*IF(G135="",Inputs!$B$17,G135)*F135*I135)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IF(A135="","",IF(OR(T135&gt;1,U135&lt;Inputs!$B$11,U135&gt;Inputs!$B$12,AA135&lt;Inputs!$B$19,AB135&lt;Inputs!$B$19,N135&lt;Inputs!$B$7,N135&gt;Inputs!$B$8),"CHECK","OK"))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</row>
    <row r="136">
      <c r="A136" s="4" t="n"/>
      <c r="B136" s="4" t="n"/>
      <c r="C136" s="8" t="n"/>
      <c r="D136" s="8" t="n"/>
      <c r="E136" s="8">
        <f>SUMIFS(CB_Tributaires!$C:$C,CB_Tributaires!$B:$B,$A136)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IF(A136="","",2.78E-7*IF(G136="",Inputs!$B$17,G136)*F136*I136)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IF(A136="","",IF(OR(T136&gt;1,U136&lt;Inputs!$B$11,U136&gt;Inputs!$B$12,AA136&lt;Inputs!$B$19,AB136&lt;Inputs!$B$19,N136&lt;Inputs!$B$7,N136&gt;Inputs!$B$8),"CHECK","OK"))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</row>
    <row r="137">
      <c r="A137" s="4" t="n"/>
      <c r="B137" s="4" t="n"/>
      <c r="C137" s="8" t="n"/>
      <c r="D137" s="8" t="n"/>
      <c r="E137" s="8">
        <f>SUMIFS(CB_Tributaires!$C:$C,CB_Tributaires!$B:$B,$A137)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IF(A137="","",2.78E-7*IF(G137="",Inputs!$B$17,G137)*F137*I137)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IF(A137="","",IF(OR(T137&gt;1,U137&lt;Inputs!$B$11,U137&gt;Inputs!$B$12,AA137&lt;Inputs!$B$19,AB137&lt;Inputs!$B$19,N137&lt;Inputs!$B$7,N137&gt;Inputs!$B$8),"CHECK","OK"))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</row>
    <row r="138">
      <c r="A138" s="4" t="n"/>
      <c r="B138" s="4" t="n"/>
      <c r="C138" s="8" t="n"/>
      <c r="D138" s="8" t="n"/>
      <c r="E138" s="8">
        <f>SUMIFS(CB_Tributaires!$C:$C,CB_Tributaires!$B:$B,$A138)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IF(A138="","",2.78E-7*IF(G138="",Inputs!$B$17,G138)*F138*I138)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IF(A138="","",IF(OR(T138&gt;1,U138&lt;Inputs!$B$11,U138&gt;Inputs!$B$12,AA138&lt;Inputs!$B$19,AB138&lt;Inputs!$B$19,N138&lt;Inputs!$B$7,N138&gt;Inputs!$B$8),"CHECK","OK"))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</row>
    <row r="139">
      <c r="A139" s="4" t="n"/>
      <c r="B139" s="4" t="n"/>
      <c r="C139" s="8" t="n"/>
      <c r="D139" s="8" t="n"/>
      <c r="E139" s="8">
        <f>SUMIFS(CB_Tributaires!$C:$C,CB_Tributaires!$B:$B,$A139)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IF(A139="","",2.78E-7*IF(G139="",Inputs!$B$17,G139)*F139*I139)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IF(A139="","",IF(OR(T139&gt;1,U139&lt;Inputs!$B$11,U139&gt;Inputs!$B$12,AA139&lt;Inputs!$B$19,AB139&lt;Inputs!$B$19,N139&lt;Inputs!$B$7,N139&gt;Inputs!$B$8),"CHECK","OK"))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</row>
    <row r="140">
      <c r="A140" s="4" t="n"/>
      <c r="B140" s="4" t="n"/>
      <c r="C140" s="8" t="n"/>
      <c r="D140" s="8" t="n"/>
      <c r="E140" s="8">
        <f>SUMIFS(CB_Tributaires!$C:$C,CB_Tributaires!$B:$B,$A140)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IF(A140="","",2.78E-7*IF(G140="",Inputs!$B$17,G140)*F140*I140)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IF(A140="","",IF(OR(T140&gt;1,U140&lt;Inputs!$B$11,U140&gt;Inputs!$B$12,AA140&lt;Inputs!$B$19,AB140&lt;Inputs!$B$19,N140&lt;Inputs!$B$7,N140&gt;Inputs!$B$8),"CHECK","OK"))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</row>
    <row r="141">
      <c r="A141" s="4" t="n"/>
      <c r="B141" s="4" t="n"/>
      <c r="C141" s="8" t="n"/>
      <c r="D141" s="8" t="n"/>
      <c r="E141" s="8">
        <f>SUMIFS(CB_Tributaires!$C:$C,CB_Tributaires!$B:$B,$A141)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IF(A141="","",2.78E-7*IF(G141="",Inputs!$B$17,G141)*F141*I141)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IF(A141="","",IF(OR(T141&gt;1,U141&lt;Inputs!$B$11,U141&gt;Inputs!$B$12,AA141&lt;Inputs!$B$19,AB141&lt;Inputs!$B$19,N141&lt;Inputs!$B$7,N141&gt;Inputs!$B$8),"CHECK","OK"))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</row>
    <row r="142">
      <c r="A142" s="4" t="n"/>
      <c r="B142" s="4" t="n"/>
      <c r="C142" s="8" t="n"/>
      <c r="D142" s="8" t="n"/>
      <c r="E142" s="8">
        <f>SUMIFS(CB_Tributaires!$C:$C,CB_Tributaires!$B:$B,$A142)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IF(A142="","",2.78E-7*IF(G142="",Inputs!$B$17,G142)*F142*I142)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IF(A142="","",IF(OR(T142&gt;1,U142&lt;Inputs!$B$11,U142&gt;Inputs!$B$12,AA142&lt;Inputs!$B$19,AB142&lt;Inputs!$B$19,N142&lt;Inputs!$B$7,N142&gt;Inputs!$B$8),"CHECK","OK"))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</row>
    <row r="143">
      <c r="A143" s="4" t="n"/>
      <c r="B143" s="4" t="n"/>
      <c r="C143" s="8" t="n"/>
      <c r="D143" s="8" t="n"/>
      <c r="E143" s="8">
        <f>SUMIFS(CB_Tributaires!$C:$C,CB_Tributaires!$B:$B,$A143)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IF(A143="","",2.78E-7*IF(G143="",Inputs!$B$17,G143)*F143*I143)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IF(A143="","",IF(OR(T143&gt;1,U143&lt;Inputs!$B$11,U143&gt;Inputs!$B$12,AA143&lt;Inputs!$B$19,AB143&lt;Inputs!$B$19,N143&lt;Inputs!$B$7,N143&gt;Inputs!$B$8),"CHECK","OK"))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</row>
    <row r="144">
      <c r="A144" s="4" t="n"/>
      <c r="B144" s="4" t="n"/>
      <c r="C144" s="8" t="n"/>
      <c r="D144" s="8" t="n"/>
      <c r="E144" s="8">
        <f>SUMIFS(CB_Tributaires!$C:$C,CB_Tributaires!$B:$B,$A144)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IF(A144="","",2.78E-7*IF(G144="",Inputs!$B$17,G144)*F144*I144)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IF(A144="","",IF(OR(T144&gt;1,U144&lt;Inputs!$B$11,U144&gt;Inputs!$B$12,AA144&lt;Inputs!$B$19,AB144&lt;Inputs!$B$19,N144&lt;Inputs!$B$7,N144&gt;Inputs!$B$8),"CHECK","OK"))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</row>
    <row r="145">
      <c r="A145" s="4" t="n"/>
      <c r="B145" s="4" t="n"/>
      <c r="C145" s="8" t="n"/>
      <c r="D145" s="8" t="n"/>
      <c r="E145" s="8">
        <f>SUMIFS(CB_Tributaires!$C:$C,CB_Tributaires!$B:$B,$A145)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IF(A145="","",2.78E-7*IF(G145="",Inputs!$B$17,G145)*F145*I145)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IF(A145="","",IF(OR(T145&gt;1,U145&lt;Inputs!$B$11,U145&gt;Inputs!$B$12,AA145&lt;Inputs!$B$19,AB145&lt;Inputs!$B$19,N145&lt;Inputs!$B$7,N145&gt;Inputs!$B$8),"CHECK","OK"))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</row>
    <row r="146">
      <c r="A146" s="4" t="n"/>
      <c r="B146" s="4" t="n"/>
      <c r="C146" s="8" t="n"/>
      <c r="D146" s="8" t="n"/>
      <c r="E146" s="8">
        <f>SUMIFS(CB_Tributaires!$C:$C,CB_Tributaires!$B:$B,$A146)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IF(A146="","",2.78E-7*IF(G146="",Inputs!$B$17,G146)*F146*I146)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IF(A146="","",IF(OR(T146&gt;1,U146&lt;Inputs!$B$11,U146&gt;Inputs!$B$12,AA146&lt;Inputs!$B$19,AB146&lt;Inputs!$B$19,N146&lt;Inputs!$B$7,N146&gt;Inputs!$B$8),"CHECK","OK"))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</row>
    <row r="147">
      <c r="A147" s="4" t="n"/>
      <c r="B147" s="4" t="n"/>
      <c r="C147" s="8" t="n"/>
      <c r="D147" s="8" t="n"/>
      <c r="E147" s="8">
        <f>SUMIFS(CB_Tributaires!$C:$C,CB_Tributaires!$B:$B,$A147)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IF(A147="","",2.78E-7*IF(G147="",Inputs!$B$17,G147)*F147*I147)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IF(A147="","",IF(OR(T147&gt;1,U147&lt;Inputs!$B$11,U147&gt;Inputs!$B$12,AA147&lt;Inputs!$B$19,AB147&lt;Inputs!$B$19,N147&lt;Inputs!$B$7,N147&gt;Inputs!$B$8),"CHECK","OK"))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</row>
    <row r="148">
      <c r="A148" s="4" t="n"/>
      <c r="B148" s="4" t="n"/>
      <c r="C148" s="8" t="n"/>
      <c r="D148" s="8" t="n"/>
      <c r="E148" s="8">
        <f>SUMIFS(CB_Tributaires!$C:$C,CB_Tributaires!$B:$B,$A148)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IF(A148="","",2.78E-7*IF(G148="",Inputs!$B$17,G148)*F148*I148)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IF(A148="","",IF(OR(T148&gt;1,U148&lt;Inputs!$B$11,U148&gt;Inputs!$B$12,AA148&lt;Inputs!$B$19,AB148&lt;Inputs!$B$19,N148&lt;Inputs!$B$7,N148&gt;Inputs!$B$8),"CHECK","OK"))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</row>
    <row r="149">
      <c r="A149" s="4" t="n"/>
      <c r="B149" s="4" t="n"/>
      <c r="C149" s="8" t="n"/>
      <c r="D149" s="8" t="n"/>
      <c r="E149" s="8">
        <f>SUMIFS(CB_Tributaires!$C:$C,CB_Tributaires!$B:$B,$A149)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IF(A149="","",2.78E-7*IF(G149="",Inputs!$B$17,G149)*F149*I149)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IF(A149="","",IF(OR(T149&gt;1,U149&lt;Inputs!$B$11,U149&gt;Inputs!$B$12,AA149&lt;Inputs!$B$19,AB149&lt;Inputs!$B$19,N149&lt;Inputs!$B$7,N149&gt;Inputs!$B$8),"CHECK","OK"))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</row>
    <row r="150">
      <c r="A150" s="4" t="n"/>
      <c r="B150" s="4" t="n"/>
      <c r="C150" s="8" t="n"/>
      <c r="D150" s="8" t="n"/>
      <c r="E150" s="8">
        <f>SUMIFS(CB_Tributaires!$C:$C,CB_Tributaires!$B:$B,$A150)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IF(A150="","",2.78E-7*IF(G150="",Inputs!$B$17,G150)*F150*I150)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IF(A150="","",IF(OR(T150&gt;1,U150&lt;Inputs!$B$11,U150&gt;Inputs!$B$12,AA150&lt;Inputs!$B$19,AB150&lt;Inputs!$B$19,N150&lt;Inputs!$B$7,N150&gt;Inputs!$B$8),"CHECK","OK"))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</row>
    <row r="151">
      <c r="A151" s="4" t="n"/>
      <c r="B151" s="4" t="n"/>
      <c r="C151" s="8" t="n"/>
      <c r="D151" s="8" t="n"/>
      <c r="E151" s="8">
        <f>SUMIFS(CB_Tributaires!$C:$C,CB_Tributaires!$B:$B,$A151)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IF(A151="","",2.78E-7*IF(G151="",Inputs!$B$17,G151)*F151*I151)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IF(A151="","",IF(OR(T151&gt;1,U151&lt;Inputs!$B$11,U151&gt;Inputs!$B$12,AA151&lt;Inputs!$B$19,AB151&lt;Inputs!$B$19,N151&lt;Inputs!$B$7,N151&gt;Inputs!$B$8),"CHECK","OK"))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</row>
    <row r="152">
      <c r="A152" s="4" t="n"/>
      <c r="B152" s="4" t="n"/>
      <c r="C152" s="8" t="n"/>
      <c r="D152" s="8" t="n"/>
      <c r="E152" s="8">
        <f>SUMIFS(CB_Tributaires!$C:$C,CB_Tributaires!$B:$B,$A152)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IF(A152="","",2.78E-7*IF(G152="",Inputs!$B$17,G152)*F152*I152)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IF(A152="","",IF(OR(T152&gt;1,U152&lt;Inputs!$B$11,U152&gt;Inputs!$B$12,AA152&lt;Inputs!$B$19,AB152&lt;Inputs!$B$19,N152&lt;Inputs!$B$7,N152&gt;Inputs!$B$8),"CHECK","OK"))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</row>
    <row r="153">
      <c r="A153" s="4" t="n"/>
      <c r="B153" s="4" t="n"/>
      <c r="C153" s="8" t="n"/>
      <c r="D153" s="8" t="n"/>
      <c r="E153" s="8">
        <f>SUMIFS(CB_Tributaires!$C:$C,CB_Tributaires!$B:$B,$A153)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IF(A153="","",2.78E-7*IF(G153="",Inputs!$B$17,G153)*F153*I153)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IF(A153="","",IF(OR(T153&gt;1,U153&lt;Inputs!$B$11,U153&gt;Inputs!$B$12,AA153&lt;Inputs!$B$19,AB153&lt;Inputs!$B$19,N153&lt;Inputs!$B$7,N153&gt;Inputs!$B$8),"CHECK","OK"))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</row>
    <row r="154">
      <c r="A154" s="4" t="n"/>
      <c r="B154" s="4" t="n"/>
      <c r="C154" s="8" t="n"/>
      <c r="D154" s="8" t="n"/>
      <c r="E154" s="8">
        <f>SUMIFS(CB_Tributaires!$C:$C,CB_Tributaires!$B:$B,$A154)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IF(A154="","",2.78E-7*IF(G154="",Inputs!$B$17,G154)*F154*I154)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IF(A154="","",IF(OR(T154&gt;1,U154&lt;Inputs!$B$11,U154&gt;Inputs!$B$12,AA154&lt;Inputs!$B$19,AB154&lt;Inputs!$B$19,N154&lt;Inputs!$B$7,N154&gt;Inputs!$B$8),"CHECK","OK"))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</row>
    <row r="155">
      <c r="A155" s="4" t="n"/>
      <c r="B155" s="4" t="n"/>
      <c r="C155" s="8" t="n"/>
      <c r="D155" s="8" t="n"/>
      <c r="E155" s="8">
        <f>SUMIFS(CB_Tributaires!$C:$C,CB_Tributaires!$B:$B,$A155)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IF(A155="","",2.78E-7*IF(G155="",Inputs!$B$17,G155)*F155*I155)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IF(A155="","",IF(OR(T155&gt;1,U155&lt;Inputs!$B$11,U155&gt;Inputs!$B$12,AA155&lt;Inputs!$B$19,AB155&lt;Inputs!$B$19,N155&lt;Inputs!$B$7,N155&gt;Inputs!$B$8),"CHECK","OK"))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</row>
    <row r="156">
      <c r="A156" s="4" t="n"/>
      <c r="B156" s="4" t="n"/>
      <c r="C156" s="8" t="n"/>
      <c r="D156" s="8" t="n"/>
      <c r="E156" s="8">
        <f>SUMIFS(CB_Tributaires!$C:$C,CB_Tributaires!$B:$B,$A156)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IF(A156="","",2.78E-7*IF(G156="",Inputs!$B$17,G156)*F156*I156)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IF(A156="","",IF(OR(T156&gt;1,U156&lt;Inputs!$B$11,U156&gt;Inputs!$B$12,AA156&lt;Inputs!$B$19,AB156&lt;Inputs!$B$19,N156&lt;Inputs!$B$7,N156&gt;Inputs!$B$8),"CHECK","OK"))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</row>
    <row r="157">
      <c r="A157" s="4" t="n"/>
      <c r="B157" s="4" t="n"/>
      <c r="C157" s="8" t="n"/>
      <c r="D157" s="8" t="n"/>
      <c r="E157" s="8">
        <f>SUMIFS(CB_Tributaires!$C:$C,CB_Tributaires!$B:$B,$A157)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IF(A157="","",2.78E-7*IF(G157="",Inputs!$B$17,G157)*F157*I157)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IF(A157="","",IF(OR(T157&gt;1,U157&lt;Inputs!$B$11,U157&gt;Inputs!$B$12,AA157&lt;Inputs!$B$19,AB157&lt;Inputs!$B$19,N157&lt;Inputs!$B$7,N157&gt;Inputs!$B$8),"CHECK","OK"))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</row>
    <row r="158">
      <c r="A158" s="4" t="n"/>
      <c r="B158" s="4" t="n"/>
      <c r="C158" s="8" t="n"/>
      <c r="D158" s="8" t="n"/>
      <c r="E158" s="8">
        <f>SUMIFS(CB_Tributaires!$C:$C,CB_Tributaires!$B:$B,$A158)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IF(A158="","",2.78E-7*IF(G158="",Inputs!$B$17,G158)*F158*I158)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IF(A158="","",IF(OR(T158&gt;1,U158&lt;Inputs!$B$11,U158&gt;Inputs!$B$12,AA158&lt;Inputs!$B$19,AB158&lt;Inputs!$B$19,N158&lt;Inputs!$B$7,N158&gt;Inputs!$B$8),"CHECK","OK"))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</row>
    <row r="159">
      <c r="A159" s="4" t="n"/>
      <c r="B159" s="4" t="n"/>
      <c r="C159" s="8" t="n"/>
      <c r="D159" s="8" t="n"/>
      <c r="E159" s="8">
        <f>SUMIFS(CB_Tributaires!$C:$C,CB_Tributaires!$B:$B,$A159)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IF(A159="","",2.78E-7*IF(G159="",Inputs!$B$17,G159)*F159*I159)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IF(A159="","",IF(OR(T159&gt;1,U159&lt;Inputs!$B$11,U159&gt;Inputs!$B$12,AA159&lt;Inputs!$B$19,AB159&lt;Inputs!$B$19,N159&lt;Inputs!$B$7,N159&gt;Inputs!$B$8),"CHECK","OK"))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</row>
    <row r="160">
      <c r="A160" s="4" t="n"/>
      <c r="B160" s="4" t="n"/>
      <c r="C160" s="8" t="n"/>
      <c r="D160" s="8" t="n"/>
      <c r="E160" s="8">
        <f>SUMIFS(CB_Tributaires!$C:$C,CB_Tributaires!$B:$B,$A160)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IF(A160="","",2.78E-7*IF(G160="",Inputs!$B$17,G160)*F160*I160)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IF(A160="","",IF(OR(T160&gt;1,U160&lt;Inputs!$B$11,U160&gt;Inputs!$B$12,AA160&lt;Inputs!$B$19,AB160&lt;Inputs!$B$19,N160&lt;Inputs!$B$7,N160&gt;Inputs!$B$8),"CHECK","OK"))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</row>
    <row r="161">
      <c r="A161" s="4" t="n"/>
      <c r="B161" s="4" t="n"/>
      <c r="C161" s="8" t="n"/>
      <c r="D161" s="8" t="n"/>
      <c r="E161" s="8">
        <f>SUMIFS(CB_Tributaires!$C:$C,CB_Tributaires!$B:$B,$A161)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IF(A161="","",2.78E-7*IF(G161="",Inputs!$B$17,G161)*F161*I161)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IF(A161="","",IF(OR(T161&gt;1,U161&lt;Inputs!$B$11,U161&gt;Inputs!$B$12,AA161&lt;Inputs!$B$19,AB161&lt;Inputs!$B$19,N161&lt;Inputs!$B$7,N161&gt;Inputs!$B$8),"CHECK","OK"))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</row>
    <row r="162">
      <c r="A162" s="4" t="n"/>
      <c r="B162" s="4" t="n"/>
      <c r="C162" s="8" t="n"/>
      <c r="D162" s="8" t="n"/>
      <c r="E162" s="8">
        <f>SUMIFS(CB_Tributaires!$C:$C,CB_Tributaires!$B:$B,$A162)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IF(A162="","",2.78E-7*IF(G162="",Inputs!$B$17,G162)*F162*I162)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IF(A162="","",IF(OR(T162&gt;1,U162&lt;Inputs!$B$11,U162&gt;Inputs!$B$12,AA162&lt;Inputs!$B$19,AB162&lt;Inputs!$B$19,N162&lt;Inputs!$B$7,N162&gt;Inputs!$B$8),"CHECK","OK"))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</row>
    <row r="163">
      <c r="A163" s="4" t="n"/>
      <c r="B163" s="4" t="n"/>
      <c r="C163" s="8" t="n"/>
      <c r="D163" s="8" t="n"/>
      <c r="E163" s="8">
        <f>SUMIFS(CB_Tributaires!$C:$C,CB_Tributaires!$B:$B,$A163)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IF(A163="","",2.78E-7*IF(G163="",Inputs!$B$17,G163)*F163*I163)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IF(A163="","",IF(OR(T163&gt;1,U163&lt;Inputs!$B$11,U163&gt;Inputs!$B$12,AA163&lt;Inputs!$B$19,AB163&lt;Inputs!$B$19,N163&lt;Inputs!$B$7,N163&gt;Inputs!$B$8),"CHECK","OK"))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</row>
    <row r="164">
      <c r="A164" s="4" t="n"/>
      <c r="B164" s="4" t="n"/>
      <c r="C164" s="8" t="n"/>
      <c r="D164" s="8" t="n"/>
      <c r="E164" s="8">
        <f>SUMIFS(CB_Tributaires!$C:$C,CB_Tributaires!$B:$B,$A164)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IF(A164="","",2.78E-7*IF(G164="",Inputs!$B$17,G164)*F164*I164)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IF(A164="","",IF(OR(T164&gt;1,U164&lt;Inputs!$B$11,U164&gt;Inputs!$B$12,AA164&lt;Inputs!$B$19,AB164&lt;Inputs!$B$19,N164&lt;Inputs!$B$7,N164&gt;Inputs!$B$8),"CHECK","OK"))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</row>
    <row r="165">
      <c r="A165" s="4" t="n"/>
      <c r="B165" s="4" t="n"/>
      <c r="C165" s="8" t="n"/>
      <c r="D165" s="8" t="n"/>
      <c r="E165" s="8">
        <f>SUMIFS(CB_Tributaires!$C:$C,CB_Tributaires!$B:$B,$A165)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IF(A165="","",2.78E-7*IF(G165="",Inputs!$B$17,G165)*F165*I165)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IF(A165="","",IF(OR(T165&gt;1,U165&lt;Inputs!$B$11,U165&gt;Inputs!$B$12,AA165&lt;Inputs!$B$19,AB165&lt;Inputs!$B$19,N165&lt;Inputs!$B$7,N165&gt;Inputs!$B$8),"CHECK","OK"))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</row>
    <row r="166">
      <c r="A166" s="4" t="n"/>
      <c r="B166" s="4" t="n"/>
      <c r="C166" s="8" t="n"/>
      <c r="D166" s="8" t="n"/>
      <c r="E166" s="8">
        <f>SUMIFS(CB_Tributaires!$C:$C,CB_Tributaires!$B:$B,$A166)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IF(A166="","",2.78E-7*IF(G166="",Inputs!$B$17,G166)*F166*I166)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IF(A166="","",IF(OR(T166&gt;1,U166&lt;Inputs!$B$11,U166&gt;Inputs!$B$12,AA166&lt;Inputs!$B$19,AB166&lt;Inputs!$B$19,N166&lt;Inputs!$B$7,N166&gt;Inputs!$B$8),"CHECK","OK"))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</row>
    <row r="167">
      <c r="A167" s="4" t="n"/>
      <c r="B167" s="4" t="n"/>
      <c r="C167" s="8" t="n"/>
      <c r="D167" s="8" t="n"/>
      <c r="E167" s="8">
        <f>SUMIFS(CB_Tributaires!$C:$C,CB_Tributaires!$B:$B,$A167)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IF(A167="","",2.78E-7*IF(G167="",Inputs!$B$17,G167)*F167*I167)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IF(A167="","",IF(OR(T167&gt;1,U167&lt;Inputs!$B$11,U167&gt;Inputs!$B$12,AA167&lt;Inputs!$B$19,AB167&lt;Inputs!$B$19,N167&lt;Inputs!$B$7,N167&gt;Inputs!$B$8),"CHECK","OK"))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</row>
    <row r="168">
      <c r="A168" s="4" t="n"/>
      <c r="B168" s="4" t="n"/>
      <c r="C168" s="8" t="n"/>
      <c r="D168" s="8" t="n"/>
      <c r="E168" s="8">
        <f>SUMIFS(CB_Tributaires!$C:$C,CB_Tributaires!$B:$B,$A168)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IF(A168="","",2.78E-7*IF(G168="",Inputs!$B$17,G168)*F168*I168)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IF(A168="","",IF(OR(T168&gt;1,U168&lt;Inputs!$B$11,U168&gt;Inputs!$B$12,AA168&lt;Inputs!$B$19,AB168&lt;Inputs!$B$19,N168&lt;Inputs!$B$7,N168&gt;Inputs!$B$8),"CHECK","OK"))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</row>
    <row r="169">
      <c r="A169" s="4" t="n"/>
      <c r="B169" s="4" t="n"/>
      <c r="C169" s="8" t="n"/>
      <c r="D169" s="8" t="n"/>
      <c r="E169" s="8">
        <f>SUMIFS(CB_Tributaires!$C:$C,CB_Tributaires!$B:$B,$A169)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IF(A169="","",2.78E-7*IF(G169="",Inputs!$B$17,G169)*F169*I169)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IF(A169="","",IF(OR(T169&gt;1,U169&lt;Inputs!$B$11,U169&gt;Inputs!$B$12,AA169&lt;Inputs!$B$19,AB169&lt;Inputs!$B$19,N169&lt;Inputs!$B$7,N169&gt;Inputs!$B$8),"CHECK","OK"))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</row>
    <row r="170">
      <c r="A170" s="4" t="n"/>
      <c r="B170" s="4" t="n"/>
      <c r="C170" s="8" t="n"/>
      <c r="D170" s="8" t="n"/>
      <c r="E170" s="8">
        <f>SUMIFS(CB_Tributaires!$C:$C,CB_Tributaires!$B:$B,$A170)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IF(A170="","",2.78E-7*IF(G170="",Inputs!$B$17,G170)*F170*I170)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IF(A170="","",IF(OR(T170&gt;1,U170&lt;Inputs!$B$11,U170&gt;Inputs!$B$12,AA170&lt;Inputs!$B$19,AB170&lt;Inputs!$B$19,N170&lt;Inputs!$B$7,N170&gt;Inputs!$B$8),"CHECK","OK"))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</row>
    <row r="171">
      <c r="A171" s="4" t="n"/>
      <c r="B171" s="4" t="n"/>
      <c r="C171" s="8" t="n"/>
      <c r="D171" s="8" t="n"/>
      <c r="E171" s="8">
        <f>SUMIFS(CB_Tributaires!$C:$C,CB_Tributaires!$B:$B,$A171)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IF(A171="","",2.78E-7*IF(G171="",Inputs!$B$17,G171)*F171*I171)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IF(A171="","",IF(OR(T171&gt;1,U171&lt;Inputs!$B$11,U171&gt;Inputs!$B$12,AA171&lt;Inputs!$B$19,AB171&lt;Inputs!$B$19,N171&lt;Inputs!$B$7,N171&gt;Inputs!$B$8),"CHECK","OK"))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</row>
    <row r="172">
      <c r="A172" s="4" t="n"/>
      <c r="B172" s="4" t="n"/>
      <c r="C172" s="8" t="n"/>
      <c r="D172" s="8" t="n"/>
      <c r="E172" s="8">
        <f>SUMIFS(CB_Tributaires!$C:$C,CB_Tributaires!$B:$B,$A172)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IF(A172="","",2.78E-7*IF(G172="",Inputs!$B$17,G172)*F172*I172)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IF(A172="","",IF(OR(T172&gt;1,U172&lt;Inputs!$B$11,U172&gt;Inputs!$B$12,AA172&lt;Inputs!$B$19,AB172&lt;Inputs!$B$19,N172&lt;Inputs!$B$7,N172&gt;Inputs!$B$8),"CHECK","OK"))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</row>
    <row r="173">
      <c r="A173" s="4" t="n"/>
      <c r="B173" s="4" t="n"/>
      <c r="C173" s="8" t="n"/>
      <c r="D173" s="8" t="n"/>
      <c r="E173" s="8">
        <f>SUMIFS(CB_Tributaires!$C:$C,CB_Tributaires!$B:$B,$A173)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IF(A173="","",2.78E-7*IF(G173="",Inputs!$B$17,G173)*F173*I173)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IF(A173="","",IF(OR(T173&gt;1,U173&lt;Inputs!$B$11,U173&gt;Inputs!$B$12,AA173&lt;Inputs!$B$19,AB173&lt;Inputs!$B$19,N173&lt;Inputs!$B$7,N173&gt;Inputs!$B$8),"CHECK","OK"))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</row>
    <row r="174">
      <c r="A174" s="4" t="n"/>
      <c r="B174" s="4" t="n"/>
      <c r="C174" s="8" t="n"/>
      <c r="D174" s="8" t="n"/>
      <c r="E174" s="8">
        <f>SUMIFS(CB_Tributaires!$C:$C,CB_Tributaires!$B:$B,$A174)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IF(A174="","",2.78E-7*IF(G174="",Inputs!$B$17,G174)*F174*I174)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IF(A174="","",IF(OR(T174&gt;1,U174&lt;Inputs!$B$11,U174&gt;Inputs!$B$12,AA174&lt;Inputs!$B$19,AB174&lt;Inputs!$B$19,N174&lt;Inputs!$B$7,N174&gt;Inputs!$B$8),"CHECK","OK"))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</row>
    <row r="175">
      <c r="A175" s="4" t="n"/>
      <c r="B175" s="4" t="n"/>
      <c r="C175" s="8" t="n"/>
      <c r="D175" s="8" t="n"/>
      <c r="E175" s="8">
        <f>SUMIFS(CB_Tributaires!$C:$C,CB_Tributaires!$B:$B,$A175)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IF(A175="","",2.78E-7*IF(G175="",Inputs!$B$17,G175)*F175*I175)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IF(A175="","",IF(OR(T175&gt;1,U175&lt;Inputs!$B$11,U175&gt;Inputs!$B$12,AA175&lt;Inputs!$B$19,AB175&lt;Inputs!$B$19,N175&lt;Inputs!$B$7,N175&gt;Inputs!$B$8),"CHECK","OK"))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</row>
    <row r="176">
      <c r="A176" s="4" t="n"/>
      <c r="B176" s="4" t="n"/>
      <c r="C176" s="8" t="n"/>
      <c r="D176" s="8" t="n"/>
      <c r="E176" s="8">
        <f>SUMIFS(CB_Tributaires!$C:$C,CB_Tributaires!$B:$B,$A176)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IF(A176="","",2.78E-7*IF(G176="",Inputs!$B$17,G176)*F176*I176)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IF(A176="","",IF(OR(T176&gt;1,U176&lt;Inputs!$B$11,U176&gt;Inputs!$B$12,AA176&lt;Inputs!$B$19,AB176&lt;Inputs!$B$19,N176&lt;Inputs!$B$7,N176&gt;Inputs!$B$8),"CHECK","OK"))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</row>
    <row r="177">
      <c r="A177" s="4" t="n"/>
      <c r="B177" s="4" t="n"/>
      <c r="C177" s="8" t="n"/>
      <c r="D177" s="8" t="n"/>
      <c r="E177" s="8">
        <f>SUMIFS(CB_Tributaires!$C:$C,CB_Tributaires!$B:$B,$A177)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IF(A177="","",2.78E-7*IF(G177="",Inputs!$B$17,G177)*F177*I177)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IF(A177="","",IF(OR(T177&gt;1,U177&lt;Inputs!$B$11,U177&gt;Inputs!$B$12,AA177&lt;Inputs!$B$19,AB177&lt;Inputs!$B$19,N177&lt;Inputs!$B$7,N177&gt;Inputs!$B$8),"CHECK","OK"))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</row>
    <row r="178">
      <c r="A178" s="4" t="n"/>
      <c r="B178" s="4" t="n"/>
      <c r="C178" s="8" t="n"/>
      <c r="D178" s="8" t="n"/>
      <c r="E178" s="8">
        <f>SUMIFS(CB_Tributaires!$C:$C,CB_Tributaires!$B:$B,$A178)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IF(A178="","",2.78E-7*IF(G178="",Inputs!$B$17,G178)*F178*I178)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IF(A178="","",IF(OR(T178&gt;1,U178&lt;Inputs!$B$11,U178&gt;Inputs!$B$12,AA178&lt;Inputs!$B$19,AB178&lt;Inputs!$B$19,N178&lt;Inputs!$B$7,N178&gt;Inputs!$B$8),"CHECK","OK"))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</row>
    <row r="179">
      <c r="A179" s="4" t="n"/>
      <c r="B179" s="4" t="n"/>
      <c r="C179" s="8" t="n"/>
      <c r="D179" s="8" t="n"/>
      <c r="E179" s="8">
        <f>SUMIFS(CB_Tributaires!$C:$C,CB_Tributaires!$B:$B,$A179)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IF(A179="","",2.78E-7*IF(G179="",Inputs!$B$17,G179)*F179*I179)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IF(A179="","",IF(OR(T179&gt;1,U179&lt;Inputs!$B$11,U179&gt;Inputs!$B$12,AA179&lt;Inputs!$B$19,AB179&lt;Inputs!$B$19,N179&lt;Inputs!$B$7,N179&gt;Inputs!$B$8),"CHECK","OK"))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</row>
    <row r="180">
      <c r="A180" s="4" t="n"/>
      <c r="B180" s="4" t="n"/>
      <c r="C180" s="8" t="n"/>
      <c r="D180" s="8" t="n"/>
      <c r="E180" s="8">
        <f>SUMIFS(CB_Tributaires!$C:$C,CB_Tributaires!$B:$B,$A180)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IF(A180="","",2.78E-7*IF(G180="",Inputs!$B$17,G180)*F180*I180)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IF(A180="","",IF(OR(T180&gt;1,U180&lt;Inputs!$B$11,U180&gt;Inputs!$B$12,AA180&lt;Inputs!$B$19,AB180&lt;Inputs!$B$19,N180&lt;Inputs!$B$7,N180&gt;Inputs!$B$8),"CHECK","OK"))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</row>
    <row r="181">
      <c r="A181" s="4" t="n"/>
      <c r="B181" s="4" t="n"/>
      <c r="C181" s="8" t="n"/>
      <c r="D181" s="8" t="n"/>
      <c r="E181" s="8">
        <f>SUMIFS(CB_Tributaires!$C:$C,CB_Tributaires!$B:$B,$A181)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IF(A181="","",2.78E-7*IF(G181="",Inputs!$B$17,G181)*F181*I181)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IF(A181="","",IF(OR(T181&gt;1,U181&lt;Inputs!$B$11,U181&gt;Inputs!$B$12,AA181&lt;Inputs!$B$19,AB181&lt;Inputs!$B$19,N181&lt;Inputs!$B$7,N181&gt;Inputs!$B$8),"CHECK","OK"))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</row>
    <row r="182">
      <c r="A182" s="4" t="n"/>
      <c r="B182" s="4" t="n"/>
      <c r="C182" s="8" t="n"/>
      <c r="D182" s="8" t="n"/>
      <c r="E182" s="8">
        <f>SUMIFS(CB_Tributaires!$C:$C,CB_Tributaires!$B:$B,$A182)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IF(A182="","",2.78E-7*IF(G182="",Inputs!$B$17,G182)*F182*I182)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IF(A182="","",IF(OR(T182&gt;1,U182&lt;Inputs!$B$11,U182&gt;Inputs!$B$12,AA182&lt;Inputs!$B$19,AB182&lt;Inputs!$B$19,N182&lt;Inputs!$B$7,N182&gt;Inputs!$B$8),"CHECK","OK"))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</row>
    <row r="183">
      <c r="A183" s="4" t="n"/>
      <c r="B183" s="4" t="n"/>
      <c r="C183" s="8" t="n"/>
      <c r="D183" s="8" t="n"/>
      <c r="E183" s="8">
        <f>SUMIFS(CB_Tributaires!$C:$C,CB_Tributaires!$B:$B,$A183)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IF(A183="","",2.78E-7*IF(G183="",Inputs!$B$17,G183)*F183*I183)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IF(A183="","",IF(OR(T183&gt;1,U183&lt;Inputs!$B$11,U183&gt;Inputs!$B$12,AA183&lt;Inputs!$B$19,AB183&lt;Inputs!$B$19,N183&lt;Inputs!$B$7,N183&gt;Inputs!$B$8),"CHECK","OK"))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</row>
    <row r="184">
      <c r="A184" s="4" t="n"/>
      <c r="B184" s="4" t="n"/>
      <c r="C184" s="8" t="n"/>
      <c r="D184" s="8" t="n"/>
      <c r="E184" s="8">
        <f>SUMIFS(CB_Tributaires!$C:$C,CB_Tributaires!$B:$B,$A184)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IF(A184="","",2.78E-7*IF(G184="",Inputs!$B$17,G184)*F184*I184)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IF(A184="","",IF(OR(T184&gt;1,U184&lt;Inputs!$B$11,U184&gt;Inputs!$B$12,AA184&lt;Inputs!$B$19,AB184&lt;Inputs!$B$19,N184&lt;Inputs!$B$7,N184&gt;Inputs!$B$8),"CHECK","OK"))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</row>
    <row r="185">
      <c r="A185" s="4" t="n"/>
      <c r="B185" s="4" t="n"/>
      <c r="C185" s="8" t="n"/>
      <c r="D185" s="8" t="n"/>
      <c r="E185" s="8">
        <f>SUMIFS(CB_Tributaires!$C:$C,CB_Tributaires!$B:$B,$A185)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IF(A185="","",2.78E-7*IF(G185="",Inputs!$B$17,G185)*F185*I185)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IF(A185="","",IF(OR(T185&gt;1,U185&lt;Inputs!$B$11,U185&gt;Inputs!$B$12,AA185&lt;Inputs!$B$19,AB185&lt;Inputs!$B$19,N185&lt;Inputs!$B$7,N185&gt;Inputs!$B$8),"CHECK","OK"))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</row>
    <row r="186">
      <c r="A186" s="4" t="n"/>
      <c r="B186" s="4" t="n"/>
      <c r="C186" s="8" t="n"/>
      <c r="D186" s="8" t="n"/>
      <c r="E186" s="8">
        <f>SUMIFS(CB_Tributaires!$C:$C,CB_Tributaires!$B:$B,$A186)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IF(A186="","",2.78E-7*IF(G186="",Inputs!$B$17,G186)*F186*I186)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IF(A186="","",IF(OR(T186&gt;1,U186&lt;Inputs!$B$11,U186&gt;Inputs!$B$12,AA186&lt;Inputs!$B$19,AB186&lt;Inputs!$B$19,N186&lt;Inputs!$B$7,N186&gt;Inputs!$B$8),"CHECK","OK"))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</row>
    <row r="187">
      <c r="A187" s="4" t="n"/>
      <c r="B187" s="4" t="n"/>
      <c r="C187" s="8" t="n"/>
      <c r="D187" s="8" t="n"/>
      <c r="E187" s="8">
        <f>SUMIFS(CB_Tributaires!$C:$C,CB_Tributaires!$B:$B,$A187)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IF(A187="","",2.78E-7*IF(G187="",Inputs!$B$17,G187)*F187*I187)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IF(A187="","",IF(OR(T187&gt;1,U187&lt;Inputs!$B$11,U187&gt;Inputs!$B$12,AA187&lt;Inputs!$B$19,AB187&lt;Inputs!$B$19,N187&lt;Inputs!$B$7,N187&gt;Inputs!$B$8),"CHECK","OK"))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</row>
    <row r="188">
      <c r="A188" s="4" t="n"/>
      <c r="B188" s="4" t="n"/>
      <c r="C188" s="8" t="n"/>
      <c r="D188" s="8" t="n"/>
      <c r="E188" s="8">
        <f>SUMIFS(CB_Tributaires!$C:$C,CB_Tributaires!$B:$B,$A188)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IF(A188="","",2.78E-7*IF(G188="",Inputs!$B$17,G188)*F188*I188)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IF(A188="","",IF(OR(T188&gt;1,U188&lt;Inputs!$B$11,U188&gt;Inputs!$B$12,AA188&lt;Inputs!$B$19,AB188&lt;Inputs!$B$19,N188&lt;Inputs!$B$7,N188&gt;Inputs!$B$8),"CHECK","OK"))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</row>
    <row r="189">
      <c r="A189" s="4" t="n"/>
      <c r="B189" s="4" t="n"/>
      <c r="C189" s="8" t="n"/>
      <c r="D189" s="8" t="n"/>
      <c r="E189" s="8">
        <f>SUMIFS(CB_Tributaires!$C:$C,CB_Tributaires!$B:$B,$A189)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IF(A189="","",2.78E-7*IF(G189="",Inputs!$B$17,G189)*F189*I189)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IF(A189="","",IF(OR(T189&gt;1,U189&lt;Inputs!$B$11,U189&gt;Inputs!$B$12,AA189&lt;Inputs!$B$19,AB189&lt;Inputs!$B$19,N189&lt;Inputs!$B$7,N189&gt;Inputs!$B$8),"CHECK","OK"))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</row>
    <row r="190">
      <c r="A190" s="4" t="n"/>
      <c r="B190" s="4" t="n"/>
      <c r="C190" s="8" t="n"/>
      <c r="D190" s="8" t="n"/>
      <c r="E190" s="8">
        <f>SUMIFS(CB_Tributaires!$C:$C,CB_Tributaires!$B:$B,$A190)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IF(A190="","",2.78E-7*IF(G190="",Inputs!$B$17,G190)*F190*I190)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IF(A190="","",IF(OR(T190&gt;1,U190&lt;Inputs!$B$11,U190&gt;Inputs!$B$12,AA190&lt;Inputs!$B$19,AB190&lt;Inputs!$B$19,N190&lt;Inputs!$B$7,N190&gt;Inputs!$B$8),"CHECK","OK"))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</row>
    <row r="191">
      <c r="A191" s="4" t="n"/>
      <c r="B191" s="4" t="n"/>
      <c r="C191" s="8" t="n"/>
      <c r="D191" s="8" t="n"/>
      <c r="E191" s="8">
        <f>SUMIFS(CB_Tributaires!$C:$C,CB_Tributaires!$B:$B,$A191)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IF(A191="","",2.78E-7*IF(G191="",Inputs!$B$17,G191)*F191*I191)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IF(A191="","",IF(OR(T191&gt;1,U191&lt;Inputs!$B$11,U191&gt;Inputs!$B$12,AA191&lt;Inputs!$B$19,AB191&lt;Inputs!$B$19,N191&lt;Inputs!$B$7,N191&gt;Inputs!$B$8),"CHECK","OK"))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</row>
    <row r="192">
      <c r="A192" s="4" t="n"/>
      <c r="B192" s="4" t="n"/>
      <c r="C192" s="8" t="n"/>
      <c r="D192" s="8" t="n"/>
      <c r="E192" s="8">
        <f>SUMIFS(CB_Tributaires!$C:$C,CB_Tributaires!$B:$B,$A192)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IF(A192="","",2.78E-7*IF(G192="",Inputs!$B$17,G192)*F192*I192)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IF(A192="","",IF(OR(T192&gt;1,U192&lt;Inputs!$B$11,U192&gt;Inputs!$B$12,AA192&lt;Inputs!$B$19,AB192&lt;Inputs!$B$19,N192&lt;Inputs!$B$7,N192&gt;Inputs!$B$8),"CHECK","OK"))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</row>
    <row r="193">
      <c r="A193" s="4" t="n"/>
      <c r="B193" s="4" t="n"/>
      <c r="C193" s="8" t="n"/>
      <c r="D193" s="8" t="n"/>
      <c r="E193" s="8">
        <f>SUMIFS(CB_Tributaires!$C:$C,CB_Tributaires!$B:$B,$A193)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IF(A193="","",2.78E-7*IF(G193="",Inputs!$B$17,G193)*F193*I193)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IF(A193="","",IF(OR(T193&gt;1,U193&lt;Inputs!$B$11,U193&gt;Inputs!$B$12,AA193&lt;Inputs!$B$19,AB193&lt;Inputs!$B$19,N193&lt;Inputs!$B$7,N193&gt;Inputs!$B$8),"CHECK","OK"))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</row>
    <row r="194">
      <c r="A194" s="4" t="n"/>
      <c r="B194" s="4" t="n"/>
      <c r="C194" s="8" t="n"/>
      <c r="D194" s="8" t="n"/>
      <c r="E194" s="8">
        <f>SUMIFS(CB_Tributaires!$C:$C,CB_Tributaires!$B:$B,$A194)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IF(A194="","",2.78E-7*IF(G194="",Inputs!$B$17,G194)*F194*I194)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IF(A194="","",IF(OR(T194&gt;1,U194&lt;Inputs!$B$11,U194&gt;Inputs!$B$12,AA194&lt;Inputs!$B$19,AB194&lt;Inputs!$B$19,N194&lt;Inputs!$B$7,N194&gt;Inputs!$B$8),"CHECK","OK"))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</row>
    <row r="195">
      <c r="A195" s="4" t="n"/>
      <c r="B195" s="4" t="n"/>
      <c r="C195" s="8" t="n"/>
      <c r="D195" s="8" t="n"/>
      <c r="E195" s="8">
        <f>SUMIFS(CB_Tributaires!$C:$C,CB_Tributaires!$B:$B,$A195)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IF(A195="","",2.78E-7*IF(G195="",Inputs!$B$17,G195)*F195*I195)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IF(A195="","",IF(OR(T195&gt;1,U195&lt;Inputs!$B$11,U195&gt;Inputs!$B$12,AA195&lt;Inputs!$B$19,AB195&lt;Inputs!$B$19,N195&lt;Inputs!$B$7,N195&gt;Inputs!$B$8),"CHECK","OK"))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</row>
    <row r="196">
      <c r="A196" s="4" t="n"/>
      <c r="B196" s="4" t="n"/>
      <c r="C196" s="8" t="n"/>
      <c r="D196" s="8" t="n"/>
      <c r="E196" s="8">
        <f>SUMIFS(CB_Tributaires!$C:$C,CB_Tributaires!$B:$B,$A196)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IF(A196="","",2.78E-7*IF(G196="",Inputs!$B$17,G196)*F196*I196)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IF(A196="","",IF(OR(T196&gt;1,U196&lt;Inputs!$B$11,U196&gt;Inputs!$B$12,AA196&lt;Inputs!$B$19,AB196&lt;Inputs!$B$19,N196&lt;Inputs!$B$7,N196&gt;Inputs!$B$8),"CHECK","OK"))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</row>
    <row r="197">
      <c r="A197" s="4" t="n"/>
      <c r="B197" s="4" t="n"/>
      <c r="C197" s="8" t="n"/>
      <c r="D197" s="8" t="n"/>
      <c r="E197" s="8">
        <f>SUMIFS(CB_Tributaires!$C:$C,CB_Tributaires!$B:$B,$A197)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IF(A197="","",2.78E-7*IF(G197="",Inputs!$B$17,G197)*F197*I197)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IF(A197="","",IF(OR(T197&gt;1,U197&lt;Inputs!$B$11,U197&gt;Inputs!$B$12,AA197&lt;Inputs!$B$19,AB197&lt;Inputs!$B$19,N197&lt;Inputs!$B$7,N197&gt;Inputs!$B$8),"CHECK","OK"))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</row>
    <row r="198">
      <c r="A198" s="4" t="n"/>
      <c r="B198" s="4" t="n"/>
      <c r="C198" s="8" t="n"/>
      <c r="D198" s="8" t="n"/>
      <c r="E198" s="8">
        <f>SUMIFS(CB_Tributaires!$C:$C,CB_Tributaires!$B:$B,$A198)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IF(A198="","",2.78E-7*IF(G198="",Inputs!$B$17,G198)*F198*I198)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IF(A198="","",IF(OR(T198&gt;1,U198&lt;Inputs!$B$11,U198&gt;Inputs!$B$12,AA198&lt;Inputs!$B$19,AB198&lt;Inputs!$B$19,N198&lt;Inputs!$B$7,N198&gt;Inputs!$B$8),"CHECK","OK"))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</row>
    <row r="199">
      <c r="A199" s="4" t="n"/>
      <c r="B199" s="4" t="n"/>
      <c r="C199" s="8" t="n"/>
      <c r="D199" s="8" t="n"/>
      <c r="E199" s="8">
        <f>SUMIFS(CB_Tributaires!$C:$C,CB_Tributaires!$B:$B,$A199)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IF(A199="","",2.78E-7*IF(G199="",Inputs!$B$17,G199)*F199*I199)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IF(A199="","",IF(OR(T199&gt;1,U199&lt;Inputs!$B$11,U199&gt;Inputs!$B$12,AA199&lt;Inputs!$B$19,AB199&lt;Inputs!$B$19,N199&lt;Inputs!$B$7,N199&gt;Inputs!$B$8),"CHECK","OK"))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</row>
    <row r="200">
      <c r="A200" s="4" t="n"/>
      <c r="B200" s="4" t="n"/>
      <c r="C200" s="8" t="n"/>
      <c r="D200" s="8" t="n"/>
      <c r="E200" s="8">
        <f>SUMIFS(CB_Tributaires!$C:$C,CB_Tributaires!$B:$B,$A200)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IF(A200="","",2.78E-7*IF(G200="",Inputs!$B$17,G200)*F200*I200)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IF(A200="","",IF(OR(T200&gt;1,U200&lt;Inputs!$B$11,U200&gt;Inputs!$B$12,AA200&lt;Inputs!$B$19,AB200&lt;Inputs!$B$19,N200&lt;Inputs!$B$7,N200&gt;Inputs!$B$8),"CHECK","OK"))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</row>
    <row r="201">
      <c r="A201" s="4" t="n"/>
      <c r="B201" s="4" t="n"/>
      <c r="C201" s="8" t="n"/>
      <c r="D201" s="8" t="n"/>
      <c r="E201" s="8">
        <f>SUMIFS(CB_Tributaires!$C:$C,CB_Tributaires!$B:$B,$A201)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IF(A201="","",2.78E-7*IF(G201="",Inputs!$B$17,G201)*F201*I201)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IF(A201="","",IF(OR(T201&gt;1,U201&lt;Inputs!$B$11,U201&gt;Inputs!$B$12,AA201&lt;Inputs!$B$19,AB201&lt;Inputs!$B$19,N201&lt;Inputs!$B$7,N201&gt;Inputs!$B$8),"CHECK","OK"))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</row>
    <row r="202">
      <c r="A202" s="4" t="n"/>
      <c r="B202" s="4" t="n"/>
      <c r="C202" s="8" t="n"/>
      <c r="D202" s="8" t="n"/>
      <c r="E202" s="8">
        <f>SUMIFS(CB_Tributaires!$C:$C,CB_Tributaires!$B:$B,$A202)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IF(A202="","",2.78E-7*IF(G202="",Inputs!$B$17,G202)*F202*I202)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IF(A202="","",IF(OR(T202&gt;1,U202&lt;Inputs!$B$11,U202&gt;Inputs!$B$12,AA202&lt;Inputs!$B$19,AB202&lt;Inputs!$B$19,N202&lt;Inputs!$B$7,N202&gt;Inputs!$B$8),"CHECK","OK"))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</row>
    <row r="203">
      <c r="A203" s="4" t="n"/>
      <c r="B203" s="4" t="n"/>
      <c r="C203" s="8" t="n"/>
      <c r="D203" s="8" t="n"/>
      <c r="E203" s="8">
        <f>SUMIFS(CB_Tributaires!$C:$C,CB_Tributaires!$B:$B,$A203)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IF(A203="","",2.78E-7*IF(G203="",Inputs!$B$17,G203)*F203*I203)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IF(A203="","",IF(OR(T203&gt;1,U203&lt;Inputs!$B$11,U203&gt;Inputs!$B$12,AA203&lt;Inputs!$B$19,AB203&lt;Inputs!$B$19,N203&lt;Inputs!$B$7,N203&gt;Inputs!$B$8),"CHECK","OK"))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</row>
  </sheetData>
  <mergeCells count="1">
    <mergeCell ref="A1:AM1"/>
  </mergeCells>
  <conditionalFormatting sqref="AC4:AC203">
    <cfRule type="expression" priority="1" dxfId="0">
      <formula>$AC4="CHECK"</formula>
    </cfRule>
  </conditionalFormatting>
  <conditionalFormatting sqref="T4:T203">
    <cfRule type="cellIs" priority="2" operator="greaterThan" dxfId="0">
      <formula>1</formula>
    </cfRule>
  </conditionalFormatting>
  <conditionalFormatting sqref="U4:U203">
    <cfRule type="expression" priority="3" dxfId="0">
      <formula>$U4&lt;Inputs!$B$11</formula>
    </cfRule>
    <cfRule type="expression" priority="4" dxfId="0">
      <formula>$U4&gt;Inputs!$B$12</formula>
    </cfRule>
  </conditionalFormatting>
  <conditionalFormatting sqref="AA4:AA203">
    <cfRule type="expression" priority="5" dxfId="0">
      <formula>$AA4&lt;Inputs!$B$19</formula>
    </cfRule>
  </conditionalFormatting>
  <conditionalFormatting sqref="AB4:AB203">
    <cfRule type="expression" priority="6" dxfId="0">
      <formula>$AB4&lt;Inputs!$B$19</formula>
    </cfRule>
  </conditionalFormatting>
  <conditionalFormatting sqref="N4:N203">
    <cfRule type="expression" priority="7" dxfId="0">
      <formula>$N4&lt;Inputs!$B$7</formula>
    </cfRule>
    <cfRule type="expression" priority="8" dxfId="0">
      <formula>$N4&gt;Inputs!$B$8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50" customWidth="1" min="6" max="6"/>
  </cols>
  <sheetData>
    <row r="1">
      <c r="A1" s="1" t="inlineStr">
        <is>
          <t>NOEUDS PLAN (TOPOLOGIE CORRIGEE)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Top-center; also branch to P05 (pipe L12)</t>
        </is>
      </c>
    </row>
    <row r="6">
      <c r="A6" s="4" t="inlineStr">
        <is>
          <t>P03</t>
        </is>
      </c>
      <c r="B6" s="4" t="inlineStr">
        <is>
          <t>RP100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to RP-100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</t>
        </is>
      </c>
    </row>
    <row r="9">
      <c r="A9" s="4" t="inlineStr">
        <is>
          <t>P06</t>
        </is>
      </c>
      <c r="B9" s="4" t="inlineStr">
        <is>
          <t>RP100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Mid-right to RP-100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up to P06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to P07</t>
        </is>
      </c>
    </row>
    <row r="14">
      <c r="A14" s="4" t="inlineStr">
        <is>
          <t>RP100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node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4" customWidth="1" min="4" max="4"/>
    <col width="14" customWidth="1" min="5" max="5"/>
    <col width="15" customWidth="1" min="6" max="6"/>
    <col width="44" customWidth="1" min="7" max="7"/>
  </cols>
  <sheetData>
    <row r="1">
      <c r="A1" s="1" t="inlineStr">
        <is>
          <t>SOUS-BASSINS (A..O) - AIRES PRECHARGEES IMAGE MODIFIEE</t>
        </is>
      </c>
    </row>
    <row r="3">
      <c r="A3" s="3" t="inlineStr">
        <is>
          <t>CB_or_Zone</t>
        </is>
      </c>
      <c r="B3" s="3" t="inlineStr">
        <is>
          <t>Receives_into_Pipe_ID</t>
        </is>
      </c>
      <c r="C3" s="3" t="inlineStr">
        <is>
          <t>Area_m2 (input)</t>
        </is>
      </c>
      <c r="D3" s="3" t="inlineStr">
        <is>
          <t>Runoff_C (input)</t>
        </is>
      </c>
      <c r="E3" s="3" t="inlineStr">
        <is>
          <t>Area_x_C</t>
        </is>
      </c>
      <c r="F3" s="3" t="inlineStr">
        <is>
          <t>Node_hint</t>
        </is>
      </c>
      <c r="G3" s="3" t="inlineStr">
        <is>
          <t>Notes</t>
        </is>
      </c>
    </row>
    <row r="4">
      <c r="A4" s="4" t="inlineStr">
        <is>
          <t>A</t>
        </is>
      </c>
      <c r="B4" s="4" t="inlineStr">
        <is>
          <t>L01_P01_P02</t>
        </is>
      </c>
      <c r="C4" s="13" t="n">
        <v>156.08</v>
      </c>
      <c r="D4" s="14">
        <f>Inputs!$B$17</f>
        <v/>
      </c>
      <c r="E4" s="7">
        <f>IF(OR(C4="",D4=""),"",C4*D4)</f>
        <v/>
      </c>
      <c r="F4" s="4" t="inlineStr">
        <is>
          <t>P01</t>
        </is>
      </c>
      <c r="G4" s="4" t="inlineStr">
        <is>
          <t>From annotated plan.</t>
        </is>
      </c>
    </row>
    <row r="5">
      <c r="A5" s="4" t="inlineStr">
        <is>
          <t>B</t>
        </is>
      </c>
      <c r="B5" s="4" t="inlineStr">
        <is>
          <t>L02_P02_P03</t>
        </is>
      </c>
      <c r="C5" s="13" t="n">
        <v>161.78</v>
      </c>
      <c r="D5" s="14">
        <f>Inputs!$B$17</f>
        <v/>
      </c>
      <c r="E5" s="7">
        <f>IF(OR(C5="",D5=""),"",C5*D5)</f>
        <v/>
      </c>
      <c r="F5" s="4" t="inlineStr">
        <is>
          <t>P02</t>
        </is>
      </c>
      <c r="G5" s="4" t="inlineStr">
        <is>
          <t>From annotated plan.</t>
        </is>
      </c>
    </row>
    <row r="6">
      <c r="A6" s="4" t="inlineStr">
        <is>
          <t>C</t>
        </is>
      </c>
      <c r="B6" s="4" t="inlineStr">
        <is>
          <t>L03_P03_RP100</t>
        </is>
      </c>
      <c r="C6" s="13" t="n">
        <v>142.59</v>
      </c>
      <c r="D6" s="14">
        <f>Inputs!$B$17</f>
        <v/>
      </c>
      <c r="E6" s="7">
        <f>IF(OR(C6="",D6=""),"",C6*D6)</f>
        <v/>
      </c>
      <c r="F6" s="4" t="inlineStr">
        <is>
          <t>P03</t>
        </is>
      </c>
      <c r="G6" s="4" t="inlineStr">
        <is>
          <t>From annotated plan.</t>
        </is>
      </c>
    </row>
    <row r="7">
      <c r="A7" s="4" t="inlineStr">
        <is>
          <t>D</t>
        </is>
      </c>
      <c r="B7" s="4" t="inlineStr">
        <is>
          <t>L04_P04_P05</t>
        </is>
      </c>
      <c r="C7" s="13" t="n">
        <v>61.49</v>
      </c>
      <c r="D7" s="14">
        <f>Inputs!$B$17</f>
        <v/>
      </c>
      <c r="E7" s="7">
        <f>IF(OR(C7="",D7=""),"",C7*D7)</f>
        <v/>
      </c>
      <c r="F7" s="4" t="inlineStr">
        <is>
          <t>P04</t>
        </is>
      </c>
      <c r="G7" s="4" t="inlineStr">
        <is>
          <t>From annotated plan.</t>
        </is>
      </c>
    </row>
    <row r="8">
      <c r="A8" s="4" t="inlineStr">
        <is>
          <t>E</t>
        </is>
      </c>
      <c r="B8" s="4" t="inlineStr">
        <is>
          <t>L04_P04_P05</t>
        </is>
      </c>
      <c r="C8" s="13" t="n">
        <v>133.95</v>
      </c>
      <c r="D8" s="14">
        <f>Inputs!$B$17</f>
        <v/>
      </c>
      <c r="E8" s="7">
        <f>IF(OR(C8="",D8=""),"",C8*D8)</f>
        <v/>
      </c>
      <c r="F8" s="4" t="inlineStr">
        <is>
          <t>P04-P05</t>
        </is>
      </c>
      <c r="G8" s="4" t="inlineStr">
        <is>
          <t>From annotated plan.</t>
        </is>
      </c>
    </row>
    <row r="9">
      <c r="A9" s="4" t="inlineStr">
        <is>
          <t>F</t>
        </is>
      </c>
      <c r="B9" s="4" t="inlineStr">
        <is>
          <t>L05_P05_P06</t>
        </is>
      </c>
      <c r="C9" s="13" t="n">
        <v>167.31</v>
      </c>
      <c r="D9" s="14">
        <f>Inputs!$B$17</f>
        <v/>
      </c>
      <c r="E9" s="7">
        <f>IF(OR(C9="",D9=""),"",C9*D9)</f>
        <v/>
      </c>
      <c r="F9" s="4" t="inlineStr">
        <is>
          <t>P05-P06</t>
        </is>
      </c>
      <c r="G9" s="4" t="inlineStr">
        <is>
          <t>From annotated plan.</t>
        </is>
      </c>
    </row>
    <row r="10">
      <c r="A10" s="4" t="inlineStr">
        <is>
          <t>G</t>
        </is>
      </c>
      <c r="B10" s="4" t="inlineStr">
        <is>
          <t>L06_P06_RP100</t>
        </is>
      </c>
      <c r="C10" s="13" t="inlineStr"/>
      <c r="D10" s="14">
        <f>Inputs!$B$17</f>
        <v/>
      </c>
      <c r="E10" s="7">
        <f>IF(OR(C10="",D10=""),"",C10*D10)</f>
        <v/>
      </c>
      <c r="F10" s="4" t="inlineStr">
        <is>
          <t>P06</t>
        </is>
      </c>
      <c r="G10" s="4" t="inlineStr">
        <is>
          <t>From annotated plan; verify blanks (G/J/K) if needed.</t>
        </is>
      </c>
    </row>
    <row r="11">
      <c r="A11" s="4" t="inlineStr">
        <is>
          <t>H</t>
        </is>
      </c>
      <c r="B11" s="4" t="inlineStr">
        <is>
          <t>L07_P07_P08</t>
        </is>
      </c>
      <c r="C11" s="13" t="n">
        <v>62.97</v>
      </c>
      <c r="D11" s="14">
        <f>Inputs!$B$17</f>
        <v/>
      </c>
      <c r="E11" s="7">
        <f>IF(OR(C11="",D11=""),"",C11*D11)</f>
        <v/>
      </c>
      <c r="F11" s="4" t="inlineStr">
        <is>
          <t>P07</t>
        </is>
      </c>
      <c r="G11" s="4" t="inlineStr">
        <is>
          <t>From annotated plan.</t>
        </is>
      </c>
    </row>
    <row r="12">
      <c r="A12" s="4" t="inlineStr">
        <is>
          <t>I</t>
        </is>
      </c>
      <c r="B12" s="4" t="inlineStr">
        <is>
          <t>L08_P08_P09</t>
        </is>
      </c>
      <c r="C12" s="13" t="n">
        <v>159.64</v>
      </c>
      <c r="D12" s="14">
        <f>Inputs!$B$17</f>
        <v/>
      </c>
      <c r="E12" s="7">
        <f>IF(OR(C12="",D12=""),"",C12*D12)</f>
        <v/>
      </c>
      <c r="F12" s="4" t="inlineStr">
        <is>
          <t>P08</t>
        </is>
      </c>
      <c r="G12" s="4" t="inlineStr">
        <is>
          <t>From annotated plan.</t>
        </is>
      </c>
    </row>
    <row r="13">
      <c r="A13" s="4" t="inlineStr">
        <is>
          <t>J</t>
        </is>
      </c>
      <c r="B13" s="4" t="inlineStr">
        <is>
          <t>L09_P09_P06</t>
        </is>
      </c>
      <c r="C13" s="13" t="inlineStr"/>
      <c r="D13" s="14">
        <f>Inputs!$B$17</f>
        <v/>
      </c>
      <c r="E13" s="7">
        <f>IF(OR(C13="",D13=""),"",C13*D13)</f>
        <v/>
      </c>
      <c r="F13" s="4" t="inlineStr">
        <is>
          <t>P09</t>
        </is>
      </c>
      <c r="G13" s="4" t="inlineStr">
        <is>
          <t>From annotated plan; verify blanks (G/J/K) if needed.</t>
        </is>
      </c>
    </row>
    <row r="14">
      <c r="A14" s="4" t="inlineStr">
        <is>
          <t>K</t>
        </is>
      </c>
      <c r="B14" s="4" t="inlineStr">
        <is>
          <t>L09_P09_P06</t>
        </is>
      </c>
      <c r="C14" s="13" t="inlineStr"/>
      <c r="D14" s="14">
        <f>Inputs!$B$17</f>
        <v/>
      </c>
      <c r="E14" s="7">
        <f>IF(OR(C14="",D14=""),"",C14*D14)</f>
        <v/>
      </c>
      <c r="F14" s="4" t="inlineStr">
        <is>
          <t>P06/P09 flank</t>
        </is>
      </c>
      <c r="G14" s="4" t="inlineStr">
        <is>
          <t>From annotated plan; verify blanks (G/J/K) if needed.</t>
        </is>
      </c>
    </row>
    <row r="15">
      <c r="A15" s="4" t="inlineStr">
        <is>
          <t>L</t>
        </is>
      </c>
      <c r="B15" s="4" t="inlineStr">
        <is>
          <t>L10_P010_P07</t>
        </is>
      </c>
      <c r="C15" s="13" t="n">
        <v>42.55</v>
      </c>
      <c r="D15" s="14">
        <f>Inputs!$B$17</f>
        <v/>
      </c>
      <c r="E15" s="7">
        <f>IF(OR(C15="",D15=""),"",C15*D15)</f>
        <v/>
      </c>
      <c r="F15" s="4" t="inlineStr">
        <is>
          <t>P010</t>
        </is>
      </c>
      <c r="G15" s="4" t="inlineStr">
        <is>
          <t>From annotated plan.</t>
        </is>
      </c>
    </row>
    <row r="16">
      <c r="A16" s="4" t="inlineStr">
        <is>
          <t>M</t>
        </is>
      </c>
      <c r="B16" s="4" t="inlineStr">
        <is>
          <t>L07_P07_P08</t>
        </is>
      </c>
      <c r="C16" s="13" t="n">
        <v>69.94</v>
      </c>
      <c r="D16" s="14">
        <f>Inputs!$B$17</f>
        <v/>
      </c>
      <c r="E16" s="7">
        <f>IF(OR(C16="",D16=""),"",C16*D16)</f>
        <v/>
      </c>
      <c r="F16" s="4" t="inlineStr">
        <is>
          <t>P07-P08</t>
        </is>
      </c>
      <c r="G16" s="4" t="inlineStr">
        <is>
          <t>From annotated plan.</t>
        </is>
      </c>
    </row>
    <row r="17">
      <c r="A17" s="4" t="inlineStr">
        <is>
          <t>N</t>
        </is>
      </c>
      <c r="B17" s="4" t="inlineStr">
        <is>
          <t>L08_P08_P09</t>
        </is>
      </c>
      <c r="C17" s="13" t="n">
        <v>110.39</v>
      </c>
      <c r="D17" s="14">
        <f>Inputs!$B$17</f>
        <v/>
      </c>
      <c r="E17" s="7">
        <f>IF(OR(C17="",D17=""),"",C17*D17)</f>
        <v/>
      </c>
      <c r="F17" s="4" t="inlineStr">
        <is>
          <t>P08-P09</t>
        </is>
      </c>
      <c r="G17" s="4" t="inlineStr">
        <is>
          <t>From annotated plan.</t>
        </is>
      </c>
    </row>
    <row r="18">
      <c r="A18" s="4" t="inlineStr">
        <is>
          <t>O</t>
        </is>
      </c>
      <c r="B18" s="4" t="inlineStr">
        <is>
          <t>L10_P010_P07</t>
        </is>
      </c>
      <c r="C18" s="13" t="n">
        <v>165.47</v>
      </c>
      <c r="D18" s="14">
        <f>Inputs!$B$17</f>
        <v/>
      </c>
      <c r="E18" s="7">
        <f>IF(OR(C18="",D18=""),"",C18*D18)</f>
        <v/>
      </c>
      <c r="F18" s="4" t="inlineStr">
        <is>
          <t>P010 corridor</t>
        </is>
      </c>
      <c r="G18" s="4" t="inlineStr">
        <is>
          <t>From annotated plan.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2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</cols>
  <sheetData>
    <row r="1">
      <c r="A1" s="1" t="inlineStr">
        <is>
          <t>CONDUITES PLAN NOEUD-PAR-NOEUD (TOPOLOGIE CORRIGEE + Tc CUMULE)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SUMIFS(CB_plan!$C:$C,CB_plan!$B:$B,$A4)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IF(A4="","",2.78E-7*IF(I4="",Inputs!$B$17,I4)*H4*K4)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IF(A4="","",IF(OR(V4&gt;1,W4&lt;Inputs!$B$11,W4&gt;Inputs!$B$12,AC4&lt;Inputs!$B$19,AD4&lt;Inputs!$B$19,P4&lt;Inputs!$B$7,P4&gt;Inputs!$B$8),"CHECK","OK"))</f>
        <v/>
      </c>
      <c r="AF4" s="4" t="inlineStr">
        <is>
          <t>Top horizontal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L03_P03_RP100</t>
        </is>
      </c>
      <c r="E5" s="8" t="n">
        <v>9.747</v>
      </c>
      <c r="F5" s="8" t="inlineStr"/>
      <c r="G5" s="8">
        <f>SUMIFS(CB_plan!$C:$C,CB_plan!$B:$B,$A5)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IF(A5="","",2.78E-7*IF(I5="",Inputs!$B$17,I5)*H5*K5)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IF(A5="","",IF(OR(V5&gt;1,W5&lt;Inputs!$B$11,W5&gt;Inputs!$B$12,AC5&lt;Inputs!$B$19,AD5&lt;Inputs!$B$19,P5&lt;Inputs!$B$7,P5&gt;Inputs!$B$8),"CHECK","OK"))</f>
        <v/>
      </c>
      <c r="AF5" s="4" t="inlineStr">
        <is>
          <t>Top horizontal (from image)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</row>
    <row r="6">
      <c r="A6" s="4" t="inlineStr">
        <is>
          <t>L03_P03_RP100</t>
        </is>
      </c>
      <c r="B6" s="4" t="inlineStr">
        <is>
          <t>P03</t>
        </is>
      </c>
      <c r="C6" s="4" t="inlineStr">
        <is>
          <t>RP100</t>
        </is>
      </c>
      <c r="D6" s="4" t="inlineStr">
        <is>
          <t>L11_RP100_PUB</t>
        </is>
      </c>
      <c r="E6" s="8" t="n">
        <v>6.953</v>
      </c>
      <c r="F6" s="8" t="inlineStr"/>
      <c r="G6" s="8">
        <f>SUMIFS(CB_plan!$C:$C,CB_plan!$B:$B,$A6)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IF(A6="","",2.78E-7*IF(I6="",Inputs!$B$17,I6)*H6*K6)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IF(A6="","",IF(OR(V6&gt;1,W6&lt;Inputs!$B$11,W6&gt;Inputs!$B$12,AC6&lt;Inputs!$B$19,AD6&lt;Inputs!$B$19,P6&lt;Inputs!$B$7,P6&gt;Inputs!$B$8),"CHECK","OK"))</f>
        <v/>
      </c>
      <c r="AF6" s="4" t="inlineStr">
        <is>
          <t>Connection P03 -&gt; RP100 (from image)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</row>
    <row r="7">
      <c r="A7" s="4" t="inlineStr">
        <is>
          <t>L04_P04_P05</t>
        </is>
      </c>
      <c r="B7" s="4" t="inlineStr">
        <is>
          <t>P04</t>
        </is>
      </c>
      <c r="C7" s="4" t="inlineStr">
        <is>
          <t>P05</t>
        </is>
      </c>
      <c r="D7" s="4" t="inlineStr">
        <is>
          <t>L05_P05_P06</t>
        </is>
      </c>
      <c r="E7" s="8" t="n">
        <v>11.54</v>
      </c>
      <c r="F7" s="8" t="inlineStr"/>
      <c r="G7" s="8">
        <f>SUMIFS(CB_plan!$C:$C,CB_plan!$B:$B,$A7)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IF(A7="","",2.78E-7*IF(I7="",Inputs!$B$17,I7)*H7*K7)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IF(A7="","",IF(OR(V7&gt;1,W7&lt;Inputs!$B$11,W7&gt;Inputs!$B$12,AC7&lt;Inputs!$B$19,AD7&lt;Inputs!$B$19,P7&lt;Inputs!$B$7,P7&gt;Inputs!$B$8),"CHECK","OK"))</f>
        <v/>
      </c>
      <c r="AF7" s="4" t="inlineStr">
        <is>
          <t>Middle horizontal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</row>
    <row r="8">
      <c r="A8" s="4" t="inlineStr">
        <is>
          <t>L05_P05_P06</t>
        </is>
      </c>
      <c r="B8" s="4" t="inlineStr">
        <is>
          <t>P05</t>
        </is>
      </c>
      <c r="C8" s="4" t="inlineStr">
        <is>
          <t>P06</t>
        </is>
      </c>
      <c r="D8" s="4" t="inlineStr">
        <is>
          <t>L06_P06_RP100</t>
        </is>
      </c>
      <c r="E8" s="8" t="n">
        <v>14.725</v>
      </c>
      <c r="F8" s="8" t="inlineStr"/>
      <c r="G8" s="8">
        <f>SUMIFS(CB_plan!$C:$C,CB_plan!$B:$B,$A8)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IF(A8="","",2.78E-7*IF(I8="",Inputs!$B$17,I8)*H8*K8)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IF(A8="","",IF(OR(V8&gt;1,W8&lt;Inputs!$B$11,W8&gt;Inputs!$B$12,AC8&lt;Inputs!$B$19,AD8&lt;Inputs!$B$19,P8&lt;Inputs!$B$7,P8&gt;Inputs!$B$8),"CHECK","OK"))</f>
        <v/>
      </c>
      <c r="AF8" s="4" t="inlineStr">
        <is>
          <t>Middle horizontal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</row>
    <row r="9">
      <c r="A9" s="4" t="inlineStr">
        <is>
          <t>L06_P06_RP100</t>
        </is>
      </c>
      <c r="B9" s="4" t="inlineStr">
        <is>
          <t>P06</t>
        </is>
      </c>
      <c r="C9" s="4" t="inlineStr">
        <is>
          <t>RP100</t>
        </is>
      </c>
      <c r="D9" s="4" t="inlineStr">
        <is>
          <t>L11_RP100_PUB</t>
        </is>
      </c>
      <c r="E9" s="8" t="n">
        <v>9.050000000000001</v>
      </c>
      <c r="F9" s="8" t="inlineStr"/>
      <c r="G9" s="8">
        <f>SUMIFS(CB_plan!$C:$C,CB_plan!$B:$B,$A9)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IF(A9="","",2.78E-7*IF(I9="",Inputs!$B$17,I9)*H9*K9)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IF(A9="","",IF(OR(V9&gt;1,W9&lt;Inputs!$B$11,W9&gt;Inputs!$B$12,AC9&lt;Inputs!$B$19,AD9&lt;Inputs!$B$19,P9&lt;Inputs!$B$7,P9&gt;Inputs!$B$8),"CHECK","OK"))</f>
        <v/>
      </c>
      <c r="AF9" s="4" t="inlineStr">
        <is>
          <t>Connection P06 -&gt; RP100 (verify if needed)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</row>
    <row r="10">
      <c r="A10" s="4" t="inlineStr">
        <is>
          <t>L07_P07_P08</t>
        </is>
      </c>
      <c r="B10" s="4" t="inlineStr">
        <is>
          <t>P07</t>
        </is>
      </c>
      <c r="C10" s="4" t="inlineStr">
        <is>
          <t>P08</t>
        </is>
      </c>
      <c r="D10" s="4" t="inlineStr">
        <is>
          <t>L08_P08_P09</t>
        </is>
      </c>
      <c r="E10" s="8" t="n">
        <v>12.249</v>
      </c>
      <c r="F10" s="8" t="inlineStr"/>
      <c r="G10" s="8">
        <f>SUMIFS(CB_plan!$C:$C,CB_plan!$B:$B,$A10)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IF(A10="","",2.78E-7*IF(I10="",Inputs!$B$17,I10)*H10*K10)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IF(A10="","",IF(OR(V10&gt;1,W10&lt;Inputs!$B$11,W10&gt;Inputs!$B$12,AC10&lt;Inputs!$B$19,AD10&lt;Inputs!$B$19,P10&lt;Inputs!$B$7,P10&gt;Inputs!$B$8),"CHECK","OK"))</f>
        <v/>
      </c>
      <c r="AF10" s="4" t="inlineStr">
        <is>
          <t>Lower horizontal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</row>
    <row r="11">
      <c r="A11" s="4" t="inlineStr">
        <is>
          <t>L08_P08_P09</t>
        </is>
      </c>
      <c r="B11" s="4" t="inlineStr">
        <is>
          <t>P08</t>
        </is>
      </c>
      <c r="C11" s="4" t="inlineStr">
        <is>
          <t>P09</t>
        </is>
      </c>
      <c r="D11" s="4" t="inlineStr">
        <is>
          <t>L09_P09_P06</t>
        </is>
      </c>
      <c r="E11" s="8" t="n">
        <v>12.408</v>
      </c>
      <c r="F11" s="8" t="inlineStr"/>
      <c r="G11" s="8">
        <f>SUMIFS(CB_plan!$C:$C,CB_plan!$B:$B,$A11)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IF(A11="","",2.78E-7*IF(I11="",Inputs!$B$17,I11)*H11*K11)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IF(A11="","",IF(OR(V11&gt;1,W11&lt;Inputs!$B$11,W11&gt;Inputs!$B$12,AC11&lt;Inputs!$B$19,AD11&lt;Inputs!$B$19,P11&lt;Inputs!$B$7,P11&gt;Inputs!$B$8),"CHECK","OK"))</f>
        <v/>
      </c>
      <c r="AF11" s="4" t="inlineStr">
        <is>
          <t>Lower horizontal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</row>
    <row r="12">
      <c r="A12" s="4" t="inlineStr">
        <is>
          <t>L09_P09_P06</t>
        </is>
      </c>
      <c r="B12" s="4" t="inlineStr">
        <is>
          <t>P09</t>
        </is>
      </c>
      <c r="C12" s="4" t="inlineStr">
        <is>
          <t>P06</t>
        </is>
      </c>
      <c r="D12" s="4" t="inlineStr">
        <is>
          <t>L06_P06_RP100</t>
        </is>
      </c>
      <c r="E12" s="8" t="inlineStr"/>
      <c r="F12" s="8" t="inlineStr"/>
      <c r="G12" s="8">
        <f>SUMIFS(CB_plan!$C:$C,CB_plan!$B:$B,$A12)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IF(A12="","",2.78E-7*IF(I12="",Inputs!$B$17,I12)*H12*K12)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IF(A12="","",IF(OR(V12&gt;1,W12&lt;Inputs!$B$11,W12&gt;Inputs!$B$12,AC12&lt;Inputs!$B$19,AD12&lt;Inputs!$B$19,P12&lt;Inputs!$B$7,P12&gt;Inputs!$B$8),"CHECK","OK"))</f>
        <v/>
      </c>
      <c r="AF12" s="4" t="inlineStr">
        <is>
          <t>Vertical/right connector (fill length)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</row>
    <row r="13">
      <c r="A13" s="4" t="inlineStr">
        <is>
          <t>L10_P010_P07</t>
        </is>
      </c>
      <c r="B13" s="4" t="inlineStr">
        <is>
          <t>P010</t>
        </is>
      </c>
      <c r="C13" s="4" t="inlineStr">
        <is>
          <t>P07</t>
        </is>
      </c>
      <c r="D13" s="4" t="inlineStr">
        <is>
          <t>L07_P07_P08</t>
        </is>
      </c>
      <c r="E13" s="8" t="inlineStr"/>
      <c r="F13" s="8" t="inlineStr"/>
      <c r="G13" s="8">
        <f>SUMIFS(CB_plan!$C:$C,CB_plan!$B:$B,$A13)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IF(A13="","",2.78E-7*IF(I13="",Inputs!$B$17,I13)*H13*K13)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IF(A13="","",IF(OR(V13&gt;1,W13&lt;Inputs!$B$11,W13&gt;Inputs!$B$12,AC13&lt;Inputs!$B$19,AD13&lt;Inputs!$B$19,P13&lt;Inputs!$B$7,P13&gt;Inputs!$B$8),"CHECK","OK"))</f>
        <v/>
      </c>
      <c r="AF13" s="4" t="inlineStr">
        <is>
          <t>P010 to P07 connection (fill length)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</row>
    <row r="14">
      <c r="A14" s="4" t="inlineStr">
        <is>
          <t>L11_RP100_PUB</t>
        </is>
      </c>
      <c r="B14" s="4" t="inlineStr">
        <is>
          <t>RP100</t>
        </is>
      </c>
      <c r="C14" s="4" t="inlineStr">
        <is>
          <t>PUB</t>
        </is>
      </c>
      <c r="D14" s="4" t="inlineStr"/>
      <c r="E14" s="8" t="n">
        <v>6.22</v>
      </c>
      <c r="F14" s="8" t="inlineStr"/>
      <c r="G14" s="8">
        <f>SUMIFS(CB_plan!$C:$C,CB_plan!$B:$B,$A14)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IF(A14="","",2.78E-7*IF(I14="",Inputs!$B$17,I14)*H14*K14)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IF(A14="","",IF(OR(V14&gt;1,W14&lt;Inputs!$B$11,W14&gt;Inputs!$B$12,AC14&lt;Inputs!$B$19,AD14&lt;Inputs!$B$19,P14&lt;Inputs!$B$7,P14&gt;Inputs!$B$8),"CHECK","OK"))</f>
        <v/>
      </c>
      <c r="AF14" s="4" t="inlineStr">
        <is>
          <t>RP100 to public network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</row>
    <row r="15">
      <c r="A15" s="4" t="inlineStr">
        <is>
          <t>L12_P02_P05</t>
        </is>
      </c>
      <c r="B15" s="4" t="inlineStr">
        <is>
          <t>P02</t>
        </is>
      </c>
      <c r="C15" s="4" t="inlineStr">
        <is>
          <t>P05</t>
        </is>
      </c>
      <c r="D15" s="4" t="inlineStr">
        <is>
          <t>L05_P05_P06</t>
        </is>
      </c>
      <c r="E15" s="8" t="inlineStr"/>
      <c r="F15" s="8" t="inlineStr"/>
      <c r="G15" s="8">
        <f>SUMIFS(CB_plan!$C:$C,CB_plan!$B:$B,$A15)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IF(A15="","",2.78E-7*IF(I15="",Inputs!$B$17,I15)*H15*K15)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IF(A15="","",IF(OR(V15&gt;1,W15&lt;Inputs!$B$11,W15&gt;Inputs!$B$12,AC15&lt;Inputs!$B$19,AD15&lt;Inputs!$B$19,P15&lt;Inputs!$B$7,P15&gt;Inputs!$B$8),"CHECK","OK"))</f>
        <v/>
      </c>
      <c r="AF15" s="4" t="inlineStr">
        <is>
          <t>Center vertical connector if present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</row>
    <row r="16">
      <c r="A16" s="4" t="n"/>
      <c r="B16" s="4" t="n"/>
      <c r="C16" s="4" t="n"/>
      <c r="D16" s="4" t="n"/>
      <c r="E16" s="8" t="n"/>
      <c r="F16" s="8" t="n"/>
      <c r="G16" s="8">
        <f>SUMIFS(CB_plan!$C:$C,CB_plan!$B:$B,$A16)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IF(A16="","",2.78E-7*IF(I16="",Inputs!$B$17,I16)*H16*K16)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IF(A16="","",IF(OR(V16&gt;1,W16&lt;Inputs!$B$11,W16&gt;Inputs!$B$12,AC16&lt;Inputs!$B$19,AD16&lt;Inputs!$B$19,P16&lt;Inputs!$B$7,P16&gt;Inputs!$B$8),"CHECK","OK"))</f>
        <v/>
      </c>
      <c r="AF16" s="4" t="n"/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</row>
    <row r="17">
      <c r="A17" s="4" t="n"/>
      <c r="B17" s="4" t="n"/>
      <c r="C17" s="4" t="n"/>
      <c r="D17" s="4" t="n"/>
      <c r="E17" s="8" t="n"/>
      <c r="F17" s="8" t="n"/>
      <c r="G17" s="8">
        <f>SUMIFS(CB_plan!$C:$C,CB_plan!$B:$B,$A17)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IF(A17="","",2.78E-7*IF(I17="",Inputs!$B$17,I17)*H17*K17)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IF(A17="","",IF(OR(V17&gt;1,W17&lt;Inputs!$B$11,W17&gt;Inputs!$B$12,AC17&lt;Inputs!$B$19,AD17&lt;Inputs!$B$19,P17&lt;Inputs!$B$7,P17&gt;Inputs!$B$8),"CHECK","OK"))</f>
        <v/>
      </c>
      <c r="AF17" s="4" t="n"/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SUMIFS(CB_plan!$C:$C,CB_plan!$B:$B,$A18)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IF(A18="","",2.78E-7*IF(I18="",Inputs!$B$17,I18)*H18*K18)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IF(A18="","",IF(OR(V18&gt;1,W18&lt;Inputs!$B$11,W18&gt;Inputs!$B$12,AC18&lt;Inputs!$B$19,AD18&lt;Inputs!$B$19,P18&lt;Inputs!$B$7,P18&gt;Inputs!$B$8),"CHECK","OK"))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SUMIFS(CB_plan!$C:$C,CB_plan!$B:$B,$A19)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IF(A19="","",2.78E-7*IF(I19="",Inputs!$B$17,I19)*H19*K19)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IF(A19="","",IF(OR(V19&gt;1,W19&lt;Inputs!$B$11,W19&gt;Inputs!$B$12,AC19&lt;Inputs!$B$19,AD19&lt;Inputs!$B$19,P19&lt;Inputs!$B$7,P19&gt;Inputs!$B$8),"CHECK","OK"))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SUMIFS(CB_plan!$C:$C,CB_plan!$B:$B,$A20)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IF(A20="","",2.78E-7*IF(I20="",Inputs!$B$17,I20)*H20*K20)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IF(A20="","",IF(OR(V20&gt;1,W20&lt;Inputs!$B$11,W20&gt;Inputs!$B$12,AC20&lt;Inputs!$B$19,AD20&lt;Inputs!$B$19,P20&lt;Inputs!$B$7,P20&gt;Inputs!$B$8),"CHECK","OK"))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SUMIFS(CB_plan!$C:$C,CB_plan!$B:$B,$A21)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IF(A21="","",2.78E-7*IF(I21="",Inputs!$B$17,I21)*H21*K21)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IF(A21="","",IF(OR(V21&gt;1,W21&lt;Inputs!$B$11,W21&gt;Inputs!$B$12,AC21&lt;Inputs!$B$19,AD21&lt;Inputs!$B$19,P21&lt;Inputs!$B$7,P21&gt;Inputs!$B$8),"CHECK","OK"))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SUMIFS(CB_plan!$C:$C,CB_plan!$B:$B,$A22)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IF(A22="","",2.78E-7*IF(I22="",Inputs!$B$17,I22)*H22*K22)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IF(A22="","",IF(OR(V22&gt;1,W22&lt;Inputs!$B$11,W22&gt;Inputs!$B$12,AC22&lt;Inputs!$B$19,AD22&lt;Inputs!$B$19,P22&lt;Inputs!$B$7,P22&gt;Inputs!$B$8),"CHECK","OK"))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SUMIFS(CB_plan!$C:$C,CB_plan!$B:$B,$A23)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IF(A23="","",2.78E-7*IF(I23="",Inputs!$B$17,I23)*H23*K23)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IF(A23="","",IF(OR(V23&gt;1,W23&lt;Inputs!$B$11,W23&gt;Inputs!$B$12,AC23&lt;Inputs!$B$19,AD23&lt;Inputs!$B$19,P23&lt;Inputs!$B$7,P23&gt;Inputs!$B$8),"CHECK","OK"))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SUMIFS(CB_plan!$C:$C,CB_plan!$B:$B,$A24)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IF(A24="","",2.78E-7*IF(I24="",Inputs!$B$17,I24)*H24*K24)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IF(A24="","",IF(OR(V24&gt;1,W24&lt;Inputs!$B$11,W24&gt;Inputs!$B$12,AC24&lt;Inputs!$B$19,AD24&lt;Inputs!$B$19,P24&lt;Inputs!$B$7,P24&gt;Inputs!$B$8),"CHECK","OK"))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SUMIFS(CB_plan!$C:$C,CB_plan!$B:$B,$A25)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IF(A25="","",2.78E-7*IF(I25="",Inputs!$B$17,I25)*H25*K25)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IF(A25="","",IF(OR(V25&gt;1,W25&lt;Inputs!$B$11,W25&gt;Inputs!$B$12,AC25&lt;Inputs!$B$19,AD25&lt;Inputs!$B$19,P25&lt;Inputs!$B$7,P25&gt;Inputs!$B$8),"CHECK","OK"))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SUMIFS(CB_plan!$C:$C,CB_plan!$B:$B,$A26)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IF(A26="","",2.78E-7*IF(I26="",Inputs!$B$17,I26)*H26*K26)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IF(A26="","",IF(OR(V26&gt;1,W26&lt;Inputs!$B$11,W26&gt;Inputs!$B$12,AC26&lt;Inputs!$B$19,AD26&lt;Inputs!$B$19,P26&lt;Inputs!$B$7,P26&gt;Inputs!$B$8),"CHECK","OK"))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SUMIFS(CB_plan!$C:$C,CB_plan!$B:$B,$A27)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IF(A27="","",2.78E-7*IF(I27="",Inputs!$B$17,I27)*H27*K27)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IF(A27="","",IF(OR(V27&gt;1,W27&lt;Inputs!$B$11,W27&gt;Inputs!$B$12,AC27&lt;Inputs!$B$19,AD27&lt;Inputs!$B$19,P27&lt;Inputs!$B$7,P27&gt;Inputs!$B$8),"CHECK","OK"))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SUMIFS(CB_plan!$C:$C,CB_plan!$B:$B,$A28)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IF(A28="","",2.78E-7*IF(I28="",Inputs!$B$17,I28)*H28*K28)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IF(A28="","",IF(OR(V28&gt;1,W28&lt;Inputs!$B$11,W28&gt;Inputs!$B$12,AC28&lt;Inputs!$B$19,AD28&lt;Inputs!$B$19,P28&lt;Inputs!$B$7,P28&gt;Inputs!$B$8),"CHECK","OK"))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SUMIFS(CB_plan!$C:$C,CB_plan!$B:$B,$A29)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IF(A29="","",2.78E-7*IF(I29="",Inputs!$B$17,I29)*H29*K29)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IF(A29="","",IF(OR(V29&gt;1,W29&lt;Inputs!$B$11,W29&gt;Inputs!$B$12,AC29&lt;Inputs!$B$19,AD29&lt;Inputs!$B$19,P29&lt;Inputs!$B$7,P29&gt;Inputs!$B$8),"CHECK","OK"))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SUMIFS(CB_plan!$C:$C,CB_plan!$B:$B,$A30)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IF(A30="","",2.78E-7*IF(I30="",Inputs!$B$17,I30)*H30*K30)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IF(A30="","",IF(OR(V30&gt;1,W30&lt;Inputs!$B$11,W30&gt;Inputs!$B$12,AC30&lt;Inputs!$B$19,AD30&lt;Inputs!$B$19,P30&lt;Inputs!$B$7,P30&gt;Inputs!$B$8),"CHECK","OK"))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SUMIFS(CB_plan!$C:$C,CB_plan!$B:$B,$A31)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IF(A31="","",2.78E-7*IF(I31="",Inputs!$B$17,I31)*H31*K31)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IF(A31="","",IF(OR(V31&gt;1,W31&lt;Inputs!$B$11,W31&gt;Inputs!$B$12,AC31&lt;Inputs!$B$19,AD31&lt;Inputs!$B$19,P31&lt;Inputs!$B$7,P31&gt;Inputs!$B$8),"CHECK","OK"))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SUMIFS(CB_plan!$C:$C,CB_plan!$B:$B,$A32)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IF(A32="","",2.78E-7*IF(I32="",Inputs!$B$17,I32)*H32*K32)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IF(A32="","",IF(OR(V32&gt;1,W32&lt;Inputs!$B$11,W32&gt;Inputs!$B$12,AC32&lt;Inputs!$B$19,AD32&lt;Inputs!$B$19,P32&lt;Inputs!$B$7,P32&gt;Inputs!$B$8),"CHECK","OK"))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SUMIFS(CB_plan!$C:$C,CB_plan!$B:$B,$A33)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IF(A33="","",2.78E-7*IF(I33="",Inputs!$B$17,I33)*H33*K33)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IF(A33="","",IF(OR(V33&gt;1,W33&lt;Inputs!$B$11,W33&gt;Inputs!$B$12,AC33&lt;Inputs!$B$19,AD33&lt;Inputs!$B$19,P33&lt;Inputs!$B$7,P33&gt;Inputs!$B$8),"CHECK","OK"))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SUMIFS(CB_plan!$C:$C,CB_plan!$B:$B,$A34)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IF(A34="","",2.78E-7*IF(I34="",Inputs!$B$17,I34)*H34*K34)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IF(A34="","",IF(OR(V34&gt;1,W34&lt;Inputs!$B$11,W34&gt;Inputs!$B$12,AC34&lt;Inputs!$B$19,AD34&lt;Inputs!$B$19,P34&lt;Inputs!$B$7,P34&gt;Inputs!$B$8),"CHECK","OK"))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SUMIFS(CB_plan!$C:$C,CB_plan!$B:$B,$A35)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IF(A35="","",2.78E-7*IF(I35="",Inputs!$B$17,I35)*H35*K35)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IF(A35="","",IF(OR(V35&gt;1,W35&lt;Inputs!$B$11,W35&gt;Inputs!$B$12,AC35&lt;Inputs!$B$19,AD35&lt;Inputs!$B$19,P35&lt;Inputs!$B$7,P35&gt;Inputs!$B$8),"CHECK","OK"))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SUMIFS(CB_plan!$C:$C,CB_plan!$B:$B,$A36)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IF(A36="","",2.78E-7*IF(I36="",Inputs!$B$17,I36)*H36*K36)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IF(A36="","",IF(OR(V36&gt;1,W36&lt;Inputs!$B$11,W36&gt;Inputs!$B$12,AC36&lt;Inputs!$B$19,AD36&lt;Inputs!$B$19,P36&lt;Inputs!$B$7,P36&gt;Inputs!$B$8),"CHECK","OK"))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SUMIFS(CB_plan!$C:$C,CB_plan!$B:$B,$A37)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IF(A37="","",2.78E-7*IF(I37="",Inputs!$B$17,I37)*H37*K37)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IF(A37="","",IF(OR(V37&gt;1,W37&lt;Inputs!$B$11,W37&gt;Inputs!$B$12,AC37&lt;Inputs!$B$19,AD37&lt;Inputs!$B$19,P37&lt;Inputs!$B$7,P37&gt;Inputs!$B$8),"CHECK","OK"))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SUMIFS(CB_plan!$C:$C,CB_plan!$B:$B,$A38)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IF(A38="","",2.78E-7*IF(I38="",Inputs!$B$17,I38)*H38*K38)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IF(A38="","",IF(OR(V38&gt;1,W38&lt;Inputs!$B$11,W38&gt;Inputs!$B$12,AC38&lt;Inputs!$B$19,AD38&lt;Inputs!$B$19,P38&lt;Inputs!$B$7,P38&gt;Inputs!$B$8),"CHECK","OK"))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SUMIFS(CB_plan!$C:$C,CB_plan!$B:$B,$A39)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IF(A39="","",2.78E-7*IF(I39="",Inputs!$B$17,I39)*H39*K39)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IF(A39="","",IF(OR(V39&gt;1,W39&lt;Inputs!$B$11,W39&gt;Inputs!$B$12,AC39&lt;Inputs!$B$19,AD39&lt;Inputs!$B$19,P39&lt;Inputs!$B$7,P39&gt;Inputs!$B$8),"CHECK","OK"))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SUMIFS(CB_plan!$C:$C,CB_plan!$B:$B,$A40)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IF(A40="","",2.78E-7*IF(I40="",Inputs!$B$17,I40)*H40*K40)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IF(A40="","",IF(OR(V40&gt;1,W40&lt;Inputs!$B$11,W40&gt;Inputs!$B$12,AC40&lt;Inputs!$B$19,AD40&lt;Inputs!$B$19,P40&lt;Inputs!$B$7,P40&gt;Inputs!$B$8),"CHECK","OK"))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SUMIFS(CB_plan!$C:$C,CB_plan!$B:$B,$A41)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IF(A41="","",2.78E-7*IF(I41="",Inputs!$B$17,I41)*H41*K41)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IF(A41="","",IF(OR(V41&gt;1,W41&lt;Inputs!$B$11,W41&gt;Inputs!$B$12,AC41&lt;Inputs!$B$19,AD41&lt;Inputs!$B$19,P41&lt;Inputs!$B$7,P41&gt;Inputs!$B$8),"CHECK","OK"))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SUMIFS(CB_plan!$C:$C,CB_plan!$B:$B,$A42)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IF(A42="","",2.78E-7*IF(I42="",Inputs!$B$17,I42)*H42*K42)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IF(A42="","",IF(OR(V42&gt;1,W42&lt;Inputs!$B$11,W42&gt;Inputs!$B$12,AC42&lt;Inputs!$B$19,AD42&lt;Inputs!$B$19,P42&lt;Inputs!$B$7,P42&gt;Inputs!$B$8),"CHECK","OK"))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SUMIFS(CB_plan!$C:$C,CB_plan!$B:$B,$A43)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IF(A43="","",2.78E-7*IF(I43="",Inputs!$B$17,I43)*H43*K43)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IF(A43="","",IF(OR(V43&gt;1,W43&lt;Inputs!$B$11,W43&gt;Inputs!$B$12,AC43&lt;Inputs!$B$19,AD43&lt;Inputs!$B$19,P43&lt;Inputs!$B$7,P43&gt;Inputs!$B$8),"CHECK","OK"))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SUMIFS(CB_plan!$C:$C,CB_plan!$B:$B,$A44)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IF(A44="","",2.78E-7*IF(I44="",Inputs!$B$17,I44)*H44*K44)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IF(A44="","",IF(OR(V44&gt;1,W44&lt;Inputs!$B$11,W44&gt;Inputs!$B$12,AC44&lt;Inputs!$B$19,AD44&lt;Inputs!$B$19,P44&lt;Inputs!$B$7,P44&gt;Inputs!$B$8),"CHECK","OK"))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SUMIFS(CB_plan!$C:$C,CB_plan!$B:$B,$A45)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IF(A45="","",2.78E-7*IF(I45="",Inputs!$B$17,I45)*H45*K45)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IF(A45="","",IF(OR(V45&gt;1,W45&lt;Inputs!$B$11,W45&gt;Inputs!$B$12,AC45&lt;Inputs!$B$19,AD45&lt;Inputs!$B$19,P45&lt;Inputs!$B$7,P45&gt;Inputs!$B$8),"CHECK","OK"))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SUMIFS(CB_plan!$C:$C,CB_plan!$B:$B,$A46)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IF(A46="","",2.78E-7*IF(I46="",Inputs!$B$17,I46)*H46*K46)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IF(A46="","",IF(OR(V46&gt;1,W46&lt;Inputs!$B$11,W46&gt;Inputs!$B$12,AC46&lt;Inputs!$B$19,AD46&lt;Inputs!$B$19,P46&lt;Inputs!$B$7,P46&gt;Inputs!$B$8),"CHECK","OK"))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SUMIFS(CB_plan!$C:$C,CB_plan!$B:$B,$A47)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IF(A47="","",2.78E-7*IF(I47="",Inputs!$B$17,I47)*H47*K47)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IF(A47="","",IF(OR(V47&gt;1,W47&lt;Inputs!$B$11,W47&gt;Inputs!$B$12,AC47&lt;Inputs!$B$19,AD47&lt;Inputs!$B$19,P47&lt;Inputs!$B$7,P47&gt;Inputs!$B$8),"CHECK","OK"))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SUMIFS(CB_plan!$C:$C,CB_plan!$B:$B,$A48)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IF(A48="","",2.78E-7*IF(I48="",Inputs!$B$17,I48)*H48*K48)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IF(A48="","",IF(OR(V48&gt;1,W48&lt;Inputs!$B$11,W48&gt;Inputs!$B$12,AC48&lt;Inputs!$B$19,AD48&lt;Inputs!$B$19,P48&lt;Inputs!$B$7,P48&gt;Inputs!$B$8),"CHECK","OK"))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SUMIFS(CB_plan!$C:$C,CB_plan!$B:$B,$A49)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IF(A49="","",2.78E-7*IF(I49="",Inputs!$B$17,I49)*H49*K49)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IF(A49="","",IF(OR(V49&gt;1,W49&lt;Inputs!$B$11,W49&gt;Inputs!$B$12,AC49&lt;Inputs!$B$19,AD49&lt;Inputs!$B$19,P49&lt;Inputs!$B$7,P49&gt;Inputs!$B$8),"CHECK","OK"))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SUMIFS(CB_plan!$C:$C,CB_plan!$B:$B,$A50)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IF(A50="","",2.78E-7*IF(I50="",Inputs!$B$17,I50)*H50*K50)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IF(A50="","",IF(OR(V50&gt;1,W50&lt;Inputs!$B$11,W50&gt;Inputs!$B$12,AC50&lt;Inputs!$B$19,AD50&lt;Inputs!$B$19,P50&lt;Inputs!$B$7,P50&gt;Inputs!$B$8),"CHECK","OK"))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SUMIFS(CB_plan!$C:$C,CB_plan!$B:$B,$A51)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IF(A51="","",2.78E-7*IF(I51="",Inputs!$B$17,I51)*H51*K51)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IF(A51="","",IF(OR(V51&gt;1,W51&lt;Inputs!$B$11,W51&gt;Inputs!$B$12,AC51&lt;Inputs!$B$19,AD51&lt;Inputs!$B$19,P51&lt;Inputs!$B$7,P51&gt;Inputs!$B$8),"CHECK","OK"))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SUMIFS(CB_plan!$C:$C,CB_plan!$B:$B,$A52)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IF(A52="","",2.78E-7*IF(I52="",Inputs!$B$17,I52)*H52*K52)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IF(A52="","",IF(OR(V52&gt;1,W52&lt;Inputs!$B$11,W52&gt;Inputs!$B$12,AC52&lt;Inputs!$B$19,AD52&lt;Inputs!$B$19,P52&lt;Inputs!$B$7,P52&gt;Inputs!$B$8),"CHECK","OK"))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SUMIFS(CB_plan!$C:$C,CB_plan!$B:$B,$A53)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IF(A53="","",2.78E-7*IF(I53="",Inputs!$B$17,I53)*H53*K53)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IF(A53="","",IF(OR(V53&gt;1,W53&lt;Inputs!$B$11,W53&gt;Inputs!$B$12,AC53&lt;Inputs!$B$19,AD53&lt;Inputs!$B$19,P53&lt;Inputs!$B$7,P53&gt;Inputs!$B$8),"CHECK","OK"))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SUMIFS(CB_plan!$C:$C,CB_plan!$B:$B,$A54)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IF(A54="","",2.78E-7*IF(I54="",Inputs!$B$17,I54)*H54*K54)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IF(A54="","",IF(OR(V54&gt;1,W54&lt;Inputs!$B$11,W54&gt;Inputs!$B$12,AC54&lt;Inputs!$B$19,AD54&lt;Inputs!$B$19,P54&lt;Inputs!$B$7,P54&gt;Inputs!$B$8),"CHECK","OK"))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SUMIFS(CB_plan!$C:$C,CB_plan!$B:$B,$A55)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IF(A55="","",2.78E-7*IF(I55="",Inputs!$B$17,I55)*H55*K55)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IF(A55="","",IF(OR(V55&gt;1,W55&lt;Inputs!$B$11,W55&gt;Inputs!$B$12,AC55&lt;Inputs!$B$19,AD55&lt;Inputs!$B$19,P55&lt;Inputs!$B$7,P55&gt;Inputs!$B$8),"CHECK","OK"))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SUMIFS(CB_plan!$C:$C,CB_plan!$B:$B,$A56)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IF(A56="","",2.78E-7*IF(I56="",Inputs!$B$17,I56)*H56*K56)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IF(A56="","",IF(OR(V56&gt;1,W56&lt;Inputs!$B$11,W56&gt;Inputs!$B$12,AC56&lt;Inputs!$B$19,AD56&lt;Inputs!$B$19,P56&lt;Inputs!$B$7,P56&gt;Inputs!$B$8),"CHECK","OK"))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SUMIFS(CB_plan!$C:$C,CB_plan!$B:$B,$A57)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IF(A57="","",2.78E-7*IF(I57="",Inputs!$B$17,I57)*H57*K57)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IF(A57="","",IF(OR(V57&gt;1,W57&lt;Inputs!$B$11,W57&gt;Inputs!$B$12,AC57&lt;Inputs!$B$19,AD57&lt;Inputs!$B$19,P57&lt;Inputs!$B$7,P57&gt;Inputs!$B$8),"CHECK","OK"))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SUMIFS(CB_plan!$C:$C,CB_plan!$B:$B,$A58)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IF(A58="","",2.78E-7*IF(I58="",Inputs!$B$17,I58)*H58*K58)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IF(A58="","",IF(OR(V58&gt;1,W58&lt;Inputs!$B$11,W58&gt;Inputs!$B$12,AC58&lt;Inputs!$B$19,AD58&lt;Inputs!$B$19,P58&lt;Inputs!$B$7,P58&gt;Inputs!$B$8),"CHECK","OK"))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SUMIFS(CB_plan!$C:$C,CB_plan!$B:$B,$A59)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IF(A59="","",2.78E-7*IF(I59="",Inputs!$B$17,I59)*H59*K59)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IF(A59="","",IF(OR(V59&gt;1,W59&lt;Inputs!$B$11,W59&gt;Inputs!$B$12,AC59&lt;Inputs!$B$19,AD59&lt;Inputs!$B$19,P59&lt;Inputs!$B$7,P59&gt;Inputs!$B$8),"CHECK","OK"))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SUMIFS(CB_plan!$C:$C,CB_plan!$B:$B,$A60)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IF(A60="","",2.78E-7*IF(I60="",Inputs!$B$17,I60)*H60*K60)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IF(A60="","",IF(OR(V60&gt;1,W60&lt;Inputs!$B$11,W60&gt;Inputs!$B$12,AC60&lt;Inputs!$B$19,AD60&lt;Inputs!$B$19,P60&lt;Inputs!$B$7,P60&gt;Inputs!$B$8),"CHECK","OK"))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SUMIFS(CB_plan!$C:$C,CB_plan!$B:$B,$A61)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IF(A61="","",2.78E-7*IF(I61="",Inputs!$B$17,I61)*H61*K61)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IF(A61="","",IF(OR(V61&gt;1,W61&lt;Inputs!$B$11,W61&gt;Inputs!$B$12,AC61&lt;Inputs!$B$19,AD61&lt;Inputs!$B$19,P61&lt;Inputs!$B$7,P61&gt;Inputs!$B$8),"CHECK","OK"))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SUMIFS(CB_plan!$C:$C,CB_plan!$B:$B,$A62)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IF(A62="","",2.78E-7*IF(I62="",Inputs!$B$17,I62)*H62*K62)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IF(A62="","",IF(OR(V62&gt;1,W62&lt;Inputs!$B$11,W62&gt;Inputs!$B$12,AC62&lt;Inputs!$B$19,AD62&lt;Inputs!$B$19,P62&lt;Inputs!$B$7,P62&gt;Inputs!$B$8),"CHECK","OK"))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SUMIFS(CB_plan!$C:$C,CB_plan!$B:$B,$A63)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IF(A63="","",2.78E-7*IF(I63="",Inputs!$B$17,I63)*H63*K63)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IF(A63="","",IF(OR(V63&gt;1,W63&lt;Inputs!$B$11,W63&gt;Inputs!$B$12,AC63&lt;Inputs!$B$19,AD63&lt;Inputs!$B$19,P63&lt;Inputs!$B$7,P63&gt;Inputs!$B$8),"CHECK","OK"))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SUMIFS(CB_plan!$C:$C,CB_plan!$B:$B,$A64)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IF(A64="","",2.78E-7*IF(I64="",Inputs!$B$17,I64)*H64*K64)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IF(A64="","",IF(OR(V64&gt;1,W64&lt;Inputs!$B$11,W64&gt;Inputs!$B$12,AC64&lt;Inputs!$B$19,AD64&lt;Inputs!$B$19,P64&lt;Inputs!$B$7,P64&gt;Inputs!$B$8),"CHECK","OK"))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SUMIFS(CB_plan!$C:$C,CB_plan!$B:$B,$A65)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IF(A65="","",2.78E-7*IF(I65="",Inputs!$B$17,I65)*H65*K65)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IF(A65="","",IF(OR(V65&gt;1,W65&lt;Inputs!$B$11,W65&gt;Inputs!$B$12,AC65&lt;Inputs!$B$19,AD65&lt;Inputs!$B$19,P65&lt;Inputs!$B$7,P65&gt;Inputs!$B$8),"CHECK","OK"))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SUMIFS(CB_plan!$C:$C,CB_plan!$B:$B,$A66)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IF(A66="","",2.78E-7*IF(I66="",Inputs!$B$17,I66)*H66*K66)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IF(A66="","",IF(OR(V66&gt;1,W66&lt;Inputs!$B$11,W66&gt;Inputs!$B$12,AC66&lt;Inputs!$B$19,AD66&lt;Inputs!$B$19,P66&lt;Inputs!$B$7,P66&gt;Inputs!$B$8),"CHECK","OK"))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SUMIFS(CB_plan!$C:$C,CB_plan!$B:$B,$A67)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IF(A67="","",2.78E-7*IF(I67="",Inputs!$B$17,I67)*H67*K67)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IF(A67="","",IF(OR(V67&gt;1,W67&lt;Inputs!$B$11,W67&gt;Inputs!$B$12,AC67&lt;Inputs!$B$19,AD67&lt;Inputs!$B$19,P67&lt;Inputs!$B$7,P67&gt;Inputs!$B$8),"CHECK","OK"))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SUMIFS(CB_plan!$C:$C,CB_plan!$B:$B,$A68)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IF(A68="","",2.78E-7*IF(I68="",Inputs!$B$17,I68)*H68*K68)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IF(A68="","",IF(OR(V68&gt;1,W68&lt;Inputs!$B$11,W68&gt;Inputs!$B$12,AC68&lt;Inputs!$B$19,AD68&lt;Inputs!$B$19,P68&lt;Inputs!$B$7,P68&gt;Inputs!$B$8),"CHECK","OK"))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SUMIFS(CB_plan!$C:$C,CB_plan!$B:$B,$A69)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IF(A69="","",2.78E-7*IF(I69="",Inputs!$B$17,I69)*H69*K69)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IF(A69="","",IF(OR(V69&gt;1,W69&lt;Inputs!$B$11,W69&gt;Inputs!$B$12,AC69&lt;Inputs!$B$19,AD69&lt;Inputs!$B$19,P69&lt;Inputs!$B$7,P69&gt;Inputs!$B$8),"CHECK","OK"))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SUMIFS(CB_plan!$C:$C,CB_plan!$B:$B,$A70)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IF(A70="","",2.78E-7*IF(I70="",Inputs!$B$17,I70)*H70*K70)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IF(A70="","",IF(OR(V70&gt;1,W70&lt;Inputs!$B$11,W70&gt;Inputs!$B$12,AC70&lt;Inputs!$B$19,AD70&lt;Inputs!$B$19,P70&lt;Inputs!$B$7,P70&gt;Inputs!$B$8),"CHECK","OK"))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SUMIFS(CB_plan!$C:$C,CB_plan!$B:$B,$A71)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IF(A71="","",2.78E-7*IF(I71="",Inputs!$B$17,I71)*H71*K71)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IF(A71="","",IF(OR(V71&gt;1,W71&lt;Inputs!$B$11,W71&gt;Inputs!$B$12,AC71&lt;Inputs!$B$19,AD71&lt;Inputs!$B$19,P71&lt;Inputs!$B$7,P71&gt;Inputs!$B$8),"CHECK","OK"))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SUMIFS(CB_plan!$C:$C,CB_plan!$B:$B,$A72)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IF(A72="","",2.78E-7*IF(I72="",Inputs!$B$17,I72)*H72*K72)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IF(A72="","",IF(OR(V72&gt;1,W72&lt;Inputs!$B$11,W72&gt;Inputs!$B$12,AC72&lt;Inputs!$B$19,AD72&lt;Inputs!$B$19,P72&lt;Inputs!$B$7,P72&gt;Inputs!$B$8),"CHECK","OK"))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SUMIFS(CB_plan!$C:$C,CB_plan!$B:$B,$A73)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IF(A73="","",2.78E-7*IF(I73="",Inputs!$B$17,I73)*H73*K73)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IF(A73="","",IF(OR(V73&gt;1,W73&lt;Inputs!$B$11,W73&gt;Inputs!$B$12,AC73&lt;Inputs!$B$19,AD73&lt;Inputs!$B$19,P73&lt;Inputs!$B$7,P73&gt;Inputs!$B$8),"CHECK","OK"))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SUMIFS(CB_plan!$C:$C,CB_plan!$B:$B,$A74)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IF(A74="","",2.78E-7*IF(I74="",Inputs!$B$17,I74)*H74*K74)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IF(A74="","",IF(OR(V74&gt;1,W74&lt;Inputs!$B$11,W74&gt;Inputs!$B$12,AC74&lt;Inputs!$B$19,AD74&lt;Inputs!$B$19,P74&lt;Inputs!$B$7,P74&gt;Inputs!$B$8),"CHECK","OK"))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SUMIFS(CB_plan!$C:$C,CB_plan!$B:$B,$A75)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IF(A75="","",2.78E-7*IF(I75="",Inputs!$B$17,I75)*H75*K75)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IF(A75="","",IF(OR(V75&gt;1,W75&lt;Inputs!$B$11,W75&gt;Inputs!$B$12,AC75&lt;Inputs!$B$19,AD75&lt;Inputs!$B$19,P75&lt;Inputs!$B$7,P75&gt;Inputs!$B$8),"CHECK","OK"))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SUMIFS(CB_plan!$C:$C,CB_plan!$B:$B,$A76)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IF(A76="","",2.78E-7*IF(I76="",Inputs!$B$17,I76)*H76*K76)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IF(A76="","",IF(OR(V76&gt;1,W76&lt;Inputs!$B$11,W76&gt;Inputs!$B$12,AC76&lt;Inputs!$B$19,AD76&lt;Inputs!$B$19,P76&lt;Inputs!$B$7,P76&gt;Inputs!$B$8),"CHECK","OK"))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SUMIFS(CB_plan!$C:$C,CB_plan!$B:$B,$A77)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IF(A77="","",2.78E-7*IF(I77="",Inputs!$B$17,I77)*H77*K77)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IF(A77="","",IF(OR(V77&gt;1,W77&lt;Inputs!$B$11,W77&gt;Inputs!$B$12,AC77&lt;Inputs!$B$19,AD77&lt;Inputs!$B$19,P77&lt;Inputs!$B$7,P77&gt;Inputs!$B$8),"CHECK","OK"))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SUMIFS(CB_plan!$C:$C,CB_plan!$B:$B,$A78)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IF(A78="","",2.78E-7*IF(I78="",Inputs!$B$17,I78)*H78*K78)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IF(A78="","",IF(OR(V78&gt;1,W78&lt;Inputs!$B$11,W78&gt;Inputs!$B$12,AC78&lt;Inputs!$B$19,AD78&lt;Inputs!$B$19,P78&lt;Inputs!$B$7,P78&gt;Inputs!$B$8),"CHECK","OK"))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SUMIFS(CB_plan!$C:$C,CB_plan!$B:$B,$A79)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IF(A79="","",2.78E-7*IF(I79="",Inputs!$B$17,I79)*H79*K79)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IF(A79="","",IF(OR(V79&gt;1,W79&lt;Inputs!$B$11,W79&gt;Inputs!$B$12,AC79&lt;Inputs!$B$19,AD79&lt;Inputs!$B$19,P79&lt;Inputs!$B$7,P79&gt;Inputs!$B$8),"CHECK","OK"))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SUMIFS(CB_plan!$C:$C,CB_plan!$B:$B,$A80)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IF(A80="","",2.78E-7*IF(I80="",Inputs!$B$17,I80)*H80*K80)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IF(A80="","",IF(OR(V80&gt;1,W80&lt;Inputs!$B$11,W80&gt;Inputs!$B$12,AC80&lt;Inputs!$B$19,AD80&lt;Inputs!$B$19,P80&lt;Inputs!$B$7,P80&gt;Inputs!$B$8),"CHECK","OK"))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SUMIFS(CB_plan!$C:$C,CB_plan!$B:$B,$A81)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IF(A81="","",2.78E-7*IF(I81="",Inputs!$B$17,I81)*H81*K81)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IF(A81="","",IF(OR(V81&gt;1,W81&lt;Inputs!$B$11,W81&gt;Inputs!$B$12,AC81&lt;Inputs!$B$19,AD81&lt;Inputs!$B$19,P81&lt;Inputs!$B$7,P81&gt;Inputs!$B$8),"CHECK","OK"))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SUMIFS(CB_plan!$C:$C,CB_plan!$B:$B,$A82)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IF(A82="","",2.78E-7*IF(I82="",Inputs!$B$17,I82)*H82*K82)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IF(A82="","",IF(OR(V82&gt;1,W82&lt;Inputs!$B$11,W82&gt;Inputs!$B$12,AC82&lt;Inputs!$B$19,AD82&lt;Inputs!$B$19,P82&lt;Inputs!$B$7,P82&gt;Inputs!$B$8),"CHECK","OK"))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SUMIFS(CB_plan!$C:$C,CB_plan!$B:$B,$A83)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IF(A83="","",2.78E-7*IF(I83="",Inputs!$B$17,I83)*H83*K83)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IF(A83="","",IF(OR(V83&gt;1,W83&lt;Inputs!$B$11,W83&gt;Inputs!$B$12,AC83&lt;Inputs!$B$19,AD83&lt;Inputs!$B$19,P83&lt;Inputs!$B$7,P83&gt;Inputs!$B$8),"CHECK","OK"))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SUMIFS(CB_plan!$C:$C,CB_plan!$B:$B,$A84)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IF(A84="","",2.78E-7*IF(I84="",Inputs!$B$17,I84)*H84*K84)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IF(A84="","",IF(OR(V84&gt;1,W84&lt;Inputs!$B$11,W84&gt;Inputs!$B$12,AC84&lt;Inputs!$B$19,AD84&lt;Inputs!$B$19,P84&lt;Inputs!$B$7,P84&gt;Inputs!$B$8),"CHECK","OK"))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SUMIFS(CB_plan!$C:$C,CB_plan!$B:$B,$A85)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IF(A85="","",2.78E-7*IF(I85="",Inputs!$B$17,I85)*H85*K85)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IF(A85="","",IF(OR(V85&gt;1,W85&lt;Inputs!$B$11,W85&gt;Inputs!$B$12,AC85&lt;Inputs!$B$19,AD85&lt;Inputs!$B$19,P85&lt;Inputs!$B$7,P85&gt;Inputs!$B$8),"CHECK","OK"))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SUMIFS(CB_plan!$C:$C,CB_plan!$B:$B,$A86)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IF(A86="","",2.78E-7*IF(I86="",Inputs!$B$17,I86)*H86*K86)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IF(A86="","",IF(OR(V86&gt;1,W86&lt;Inputs!$B$11,W86&gt;Inputs!$B$12,AC86&lt;Inputs!$B$19,AD86&lt;Inputs!$B$19,P86&lt;Inputs!$B$7,P86&gt;Inputs!$B$8),"CHECK","OK"))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SUMIFS(CB_plan!$C:$C,CB_plan!$B:$B,$A87)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IF(A87="","",2.78E-7*IF(I87="",Inputs!$B$17,I87)*H87*K87)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IF(A87="","",IF(OR(V87&gt;1,W87&lt;Inputs!$B$11,W87&gt;Inputs!$B$12,AC87&lt;Inputs!$B$19,AD87&lt;Inputs!$B$19,P87&lt;Inputs!$B$7,P87&gt;Inputs!$B$8),"CHECK","OK"))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SUMIFS(CB_plan!$C:$C,CB_plan!$B:$B,$A88)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IF(A88="","",2.78E-7*IF(I88="",Inputs!$B$17,I88)*H88*K88)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IF(A88="","",IF(OR(V88&gt;1,W88&lt;Inputs!$B$11,W88&gt;Inputs!$B$12,AC88&lt;Inputs!$B$19,AD88&lt;Inputs!$B$19,P88&lt;Inputs!$B$7,P88&gt;Inputs!$B$8),"CHECK","OK"))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SUMIFS(CB_plan!$C:$C,CB_plan!$B:$B,$A89)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IF(A89="","",2.78E-7*IF(I89="",Inputs!$B$17,I89)*H89*K89)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IF(A89="","",IF(OR(V89&gt;1,W89&lt;Inputs!$B$11,W89&gt;Inputs!$B$12,AC89&lt;Inputs!$B$19,AD89&lt;Inputs!$B$19,P89&lt;Inputs!$B$7,P89&gt;Inputs!$B$8),"CHECK","OK"))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SUMIFS(CB_plan!$C:$C,CB_plan!$B:$B,$A90)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IF(A90="","",2.78E-7*IF(I90="",Inputs!$B$17,I90)*H90*K90)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IF(A90="","",IF(OR(V90&gt;1,W90&lt;Inputs!$B$11,W90&gt;Inputs!$B$12,AC90&lt;Inputs!$B$19,AD90&lt;Inputs!$B$19,P90&lt;Inputs!$B$7,P90&gt;Inputs!$B$8),"CHECK","OK"))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SUMIFS(CB_plan!$C:$C,CB_plan!$B:$B,$A91)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IF(A91="","",2.78E-7*IF(I91="",Inputs!$B$17,I91)*H91*K91)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IF(A91="","",IF(OR(V91&gt;1,W91&lt;Inputs!$B$11,W91&gt;Inputs!$B$12,AC91&lt;Inputs!$B$19,AD91&lt;Inputs!$B$19,P91&lt;Inputs!$B$7,P91&gt;Inputs!$B$8),"CHECK","OK"))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SUMIFS(CB_plan!$C:$C,CB_plan!$B:$B,$A92)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IF(A92="","",2.78E-7*IF(I92="",Inputs!$B$17,I92)*H92*K92)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IF(A92="","",IF(OR(V92&gt;1,W92&lt;Inputs!$B$11,W92&gt;Inputs!$B$12,AC92&lt;Inputs!$B$19,AD92&lt;Inputs!$B$19,P92&lt;Inputs!$B$7,P92&gt;Inputs!$B$8),"CHECK","OK"))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SUMIFS(CB_plan!$C:$C,CB_plan!$B:$B,$A93)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IF(A93="","",2.78E-7*IF(I93="",Inputs!$B$17,I93)*H93*K93)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IF(A93="","",IF(OR(V93&gt;1,W93&lt;Inputs!$B$11,W93&gt;Inputs!$B$12,AC93&lt;Inputs!$B$19,AD93&lt;Inputs!$B$19,P93&lt;Inputs!$B$7,P93&gt;Inputs!$B$8),"CHECK","OK"))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SUMIFS(CB_plan!$C:$C,CB_plan!$B:$B,$A94)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IF(A94="","",2.78E-7*IF(I94="",Inputs!$B$17,I94)*H94*K94)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IF(A94="","",IF(OR(V94&gt;1,W94&lt;Inputs!$B$11,W94&gt;Inputs!$B$12,AC94&lt;Inputs!$B$19,AD94&lt;Inputs!$B$19,P94&lt;Inputs!$B$7,P94&gt;Inputs!$B$8),"CHECK","OK"))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SUMIFS(CB_plan!$C:$C,CB_plan!$B:$B,$A95)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IF(A95="","",2.78E-7*IF(I95="",Inputs!$B$17,I95)*H95*K95)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IF(A95="","",IF(OR(V95&gt;1,W95&lt;Inputs!$B$11,W95&gt;Inputs!$B$12,AC95&lt;Inputs!$B$19,AD95&lt;Inputs!$B$19,P95&lt;Inputs!$B$7,P95&gt;Inputs!$B$8),"CHECK","OK"))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SUMIFS(CB_plan!$C:$C,CB_plan!$B:$B,$A96)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IF(A96="","",2.78E-7*IF(I96="",Inputs!$B$17,I96)*H96*K96)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IF(A96="","",IF(OR(V96&gt;1,W96&lt;Inputs!$B$11,W96&gt;Inputs!$B$12,AC96&lt;Inputs!$B$19,AD96&lt;Inputs!$B$19,P96&lt;Inputs!$B$7,P96&gt;Inputs!$B$8),"CHECK","OK"))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SUMIFS(CB_plan!$C:$C,CB_plan!$B:$B,$A97)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IF(A97="","",2.78E-7*IF(I97="",Inputs!$B$17,I97)*H97*K97)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IF(A97="","",IF(OR(V97&gt;1,W97&lt;Inputs!$B$11,W97&gt;Inputs!$B$12,AC97&lt;Inputs!$B$19,AD97&lt;Inputs!$B$19,P97&lt;Inputs!$B$7,P97&gt;Inputs!$B$8),"CHECK","OK"))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SUMIFS(CB_plan!$C:$C,CB_plan!$B:$B,$A98)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IF(A98="","",2.78E-7*IF(I98="",Inputs!$B$17,I98)*H98*K98)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IF(A98="","",IF(OR(V98&gt;1,W98&lt;Inputs!$B$11,W98&gt;Inputs!$B$12,AC98&lt;Inputs!$B$19,AD98&lt;Inputs!$B$19,P98&lt;Inputs!$B$7,P98&gt;Inputs!$B$8),"CHECK","OK"))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SUMIFS(CB_plan!$C:$C,CB_plan!$B:$B,$A99)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IF(A99="","",2.78E-7*IF(I99="",Inputs!$B$17,I99)*H99*K99)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IF(A99="","",IF(OR(V99&gt;1,W99&lt;Inputs!$B$11,W99&gt;Inputs!$B$12,AC99&lt;Inputs!$B$19,AD99&lt;Inputs!$B$19,P99&lt;Inputs!$B$7,P99&gt;Inputs!$B$8),"CHECK","OK"))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SUMIFS(CB_plan!$C:$C,CB_plan!$B:$B,$A100)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IF(A100="","",2.78E-7*IF(I100="",Inputs!$B$17,I100)*H100*K100)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IF(A100="","",IF(OR(V100&gt;1,W100&lt;Inputs!$B$11,W100&gt;Inputs!$B$12,AC100&lt;Inputs!$B$19,AD100&lt;Inputs!$B$19,P100&lt;Inputs!$B$7,P100&gt;Inputs!$B$8),"CHECK","OK"))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SUMIFS(CB_plan!$C:$C,CB_plan!$B:$B,$A101)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IF(A101="","",2.78E-7*IF(I101="",Inputs!$B$17,I101)*H101*K101)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IF(A101="","",IF(OR(V101&gt;1,W101&lt;Inputs!$B$11,W101&gt;Inputs!$B$12,AC101&lt;Inputs!$B$19,AD101&lt;Inputs!$B$19,P101&lt;Inputs!$B$7,P101&gt;Inputs!$B$8),"CHECK","OK"))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SUMIFS(CB_plan!$C:$C,CB_plan!$B:$B,$A102)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IF(A102="","",2.78E-7*IF(I102="",Inputs!$B$17,I102)*H102*K102)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IF(A102="","",IF(OR(V102&gt;1,W102&lt;Inputs!$B$11,W102&gt;Inputs!$B$12,AC102&lt;Inputs!$B$19,AD102&lt;Inputs!$B$19,P102&lt;Inputs!$B$7,P102&gt;Inputs!$B$8),"CHECK","OK"))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SUMIFS(CB_plan!$C:$C,CB_plan!$B:$B,$A103)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IF(A103="","",2.78E-7*IF(I103="",Inputs!$B$17,I103)*H103*K103)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IF(A103="","",IF(OR(V103&gt;1,W103&lt;Inputs!$B$11,W103&gt;Inputs!$B$12,AC103&lt;Inputs!$B$19,AD103&lt;Inputs!$B$19,P103&lt;Inputs!$B$7,P103&gt;Inputs!$B$8),"CHECK","OK"))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SUMIFS(CB_plan!$C:$C,CB_plan!$B:$B,$A104)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IF(A104="","",2.78E-7*IF(I104="",Inputs!$B$17,I104)*H104*K104)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IF(A104="","",IF(OR(V104&gt;1,W104&lt;Inputs!$B$11,W104&gt;Inputs!$B$12,AC104&lt;Inputs!$B$19,AD104&lt;Inputs!$B$19,P104&lt;Inputs!$B$7,P104&gt;Inputs!$B$8),"CHECK","OK"))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SUMIFS(CB_plan!$C:$C,CB_plan!$B:$B,$A105)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IF(A105="","",2.78E-7*IF(I105="",Inputs!$B$17,I105)*H105*K105)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IF(A105="","",IF(OR(V105&gt;1,W105&lt;Inputs!$B$11,W105&gt;Inputs!$B$12,AC105&lt;Inputs!$B$19,AD105&lt;Inputs!$B$19,P105&lt;Inputs!$B$7,P105&gt;Inputs!$B$8),"CHECK","OK"))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SUMIFS(CB_plan!$C:$C,CB_plan!$B:$B,$A106)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IF(A106="","",2.78E-7*IF(I106="",Inputs!$B$17,I106)*H106*K106)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IF(A106="","",IF(OR(V106&gt;1,W106&lt;Inputs!$B$11,W106&gt;Inputs!$B$12,AC106&lt;Inputs!$B$19,AD106&lt;Inputs!$B$19,P106&lt;Inputs!$B$7,P106&gt;Inputs!$B$8),"CHECK","OK"))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SUMIFS(CB_plan!$C:$C,CB_plan!$B:$B,$A107)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IF(A107="","",2.78E-7*IF(I107="",Inputs!$B$17,I107)*H107*K107)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IF(A107="","",IF(OR(V107&gt;1,W107&lt;Inputs!$B$11,W107&gt;Inputs!$B$12,AC107&lt;Inputs!$B$19,AD107&lt;Inputs!$B$19,P107&lt;Inputs!$B$7,P107&gt;Inputs!$B$8),"CHECK","OK"))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SUMIFS(CB_plan!$C:$C,CB_plan!$B:$B,$A108)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IF(A108="","",2.78E-7*IF(I108="",Inputs!$B$17,I108)*H108*K108)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IF(A108="","",IF(OR(V108&gt;1,W108&lt;Inputs!$B$11,W108&gt;Inputs!$B$12,AC108&lt;Inputs!$B$19,AD108&lt;Inputs!$B$19,P108&lt;Inputs!$B$7,P108&gt;Inputs!$B$8),"CHECK","OK"))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SUMIFS(CB_plan!$C:$C,CB_plan!$B:$B,$A109)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IF(A109="","",2.78E-7*IF(I109="",Inputs!$B$17,I109)*H109*K109)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IF(A109="","",IF(OR(V109&gt;1,W109&lt;Inputs!$B$11,W109&gt;Inputs!$B$12,AC109&lt;Inputs!$B$19,AD109&lt;Inputs!$B$19,P109&lt;Inputs!$B$7,P109&gt;Inputs!$B$8),"CHECK","OK"))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SUMIFS(CB_plan!$C:$C,CB_plan!$B:$B,$A110)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IF(A110="","",2.78E-7*IF(I110="",Inputs!$B$17,I110)*H110*K110)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IF(A110="","",IF(OR(V110&gt;1,W110&lt;Inputs!$B$11,W110&gt;Inputs!$B$12,AC110&lt;Inputs!$B$19,AD110&lt;Inputs!$B$19,P110&lt;Inputs!$B$7,P110&gt;Inputs!$B$8),"CHECK","OK"))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SUMIFS(CB_plan!$C:$C,CB_plan!$B:$B,$A111)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IF(A111="","",2.78E-7*IF(I111="",Inputs!$B$17,I111)*H111*K111)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IF(A111="","",IF(OR(V111&gt;1,W111&lt;Inputs!$B$11,W111&gt;Inputs!$B$12,AC111&lt;Inputs!$B$19,AD111&lt;Inputs!$B$19,P111&lt;Inputs!$B$7,P111&gt;Inputs!$B$8),"CHECK","OK"))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SUMIFS(CB_plan!$C:$C,CB_plan!$B:$B,$A112)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IF(A112="","",2.78E-7*IF(I112="",Inputs!$B$17,I112)*H112*K112)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IF(A112="","",IF(OR(V112&gt;1,W112&lt;Inputs!$B$11,W112&gt;Inputs!$B$12,AC112&lt;Inputs!$B$19,AD112&lt;Inputs!$B$19,P112&lt;Inputs!$B$7,P112&gt;Inputs!$B$8),"CHECK","OK"))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SUMIFS(CB_plan!$C:$C,CB_plan!$B:$B,$A113)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IF(A113="","",2.78E-7*IF(I113="",Inputs!$B$17,I113)*H113*K113)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IF(A113="","",IF(OR(V113&gt;1,W113&lt;Inputs!$B$11,W113&gt;Inputs!$B$12,AC113&lt;Inputs!$B$19,AD113&lt;Inputs!$B$19,P113&lt;Inputs!$B$7,P113&gt;Inputs!$B$8),"CHECK","OK"))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SUMIFS(CB_plan!$C:$C,CB_plan!$B:$B,$A114)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IF(A114="","",2.78E-7*IF(I114="",Inputs!$B$17,I114)*H114*K114)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IF(A114="","",IF(OR(V114&gt;1,W114&lt;Inputs!$B$11,W114&gt;Inputs!$B$12,AC114&lt;Inputs!$B$19,AD114&lt;Inputs!$B$19,P114&lt;Inputs!$B$7,P114&gt;Inputs!$B$8),"CHECK","OK"))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SUMIFS(CB_plan!$C:$C,CB_plan!$B:$B,$A115)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IF(A115="","",2.78E-7*IF(I115="",Inputs!$B$17,I115)*H115*K115)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IF(A115="","",IF(OR(V115&gt;1,W115&lt;Inputs!$B$11,W115&gt;Inputs!$B$12,AC115&lt;Inputs!$B$19,AD115&lt;Inputs!$B$19,P115&lt;Inputs!$B$7,P115&gt;Inputs!$B$8),"CHECK","OK"))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SUMIFS(CB_plan!$C:$C,CB_plan!$B:$B,$A116)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IF(A116="","",2.78E-7*IF(I116="",Inputs!$B$17,I116)*H116*K116)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IF(A116="","",IF(OR(V116&gt;1,W116&lt;Inputs!$B$11,W116&gt;Inputs!$B$12,AC116&lt;Inputs!$B$19,AD116&lt;Inputs!$B$19,P116&lt;Inputs!$B$7,P116&gt;Inputs!$B$8),"CHECK","OK"))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SUMIFS(CB_plan!$C:$C,CB_plan!$B:$B,$A117)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IF(A117="","",2.78E-7*IF(I117="",Inputs!$B$17,I117)*H117*K117)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IF(A117="","",IF(OR(V117&gt;1,W117&lt;Inputs!$B$11,W117&gt;Inputs!$B$12,AC117&lt;Inputs!$B$19,AD117&lt;Inputs!$B$19,P117&lt;Inputs!$B$7,P117&gt;Inputs!$B$8),"CHECK","OK"))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SUMIFS(CB_plan!$C:$C,CB_plan!$B:$B,$A118)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IF(A118="","",2.78E-7*IF(I118="",Inputs!$B$17,I118)*H118*K118)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IF(A118="","",IF(OR(V118&gt;1,W118&lt;Inputs!$B$11,W118&gt;Inputs!$B$12,AC118&lt;Inputs!$B$19,AD118&lt;Inputs!$B$19,P118&lt;Inputs!$B$7,P118&gt;Inputs!$B$8),"CHECK","OK"))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SUMIFS(CB_plan!$C:$C,CB_plan!$B:$B,$A119)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IF(A119="","",2.78E-7*IF(I119="",Inputs!$B$17,I119)*H119*K119)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IF(A119="","",IF(OR(V119&gt;1,W119&lt;Inputs!$B$11,W119&gt;Inputs!$B$12,AC119&lt;Inputs!$B$19,AD119&lt;Inputs!$B$19,P119&lt;Inputs!$B$7,P119&gt;Inputs!$B$8),"CHECK","OK"))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SUMIFS(CB_plan!$C:$C,CB_plan!$B:$B,$A120)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IF(A120="","",2.78E-7*IF(I120="",Inputs!$B$17,I120)*H120*K120)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IF(A120="","",IF(OR(V120&gt;1,W120&lt;Inputs!$B$11,W120&gt;Inputs!$B$12,AC120&lt;Inputs!$B$19,AD120&lt;Inputs!$B$19,P120&lt;Inputs!$B$7,P120&gt;Inputs!$B$8),"CHECK","OK"))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SUMIFS(CB_plan!$C:$C,CB_plan!$B:$B,$A121)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IF(A121="","",2.78E-7*IF(I121="",Inputs!$B$17,I121)*H121*K121)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IF(A121="","",IF(OR(V121&gt;1,W121&lt;Inputs!$B$11,W121&gt;Inputs!$B$12,AC121&lt;Inputs!$B$19,AD121&lt;Inputs!$B$19,P121&lt;Inputs!$B$7,P121&gt;Inputs!$B$8),"CHECK","OK"))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SUMIFS(CB_plan!$C:$C,CB_plan!$B:$B,$A122)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IF(A122="","",2.78E-7*IF(I122="",Inputs!$B$17,I122)*H122*K122)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IF(A122="","",IF(OR(V122&gt;1,W122&lt;Inputs!$B$11,W122&gt;Inputs!$B$12,AC122&lt;Inputs!$B$19,AD122&lt;Inputs!$B$19,P122&lt;Inputs!$B$7,P122&gt;Inputs!$B$8),"CHECK","OK"))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SUMIFS(CB_plan!$C:$C,CB_plan!$B:$B,$A123)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IF(A123="","",2.78E-7*IF(I123="",Inputs!$B$17,I123)*H123*K123)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IF(A123="","",IF(OR(V123&gt;1,W123&lt;Inputs!$B$11,W123&gt;Inputs!$B$12,AC123&lt;Inputs!$B$19,AD123&lt;Inputs!$B$19,P123&lt;Inputs!$B$7,P123&gt;Inputs!$B$8),"CHECK","OK"))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SUMIFS(CB_plan!$C:$C,CB_plan!$B:$B,$A124)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IF(A124="","",2.78E-7*IF(I124="",Inputs!$B$17,I124)*H124*K124)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IF(A124="","",IF(OR(V124&gt;1,W124&lt;Inputs!$B$11,W124&gt;Inputs!$B$12,AC124&lt;Inputs!$B$19,AD124&lt;Inputs!$B$19,P124&lt;Inputs!$B$7,P124&gt;Inputs!$B$8),"CHECK","OK"))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SUMIFS(CB_plan!$C:$C,CB_plan!$B:$B,$A125)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IF(A125="","",2.78E-7*IF(I125="",Inputs!$B$17,I125)*H125*K125)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IF(A125="","",IF(OR(V125&gt;1,W125&lt;Inputs!$B$11,W125&gt;Inputs!$B$12,AC125&lt;Inputs!$B$19,AD125&lt;Inputs!$B$19,P125&lt;Inputs!$B$7,P125&gt;Inputs!$B$8),"CHECK","OK"))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SUMIFS(CB_plan!$C:$C,CB_plan!$B:$B,$A126)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IF(A126="","",2.78E-7*IF(I126="",Inputs!$B$17,I126)*H126*K126)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IF(A126="","",IF(OR(V126&gt;1,W126&lt;Inputs!$B$11,W126&gt;Inputs!$B$12,AC126&lt;Inputs!$B$19,AD126&lt;Inputs!$B$19,P126&lt;Inputs!$B$7,P126&gt;Inputs!$B$8),"CHECK","OK"))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SUMIFS(CB_plan!$C:$C,CB_plan!$B:$B,$A127)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IF(A127="","",2.78E-7*IF(I127="",Inputs!$B$17,I127)*H127*K127)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IF(A127="","",IF(OR(V127&gt;1,W127&lt;Inputs!$B$11,W127&gt;Inputs!$B$12,AC127&lt;Inputs!$B$19,AD127&lt;Inputs!$B$19,P127&lt;Inputs!$B$7,P127&gt;Inputs!$B$8),"CHECK","OK"))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SUMIFS(CB_plan!$C:$C,CB_plan!$B:$B,$A128)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IF(A128="","",2.78E-7*IF(I128="",Inputs!$B$17,I128)*H128*K128)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IF(A128="","",IF(OR(V128&gt;1,W128&lt;Inputs!$B$11,W128&gt;Inputs!$B$12,AC128&lt;Inputs!$B$19,AD128&lt;Inputs!$B$19,P128&lt;Inputs!$B$7,P128&gt;Inputs!$B$8),"CHECK","OK"))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SUMIFS(CB_plan!$C:$C,CB_plan!$B:$B,$A129)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IF(A129="","",2.78E-7*IF(I129="",Inputs!$B$17,I129)*H129*K129)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IF(A129="","",IF(OR(V129&gt;1,W129&lt;Inputs!$B$11,W129&gt;Inputs!$B$12,AC129&lt;Inputs!$B$19,AD129&lt;Inputs!$B$19,P129&lt;Inputs!$B$7,P129&gt;Inputs!$B$8),"CHECK","OK"))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SUMIFS(CB_plan!$C:$C,CB_plan!$B:$B,$A130)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IF(A130="","",2.78E-7*IF(I130="",Inputs!$B$17,I130)*H130*K130)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IF(A130="","",IF(OR(V130&gt;1,W130&lt;Inputs!$B$11,W130&gt;Inputs!$B$12,AC130&lt;Inputs!$B$19,AD130&lt;Inputs!$B$19,P130&lt;Inputs!$B$7,P130&gt;Inputs!$B$8),"CHECK","OK"))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SUMIFS(CB_plan!$C:$C,CB_plan!$B:$B,$A131)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IF(A131="","",2.78E-7*IF(I131="",Inputs!$B$17,I131)*H131*K131)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IF(A131="","",IF(OR(V131&gt;1,W131&lt;Inputs!$B$11,W131&gt;Inputs!$B$12,AC131&lt;Inputs!$B$19,AD131&lt;Inputs!$B$19,P131&lt;Inputs!$B$7,P131&gt;Inputs!$B$8),"CHECK","OK"))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SUMIFS(CB_plan!$C:$C,CB_plan!$B:$B,$A132)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IF(A132="","",2.78E-7*IF(I132="",Inputs!$B$17,I132)*H132*K132)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IF(A132="","",IF(OR(V132&gt;1,W132&lt;Inputs!$B$11,W132&gt;Inputs!$B$12,AC132&lt;Inputs!$B$19,AD132&lt;Inputs!$B$19,P132&lt;Inputs!$B$7,P132&gt;Inputs!$B$8),"CHECK","OK"))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SUMIFS(CB_plan!$C:$C,CB_plan!$B:$B,$A133)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IF(A133="","",2.78E-7*IF(I133="",Inputs!$B$17,I133)*H133*K133)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IF(A133="","",IF(OR(V133&gt;1,W133&lt;Inputs!$B$11,W133&gt;Inputs!$B$12,AC133&lt;Inputs!$B$19,AD133&lt;Inputs!$B$19,P133&lt;Inputs!$B$7,P133&gt;Inputs!$B$8),"CHECK","OK"))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SUMIFS(CB_plan!$C:$C,CB_plan!$B:$B,$A134)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IF(A134="","",2.78E-7*IF(I134="",Inputs!$B$17,I134)*H134*K134)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IF(A134="","",IF(OR(V134&gt;1,W134&lt;Inputs!$B$11,W134&gt;Inputs!$B$12,AC134&lt;Inputs!$B$19,AD134&lt;Inputs!$B$19,P134&lt;Inputs!$B$7,P134&gt;Inputs!$B$8),"CHECK","OK"))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SUMIFS(CB_plan!$C:$C,CB_plan!$B:$B,$A135)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IF(A135="","",2.78E-7*IF(I135="",Inputs!$B$17,I135)*H135*K135)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IF(A135="","",IF(OR(V135&gt;1,W135&lt;Inputs!$B$11,W135&gt;Inputs!$B$12,AC135&lt;Inputs!$B$19,AD135&lt;Inputs!$B$19,P135&lt;Inputs!$B$7,P135&gt;Inputs!$B$8),"CHECK","OK"))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SUMIFS(CB_plan!$C:$C,CB_plan!$B:$B,$A136)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IF(A136="","",2.78E-7*IF(I136="",Inputs!$B$17,I136)*H136*K136)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IF(A136="","",IF(OR(V136&gt;1,W136&lt;Inputs!$B$11,W136&gt;Inputs!$B$12,AC136&lt;Inputs!$B$19,AD136&lt;Inputs!$B$19,P136&lt;Inputs!$B$7,P136&gt;Inputs!$B$8),"CHECK","OK"))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SUMIFS(CB_plan!$C:$C,CB_plan!$B:$B,$A137)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IF(A137="","",2.78E-7*IF(I137="",Inputs!$B$17,I137)*H137*K137)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IF(A137="","",IF(OR(V137&gt;1,W137&lt;Inputs!$B$11,W137&gt;Inputs!$B$12,AC137&lt;Inputs!$B$19,AD137&lt;Inputs!$B$19,P137&lt;Inputs!$B$7,P137&gt;Inputs!$B$8),"CHECK","OK"))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SUMIFS(CB_plan!$C:$C,CB_plan!$B:$B,$A138)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IF(A138="","",2.78E-7*IF(I138="",Inputs!$B$17,I138)*H138*K138)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IF(A138="","",IF(OR(V138&gt;1,W138&lt;Inputs!$B$11,W138&gt;Inputs!$B$12,AC138&lt;Inputs!$B$19,AD138&lt;Inputs!$B$19,P138&lt;Inputs!$B$7,P138&gt;Inputs!$B$8),"CHECK","OK"))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SUMIFS(CB_plan!$C:$C,CB_plan!$B:$B,$A139)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IF(A139="","",2.78E-7*IF(I139="",Inputs!$B$17,I139)*H139*K139)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IF(A139="","",IF(OR(V139&gt;1,W139&lt;Inputs!$B$11,W139&gt;Inputs!$B$12,AC139&lt;Inputs!$B$19,AD139&lt;Inputs!$B$19,P139&lt;Inputs!$B$7,P139&gt;Inputs!$B$8),"CHECK","OK"))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SUMIFS(CB_plan!$C:$C,CB_plan!$B:$B,$A140)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IF(A140="","",2.78E-7*IF(I140="",Inputs!$B$17,I140)*H140*K140)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IF(A140="","",IF(OR(V140&gt;1,W140&lt;Inputs!$B$11,W140&gt;Inputs!$B$12,AC140&lt;Inputs!$B$19,AD140&lt;Inputs!$B$19,P140&lt;Inputs!$B$7,P140&gt;Inputs!$B$8),"CHECK","OK"))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SUMIFS(CB_plan!$C:$C,CB_plan!$B:$B,$A141)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IF(A141="","",2.78E-7*IF(I141="",Inputs!$B$17,I141)*H141*K141)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IF(A141="","",IF(OR(V141&gt;1,W141&lt;Inputs!$B$11,W141&gt;Inputs!$B$12,AC141&lt;Inputs!$B$19,AD141&lt;Inputs!$B$19,P141&lt;Inputs!$B$7,P141&gt;Inputs!$B$8),"CHECK","OK"))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SUMIFS(CB_plan!$C:$C,CB_plan!$B:$B,$A142)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IF(A142="","",2.78E-7*IF(I142="",Inputs!$B$17,I142)*H142*K142)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IF(A142="","",IF(OR(V142&gt;1,W142&lt;Inputs!$B$11,W142&gt;Inputs!$B$12,AC142&lt;Inputs!$B$19,AD142&lt;Inputs!$B$19,P142&lt;Inputs!$B$7,P142&gt;Inputs!$B$8),"CHECK","OK"))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SUMIFS(CB_plan!$C:$C,CB_plan!$B:$B,$A143)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IF(A143="","",2.78E-7*IF(I143="",Inputs!$B$17,I143)*H143*K143)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IF(A143="","",IF(OR(V143&gt;1,W143&lt;Inputs!$B$11,W143&gt;Inputs!$B$12,AC143&lt;Inputs!$B$19,AD143&lt;Inputs!$B$19,P143&lt;Inputs!$B$7,P143&gt;Inputs!$B$8),"CHECK","OK"))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SUMIFS(CB_plan!$C:$C,CB_plan!$B:$B,$A144)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IF(A144="","",2.78E-7*IF(I144="",Inputs!$B$17,I144)*H144*K144)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IF(A144="","",IF(OR(V144&gt;1,W144&lt;Inputs!$B$11,W144&gt;Inputs!$B$12,AC144&lt;Inputs!$B$19,AD144&lt;Inputs!$B$19,P144&lt;Inputs!$B$7,P144&gt;Inputs!$B$8),"CHECK","OK"))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SUMIFS(CB_plan!$C:$C,CB_plan!$B:$B,$A145)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IF(A145="","",2.78E-7*IF(I145="",Inputs!$B$17,I145)*H145*K145)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IF(A145="","",IF(OR(V145&gt;1,W145&lt;Inputs!$B$11,W145&gt;Inputs!$B$12,AC145&lt;Inputs!$B$19,AD145&lt;Inputs!$B$19,P145&lt;Inputs!$B$7,P145&gt;Inputs!$B$8),"CHECK","OK"))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SUMIFS(CB_plan!$C:$C,CB_plan!$B:$B,$A146)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IF(A146="","",2.78E-7*IF(I146="",Inputs!$B$17,I146)*H146*K146)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IF(A146="","",IF(OR(V146&gt;1,W146&lt;Inputs!$B$11,W146&gt;Inputs!$B$12,AC146&lt;Inputs!$B$19,AD146&lt;Inputs!$B$19,P146&lt;Inputs!$B$7,P146&gt;Inputs!$B$8),"CHECK","OK"))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SUMIFS(CB_plan!$C:$C,CB_plan!$B:$B,$A147)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IF(A147="","",2.78E-7*IF(I147="",Inputs!$B$17,I147)*H147*K147)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IF(A147="","",IF(OR(V147&gt;1,W147&lt;Inputs!$B$11,W147&gt;Inputs!$B$12,AC147&lt;Inputs!$B$19,AD147&lt;Inputs!$B$19,P147&lt;Inputs!$B$7,P147&gt;Inputs!$B$8),"CHECK","OK"))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SUMIFS(CB_plan!$C:$C,CB_plan!$B:$B,$A148)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IF(A148="","",2.78E-7*IF(I148="",Inputs!$B$17,I148)*H148*K148)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IF(A148="","",IF(OR(V148&gt;1,W148&lt;Inputs!$B$11,W148&gt;Inputs!$B$12,AC148&lt;Inputs!$B$19,AD148&lt;Inputs!$B$19,P148&lt;Inputs!$B$7,P148&gt;Inputs!$B$8),"CHECK","OK"))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SUMIFS(CB_plan!$C:$C,CB_plan!$B:$B,$A149)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IF(A149="","",2.78E-7*IF(I149="",Inputs!$B$17,I149)*H149*K149)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IF(A149="","",IF(OR(V149&gt;1,W149&lt;Inputs!$B$11,W149&gt;Inputs!$B$12,AC149&lt;Inputs!$B$19,AD149&lt;Inputs!$B$19,P149&lt;Inputs!$B$7,P149&gt;Inputs!$B$8),"CHECK","OK"))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SUMIFS(CB_plan!$C:$C,CB_plan!$B:$B,$A150)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IF(A150="","",2.78E-7*IF(I150="",Inputs!$B$17,I150)*H150*K150)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IF(A150="","",IF(OR(V150&gt;1,W150&lt;Inputs!$B$11,W150&gt;Inputs!$B$12,AC150&lt;Inputs!$B$19,AD150&lt;Inputs!$B$19,P150&lt;Inputs!$B$7,P150&gt;Inputs!$B$8),"CHECK","OK"))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SUMIFS(CB_plan!$C:$C,CB_plan!$B:$B,$A151)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IF(A151="","",2.78E-7*IF(I151="",Inputs!$B$17,I151)*H151*K151)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IF(A151="","",IF(OR(V151&gt;1,W151&lt;Inputs!$B$11,W151&gt;Inputs!$B$12,AC151&lt;Inputs!$B$19,AD151&lt;Inputs!$B$19,P151&lt;Inputs!$B$7,P151&gt;Inputs!$B$8),"CHECK","OK"))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SUMIFS(CB_plan!$C:$C,CB_plan!$B:$B,$A152)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IF(A152="","",2.78E-7*IF(I152="",Inputs!$B$17,I152)*H152*K152)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IF(A152="","",IF(OR(V152&gt;1,W152&lt;Inputs!$B$11,W152&gt;Inputs!$B$12,AC152&lt;Inputs!$B$19,AD152&lt;Inputs!$B$19,P152&lt;Inputs!$B$7,P152&gt;Inputs!$B$8),"CHECK","OK"))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SUMIFS(CB_plan!$C:$C,CB_plan!$B:$B,$A153)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IF(A153="","",2.78E-7*IF(I153="",Inputs!$B$17,I153)*H153*K153)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IF(A153="","",IF(OR(V153&gt;1,W153&lt;Inputs!$B$11,W153&gt;Inputs!$B$12,AC153&lt;Inputs!$B$19,AD153&lt;Inputs!$B$19,P153&lt;Inputs!$B$7,P153&gt;Inputs!$B$8),"CHECK","OK"))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SUMIFS(CB_plan!$C:$C,CB_plan!$B:$B,$A154)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IF(A154="","",2.78E-7*IF(I154="",Inputs!$B$17,I154)*H154*K154)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IF(A154="","",IF(OR(V154&gt;1,W154&lt;Inputs!$B$11,W154&gt;Inputs!$B$12,AC154&lt;Inputs!$B$19,AD154&lt;Inputs!$B$19,P154&lt;Inputs!$B$7,P154&gt;Inputs!$B$8),"CHECK","OK"))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SUMIFS(CB_plan!$C:$C,CB_plan!$B:$B,$A155)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IF(A155="","",2.78E-7*IF(I155="",Inputs!$B$17,I155)*H155*K155)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IF(A155="","",IF(OR(V155&gt;1,W155&lt;Inputs!$B$11,W155&gt;Inputs!$B$12,AC155&lt;Inputs!$B$19,AD155&lt;Inputs!$B$19,P155&lt;Inputs!$B$7,P155&gt;Inputs!$B$8),"CHECK","OK"))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SUMIFS(CB_plan!$C:$C,CB_plan!$B:$B,$A156)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IF(A156="","",2.78E-7*IF(I156="",Inputs!$B$17,I156)*H156*K156)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IF(A156="","",IF(OR(V156&gt;1,W156&lt;Inputs!$B$11,W156&gt;Inputs!$B$12,AC156&lt;Inputs!$B$19,AD156&lt;Inputs!$B$19,P156&lt;Inputs!$B$7,P156&gt;Inputs!$B$8),"CHECK","OK"))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SUMIFS(CB_plan!$C:$C,CB_plan!$B:$B,$A157)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IF(A157="","",2.78E-7*IF(I157="",Inputs!$B$17,I157)*H157*K157)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IF(A157="","",IF(OR(V157&gt;1,W157&lt;Inputs!$B$11,W157&gt;Inputs!$B$12,AC157&lt;Inputs!$B$19,AD157&lt;Inputs!$B$19,P157&lt;Inputs!$B$7,P157&gt;Inputs!$B$8),"CHECK","OK"))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SUMIFS(CB_plan!$C:$C,CB_plan!$B:$B,$A158)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IF(A158="","",2.78E-7*IF(I158="",Inputs!$B$17,I158)*H158*K158)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IF(A158="","",IF(OR(V158&gt;1,W158&lt;Inputs!$B$11,W158&gt;Inputs!$B$12,AC158&lt;Inputs!$B$19,AD158&lt;Inputs!$B$19,P158&lt;Inputs!$B$7,P158&gt;Inputs!$B$8),"CHECK","OK"))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SUMIFS(CB_plan!$C:$C,CB_plan!$B:$B,$A159)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IF(A159="","",2.78E-7*IF(I159="",Inputs!$B$17,I159)*H159*K159)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IF(A159="","",IF(OR(V159&gt;1,W159&lt;Inputs!$B$11,W159&gt;Inputs!$B$12,AC159&lt;Inputs!$B$19,AD159&lt;Inputs!$B$19,P159&lt;Inputs!$B$7,P159&gt;Inputs!$B$8),"CHECK","OK"))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SUMIFS(CB_plan!$C:$C,CB_plan!$B:$B,$A160)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IF(A160="","",2.78E-7*IF(I160="",Inputs!$B$17,I160)*H160*K160)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IF(A160="","",IF(OR(V160&gt;1,W160&lt;Inputs!$B$11,W160&gt;Inputs!$B$12,AC160&lt;Inputs!$B$19,AD160&lt;Inputs!$B$19,P160&lt;Inputs!$B$7,P160&gt;Inputs!$B$8),"CHECK","OK"))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SUMIFS(CB_plan!$C:$C,CB_plan!$B:$B,$A161)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IF(A161="","",2.78E-7*IF(I161="",Inputs!$B$17,I161)*H161*K161)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IF(A161="","",IF(OR(V161&gt;1,W161&lt;Inputs!$B$11,W161&gt;Inputs!$B$12,AC161&lt;Inputs!$B$19,AD161&lt;Inputs!$B$19,P161&lt;Inputs!$B$7,P161&gt;Inputs!$B$8),"CHECK","OK"))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SUMIFS(CB_plan!$C:$C,CB_plan!$B:$B,$A162)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IF(A162="","",2.78E-7*IF(I162="",Inputs!$B$17,I162)*H162*K162)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IF(A162="","",IF(OR(V162&gt;1,W162&lt;Inputs!$B$11,W162&gt;Inputs!$B$12,AC162&lt;Inputs!$B$19,AD162&lt;Inputs!$B$19,P162&lt;Inputs!$B$7,P162&gt;Inputs!$B$8),"CHECK","OK"))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SUMIFS(CB_plan!$C:$C,CB_plan!$B:$B,$A163)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IF(A163="","",2.78E-7*IF(I163="",Inputs!$B$17,I163)*H163*K163)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IF(A163="","",IF(OR(V163&gt;1,W163&lt;Inputs!$B$11,W163&gt;Inputs!$B$12,AC163&lt;Inputs!$B$19,AD163&lt;Inputs!$B$19,P163&lt;Inputs!$B$7,P163&gt;Inputs!$B$8),"CHECK","OK"))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SUMIFS(CB_plan!$C:$C,CB_plan!$B:$B,$A164)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IF(A164="","",2.78E-7*IF(I164="",Inputs!$B$17,I164)*H164*K164)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IF(A164="","",IF(OR(V164&gt;1,W164&lt;Inputs!$B$11,W164&gt;Inputs!$B$12,AC164&lt;Inputs!$B$19,AD164&lt;Inputs!$B$19,P164&lt;Inputs!$B$7,P164&gt;Inputs!$B$8),"CHECK","OK"))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SUMIFS(CB_plan!$C:$C,CB_plan!$B:$B,$A165)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IF(A165="","",2.78E-7*IF(I165="",Inputs!$B$17,I165)*H165*K165)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IF(A165="","",IF(OR(V165&gt;1,W165&lt;Inputs!$B$11,W165&gt;Inputs!$B$12,AC165&lt;Inputs!$B$19,AD165&lt;Inputs!$B$19,P165&lt;Inputs!$B$7,P165&gt;Inputs!$B$8),"CHECK","OK"))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SUMIFS(CB_plan!$C:$C,CB_plan!$B:$B,$A166)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IF(A166="","",2.78E-7*IF(I166="",Inputs!$B$17,I166)*H166*K166)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IF(A166="","",IF(OR(V166&gt;1,W166&lt;Inputs!$B$11,W166&gt;Inputs!$B$12,AC166&lt;Inputs!$B$19,AD166&lt;Inputs!$B$19,P166&lt;Inputs!$B$7,P166&gt;Inputs!$B$8),"CHECK","OK"))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SUMIFS(CB_plan!$C:$C,CB_plan!$B:$B,$A167)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IF(A167="","",2.78E-7*IF(I167="",Inputs!$B$17,I167)*H167*K167)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IF(A167="","",IF(OR(V167&gt;1,W167&lt;Inputs!$B$11,W167&gt;Inputs!$B$12,AC167&lt;Inputs!$B$19,AD167&lt;Inputs!$B$19,P167&lt;Inputs!$B$7,P167&gt;Inputs!$B$8),"CHECK","OK"))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SUMIFS(CB_plan!$C:$C,CB_plan!$B:$B,$A168)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IF(A168="","",2.78E-7*IF(I168="",Inputs!$B$17,I168)*H168*K168)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IF(A168="","",IF(OR(V168&gt;1,W168&lt;Inputs!$B$11,W168&gt;Inputs!$B$12,AC168&lt;Inputs!$B$19,AD168&lt;Inputs!$B$19,P168&lt;Inputs!$B$7,P168&gt;Inputs!$B$8),"CHECK","OK"))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SUMIFS(CB_plan!$C:$C,CB_plan!$B:$B,$A169)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IF(A169="","",2.78E-7*IF(I169="",Inputs!$B$17,I169)*H169*K169)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IF(A169="","",IF(OR(V169&gt;1,W169&lt;Inputs!$B$11,W169&gt;Inputs!$B$12,AC169&lt;Inputs!$B$19,AD169&lt;Inputs!$B$19,P169&lt;Inputs!$B$7,P169&gt;Inputs!$B$8),"CHECK","OK"))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SUMIFS(CB_plan!$C:$C,CB_plan!$B:$B,$A170)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IF(A170="","",2.78E-7*IF(I170="",Inputs!$B$17,I170)*H170*K170)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IF(A170="","",IF(OR(V170&gt;1,W170&lt;Inputs!$B$11,W170&gt;Inputs!$B$12,AC170&lt;Inputs!$B$19,AD170&lt;Inputs!$B$19,P170&lt;Inputs!$B$7,P170&gt;Inputs!$B$8),"CHECK","OK"))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SUMIFS(CB_plan!$C:$C,CB_plan!$B:$B,$A171)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IF(A171="","",2.78E-7*IF(I171="",Inputs!$B$17,I171)*H171*K171)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IF(A171="","",IF(OR(V171&gt;1,W171&lt;Inputs!$B$11,W171&gt;Inputs!$B$12,AC171&lt;Inputs!$B$19,AD171&lt;Inputs!$B$19,P171&lt;Inputs!$B$7,P171&gt;Inputs!$B$8),"CHECK","OK"))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SUMIFS(CB_plan!$C:$C,CB_plan!$B:$B,$A172)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IF(A172="","",2.78E-7*IF(I172="",Inputs!$B$17,I172)*H172*K172)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IF(A172="","",IF(OR(V172&gt;1,W172&lt;Inputs!$B$11,W172&gt;Inputs!$B$12,AC172&lt;Inputs!$B$19,AD172&lt;Inputs!$B$19,P172&lt;Inputs!$B$7,P172&gt;Inputs!$B$8),"CHECK","OK"))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SUMIFS(CB_plan!$C:$C,CB_plan!$B:$B,$A173)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IF(A173="","",2.78E-7*IF(I173="",Inputs!$B$17,I173)*H173*K173)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IF(A173="","",IF(OR(V173&gt;1,W173&lt;Inputs!$B$11,W173&gt;Inputs!$B$12,AC173&lt;Inputs!$B$19,AD173&lt;Inputs!$B$19,P173&lt;Inputs!$B$7,P173&gt;Inputs!$B$8),"CHECK","OK"))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SUMIFS(CB_plan!$C:$C,CB_plan!$B:$B,$A174)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IF(A174="","",2.78E-7*IF(I174="",Inputs!$B$17,I174)*H174*K174)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IF(A174="","",IF(OR(V174&gt;1,W174&lt;Inputs!$B$11,W174&gt;Inputs!$B$12,AC174&lt;Inputs!$B$19,AD174&lt;Inputs!$B$19,P174&lt;Inputs!$B$7,P174&gt;Inputs!$B$8),"CHECK","OK"))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SUMIFS(CB_plan!$C:$C,CB_plan!$B:$B,$A175)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IF(A175="","",2.78E-7*IF(I175="",Inputs!$B$17,I175)*H175*K175)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IF(A175="","",IF(OR(V175&gt;1,W175&lt;Inputs!$B$11,W175&gt;Inputs!$B$12,AC175&lt;Inputs!$B$19,AD175&lt;Inputs!$B$19,P175&lt;Inputs!$B$7,P175&gt;Inputs!$B$8),"CHECK","OK"))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SUMIFS(CB_plan!$C:$C,CB_plan!$B:$B,$A176)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IF(A176="","",2.78E-7*IF(I176="",Inputs!$B$17,I176)*H176*K176)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IF(A176="","",IF(OR(V176&gt;1,W176&lt;Inputs!$B$11,W176&gt;Inputs!$B$12,AC176&lt;Inputs!$B$19,AD176&lt;Inputs!$B$19,P176&lt;Inputs!$B$7,P176&gt;Inputs!$B$8),"CHECK","OK"))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SUMIFS(CB_plan!$C:$C,CB_plan!$B:$B,$A177)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IF(A177="","",2.78E-7*IF(I177="",Inputs!$B$17,I177)*H177*K177)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IF(A177="","",IF(OR(V177&gt;1,W177&lt;Inputs!$B$11,W177&gt;Inputs!$B$12,AC177&lt;Inputs!$B$19,AD177&lt;Inputs!$B$19,P177&lt;Inputs!$B$7,P177&gt;Inputs!$B$8),"CHECK","OK"))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SUMIFS(CB_plan!$C:$C,CB_plan!$B:$B,$A178)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IF(A178="","",2.78E-7*IF(I178="",Inputs!$B$17,I178)*H178*K178)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IF(A178="","",IF(OR(V178&gt;1,W178&lt;Inputs!$B$11,W178&gt;Inputs!$B$12,AC178&lt;Inputs!$B$19,AD178&lt;Inputs!$B$19,P178&lt;Inputs!$B$7,P178&gt;Inputs!$B$8),"CHECK","OK"))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SUMIFS(CB_plan!$C:$C,CB_plan!$B:$B,$A179)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IF(A179="","",2.78E-7*IF(I179="",Inputs!$B$17,I179)*H179*K179)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IF(A179="","",IF(OR(V179&gt;1,W179&lt;Inputs!$B$11,W179&gt;Inputs!$B$12,AC179&lt;Inputs!$B$19,AD179&lt;Inputs!$B$19,P179&lt;Inputs!$B$7,P179&gt;Inputs!$B$8),"CHECK","OK"))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SUMIFS(CB_plan!$C:$C,CB_plan!$B:$B,$A180)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IF(A180="","",2.78E-7*IF(I180="",Inputs!$B$17,I180)*H180*K180)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IF(A180="","",IF(OR(V180&gt;1,W180&lt;Inputs!$B$11,W180&gt;Inputs!$B$12,AC180&lt;Inputs!$B$19,AD180&lt;Inputs!$B$19,P180&lt;Inputs!$B$7,P180&gt;Inputs!$B$8),"CHECK","OK"))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SUMIFS(CB_plan!$C:$C,CB_plan!$B:$B,$A181)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IF(A181="","",2.78E-7*IF(I181="",Inputs!$B$17,I181)*H181*K181)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IF(A181="","",IF(OR(V181&gt;1,W181&lt;Inputs!$B$11,W181&gt;Inputs!$B$12,AC181&lt;Inputs!$B$19,AD181&lt;Inputs!$B$19,P181&lt;Inputs!$B$7,P181&gt;Inputs!$B$8),"CHECK","OK"))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SUMIFS(CB_plan!$C:$C,CB_plan!$B:$B,$A182)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IF(A182="","",2.78E-7*IF(I182="",Inputs!$B$17,I182)*H182*K182)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IF(A182="","",IF(OR(V182&gt;1,W182&lt;Inputs!$B$11,W182&gt;Inputs!$B$12,AC182&lt;Inputs!$B$19,AD182&lt;Inputs!$B$19,P182&lt;Inputs!$B$7,P182&gt;Inputs!$B$8),"CHECK","OK"))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SUMIFS(CB_plan!$C:$C,CB_plan!$B:$B,$A183)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IF(A183="","",2.78E-7*IF(I183="",Inputs!$B$17,I183)*H183*K183)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IF(A183="","",IF(OR(V183&gt;1,W183&lt;Inputs!$B$11,W183&gt;Inputs!$B$12,AC183&lt;Inputs!$B$19,AD183&lt;Inputs!$B$19,P183&lt;Inputs!$B$7,P183&gt;Inputs!$B$8),"CHECK","OK"))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SUMIFS(CB_plan!$C:$C,CB_plan!$B:$B,$A184)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IF(A184="","",2.78E-7*IF(I184="",Inputs!$B$17,I184)*H184*K184)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IF(A184="","",IF(OR(V184&gt;1,W184&lt;Inputs!$B$11,W184&gt;Inputs!$B$12,AC184&lt;Inputs!$B$19,AD184&lt;Inputs!$B$19,P184&lt;Inputs!$B$7,P184&gt;Inputs!$B$8),"CHECK","OK"))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SUMIFS(CB_plan!$C:$C,CB_plan!$B:$B,$A185)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IF(A185="","",2.78E-7*IF(I185="",Inputs!$B$17,I185)*H185*K185)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IF(A185="","",IF(OR(V185&gt;1,W185&lt;Inputs!$B$11,W185&gt;Inputs!$B$12,AC185&lt;Inputs!$B$19,AD185&lt;Inputs!$B$19,P185&lt;Inputs!$B$7,P185&gt;Inputs!$B$8),"CHECK","OK"))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SUMIFS(CB_plan!$C:$C,CB_plan!$B:$B,$A186)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IF(A186="","",2.78E-7*IF(I186="",Inputs!$B$17,I186)*H186*K186)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IF(A186="","",IF(OR(V186&gt;1,W186&lt;Inputs!$B$11,W186&gt;Inputs!$B$12,AC186&lt;Inputs!$B$19,AD186&lt;Inputs!$B$19,P186&lt;Inputs!$B$7,P186&gt;Inputs!$B$8),"CHECK","OK"))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SUMIFS(CB_plan!$C:$C,CB_plan!$B:$B,$A187)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IF(A187="","",2.78E-7*IF(I187="",Inputs!$B$17,I187)*H187*K187)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IF(A187="","",IF(OR(V187&gt;1,W187&lt;Inputs!$B$11,W187&gt;Inputs!$B$12,AC187&lt;Inputs!$B$19,AD187&lt;Inputs!$B$19,P187&lt;Inputs!$B$7,P187&gt;Inputs!$B$8),"CHECK","OK"))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SUMIFS(CB_plan!$C:$C,CB_plan!$B:$B,$A188)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IF(A188="","",2.78E-7*IF(I188="",Inputs!$B$17,I188)*H188*K188)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IF(A188="","",IF(OR(V188&gt;1,W188&lt;Inputs!$B$11,W188&gt;Inputs!$B$12,AC188&lt;Inputs!$B$19,AD188&lt;Inputs!$B$19,P188&lt;Inputs!$B$7,P188&gt;Inputs!$B$8),"CHECK","OK"))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SUMIFS(CB_plan!$C:$C,CB_plan!$B:$B,$A189)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IF(A189="","",2.78E-7*IF(I189="",Inputs!$B$17,I189)*H189*K189)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IF(A189="","",IF(OR(V189&gt;1,W189&lt;Inputs!$B$11,W189&gt;Inputs!$B$12,AC189&lt;Inputs!$B$19,AD189&lt;Inputs!$B$19,P189&lt;Inputs!$B$7,P189&gt;Inputs!$B$8),"CHECK","OK"))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SUMIFS(CB_plan!$C:$C,CB_plan!$B:$B,$A190)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IF(A190="","",2.78E-7*IF(I190="",Inputs!$B$17,I190)*H190*K190)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IF(A190="","",IF(OR(V190&gt;1,W190&lt;Inputs!$B$11,W190&gt;Inputs!$B$12,AC190&lt;Inputs!$B$19,AD190&lt;Inputs!$B$19,P190&lt;Inputs!$B$7,P190&gt;Inputs!$B$8),"CHECK","OK"))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SUMIFS(CB_plan!$C:$C,CB_plan!$B:$B,$A191)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IF(A191="","",2.78E-7*IF(I191="",Inputs!$B$17,I191)*H191*K191)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IF(A191="","",IF(OR(V191&gt;1,W191&lt;Inputs!$B$11,W191&gt;Inputs!$B$12,AC191&lt;Inputs!$B$19,AD191&lt;Inputs!$B$19,P191&lt;Inputs!$B$7,P191&gt;Inputs!$B$8),"CHECK","OK"))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SUMIFS(CB_plan!$C:$C,CB_plan!$B:$B,$A192)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IF(A192="","",2.78E-7*IF(I192="",Inputs!$B$17,I192)*H192*K192)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IF(A192="","",IF(OR(V192&gt;1,W192&lt;Inputs!$B$11,W192&gt;Inputs!$B$12,AC192&lt;Inputs!$B$19,AD192&lt;Inputs!$B$19,P192&lt;Inputs!$B$7,P192&gt;Inputs!$B$8),"CHECK","OK"))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SUMIFS(CB_plan!$C:$C,CB_plan!$B:$B,$A193)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IF(A193="","",2.78E-7*IF(I193="",Inputs!$B$17,I193)*H193*K193)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IF(A193="","",IF(OR(V193&gt;1,W193&lt;Inputs!$B$11,W193&gt;Inputs!$B$12,AC193&lt;Inputs!$B$19,AD193&lt;Inputs!$B$19,P193&lt;Inputs!$B$7,P193&gt;Inputs!$B$8),"CHECK","OK"))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SUMIFS(CB_plan!$C:$C,CB_plan!$B:$B,$A194)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IF(A194="","",2.78E-7*IF(I194="",Inputs!$B$17,I194)*H194*K194)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IF(A194="","",IF(OR(V194&gt;1,W194&lt;Inputs!$B$11,W194&gt;Inputs!$B$12,AC194&lt;Inputs!$B$19,AD194&lt;Inputs!$B$19,P194&lt;Inputs!$B$7,P194&gt;Inputs!$B$8),"CHECK","OK"))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SUMIFS(CB_plan!$C:$C,CB_plan!$B:$B,$A195)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IF(A195="","",2.78E-7*IF(I195="",Inputs!$B$17,I195)*H195*K195)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IF(A195="","",IF(OR(V195&gt;1,W195&lt;Inputs!$B$11,W195&gt;Inputs!$B$12,AC195&lt;Inputs!$B$19,AD195&lt;Inputs!$B$19,P195&lt;Inputs!$B$7,P195&gt;Inputs!$B$8),"CHECK","OK"))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SUMIFS(CB_plan!$C:$C,CB_plan!$B:$B,$A196)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IF(A196="","",2.78E-7*IF(I196="",Inputs!$B$17,I196)*H196*K196)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IF(A196="","",IF(OR(V196&gt;1,W196&lt;Inputs!$B$11,W196&gt;Inputs!$B$12,AC196&lt;Inputs!$B$19,AD196&lt;Inputs!$B$19,P196&lt;Inputs!$B$7,P196&gt;Inputs!$B$8),"CHECK","OK"))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SUMIFS(CB_plan!$C:$C,CB_plan!$B:$B,$A197)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IF(A197="","",2.78E-7*IF(I197="",Inputs!$B$17,I197)*H197*K197)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IF(A197="","",IF(OR(V197&gt;1,W197&lt;Inputs!$B$11,W197&gt;Inputs!$B$12,AC197&lt;Inputs!$B$19,AD197&lt;Inputs!$B$19,P197&lt;Inputs!$B$7,P197&gt;Inputs!$B$8),"CHECK","OK"))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SUMIFS(CB_plan!$C:$C,CB_plan!$B:$B,$A198)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IF(A198="","",2.78E-7*IF(I198="",Inputs!$B$17,I198)*H198*K198)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IF(A198="","",IF(OR(V198&gt;1,W198&lt;Inputs!$B$11,W198&gt;Inputs!$B$12,AC198&lt;Inputs!$B$19,AD198&lt;Inputs!$B$19,P198&lt;Inputs!$B$7,P198&gt;Inputs!$B$8),"CHECK","OK"))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SUMIFS(CB_plan!$C:$C,CB_plan!$B:$B,$A199)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IF(A199="","",2.78E-7*IF(I199="",Inputs!$B$17,I199)*H199*K199)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IF(A199="","",IF(OR(V199&gt;1,W199&lt;Inputs!$B$11,W199&gt;Inputs!$B$12,AC199&lt;Inputs!$B$19,AD199&lt;Inputs!$B$19,P199&lt;Inputs!$B$7,P199&gt;Inputs!$B$8),"CHECK","OK"))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SUMIFS(CB_plan!$C:$C,CB_plan!$B:$B,$A200)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IF(A200="","",2.78E-7*IF(I200="",Inputs!$B$17,I200)*H200*K200)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IF(A200="","",IF(OR(V200&gt;1,W200&lt;Inputs!$B$11,W200&gt;Inputs!$B$12,AC200&lt;Inputs!$B$19,AD200&lt;Inputs!$B$19,P200&lt;Inputs!$B$7,P200&gt;Inputs!$B$8),"CHECK","OK"))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SUMIFS(CB_plan!$C:$C,CB_plan!$B:$B,$A201)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IF(A201="","",2.78E-7*IF(I201="",Inputs!$B$17,I201)*H201*K201)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IF(A201="","",IF(OR(V201&gt;1,W201&lt;Inputs!$B$11,W201&gt;Inputs!$B$12,AC201&lt;Inputs!$B$19,AD201&lt;Inputs!$B$19,P201&lt;Inputs!$B$7,P201&gt;Inputs!$B$8),"CHECK","OK"))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SUMIFS(CB_plan!$C:$C,CB_plan!$B:$B,$A202)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IF(A202="","",2.78E-7*IF(I202="",Inputs!$B$17,I202)*H202*K202)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IF(A202="","",IF(OR(V202&gt;1,W202&lt;Inputs!$B$11,W202&gt;Inputs!$B$12,AC202&lt;Inputs!$B$19,AD202&lt;Inputs!$B$19,P202&lt;Inputs!$B$7,P202&gt;Inputs!$B$8),"CHECK","OK"))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SUMIFS(CB_plan!$C:$C,CB_plan!$B:$B,$A203)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IF(A203="","",2.78E-7*IF(I203="",Inputs!$B$17,I203)*H203*K203)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IF(A203="","",IF(OR(V203&gt;1,W203&lt;Inputs!$B$11,W203&gt;Inputs!$B$12,AC203&lt;Inputs!$B$19,AD203&lt;Inputs!$B$19,P203&lt;Inputs!$B$7,P203&gt;Inputs!$B$8),"CHECK","OK"))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</row>
  </sheetData>
  <mergeCells count="1">
    <mergeCell ref="A1:AV1"/>
  </mergeCells>
  <conditionalFormatting sqref="AE4:AE203">
    <cfRule type="expression" priority="1" dxfId="0" stopIfTrue="0">
      <formula>$AE4="CHECK"</formula>
    </cfRule>
  </conditionalFormatting>
  <conditionalFormatting sqref="V4:V203">
    <cfRule type="cellIs" priority="2" operator="greaterThan" dxfId="0">
      <formula>1</formula>
    </cfRule>
  </conditionalFormatting>
  <conditionalFormatting sqref="W4:W203">
    <cfRule type="expression" priority="3" dxfId="0">
      <formula>$W4&lt;Inputs!$B$11</formula>
    </cfRule>
    <cfRule type="expression" priority="4" dxfId="0">
      <formula>$W4&gt;Inputs!$B$12</formula>
    </cfRule>
  </conditionalFormatting>
  <conditionalFormatting sqref="AC4:AC203">
    <cfRule type="expression" priority="5" dxfId="0">
      <formula>$AC4&lt;Inputs!$B$19</formula>
    </cfRule>
  </conditionalFormatting>
  <conditionalFormatting sqref="AD4:AD203">
    <cfRule type="expression" priority="6" dxfId="0">
      <formula>$AD4&lt;Inputs!$B$19</formula>
    </cfRule>
  </conditionalFormatting>
  <conditionalFormatting sqref="P4:P203">
    <cfRule type="expression" priority="7" dxfId="0">
      <formula>$P4&lt;Inputs!$B$7</formula>
    </cfRule>
    <cfRule type="expression" priority="8" dxfId="0">
      <formula>$P4&gt;Inputs!$B$8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  <col width="10" customWidth="1" min="10" max="10"/>
    <col width="3" customWidth="1" min="11" max="11"/>
    <col width="3" customWidth="1" min="12" max="12"/>
  </cols>
  <sheetData>
    <row r="1">
      <c r="A1" s="1" t="inlineStr">
        <is>
          <t>PROFILS HYDRAULIQUES VERS RP100 ET RACCORDEMENT RESEAU PUBLIC</t>
        </is>
      </c>
    </row>
    <row r="3">
      <c r="A3" s="15" t="inlineStr">
        <is>
          <t>EGL approximation in this tab: EGL = Invert + 0.8*Dia + V^2/(2*g), g=9.81 m/s2.</t>
        </is>
      </c>
    </row>
    <row r="4">
      <c r="A4" s="15" t="inlineStr">
        <is>
          <t>Use Conduites_plan_noeuds as master calculations; these plots are auto-linked for visual review.</t>
        </is>
      </c>
    </row>
    <row r="7">
      <c r="A7" s="6" t="inlineStr">
        <is>
          <t>Branche 1: P01 -&gt; P02 -&gt; P03 -&gt; RP100 -&gt; PUB</t>
        </is>
      </c>
    </row>
    <row r="8">
      <c r="A8" s="3" t="inlineStr">
        <is>
          <t>Point</t>
        </is>
      </c>
      <c r="B8" s="3" t="inlineStr">
        <is>
          <t>Node</t>
        </is>
      </c>
      <c r="C8" s="3" t="inlineStr">
        <is>
          <t>Sta_m</t>
        </is>
      </c>
      <c r="D8" s="3" t="inlineStr">
        <is>
          <t>Ground_m</t>
        </is>
      </c>
      <c r="E8" s="3" t="inlineStr">
        <is>
          <t>Invert_m</t>
        </is>
      </c>
      <c r="F8" s="3" t="inlineStr">
        <is>
          <t>Crown_m</t>
        </is>
      </c>
      <c r="G8" s="3" t="inlineStr">
        <is>
          <t>EGL_m</t>
        </is>
      </c>
      <c r="H8" s="3" t="inlineStr">
        <is>
          <t>Pipe_ref</t>
        </is>
      </c>
      <c r="I8" s="3" t="inlineStr">
        <is>
          <t>Vel_mps</t>
        </is>
      </c>
      <c r="J8" s="3" t="inlineStr">
        <is>
          <t>Dia_m</t>
        </is>
      </c>
    </row>
    <row r="9">
      <c r="A9" s="4" t="n">
        <v>1</v>
      </c>
      <c r="B9" s="4" t="inlineStr">
        <is>
          <t>P01</t>
        </is>
      </c>
      <c r="C9" s="8" t="n">
        <v>0</v>
      </c>
      <c r="D9" s="7">
        <f>IFERROR(INDEX(Conduites_plan_noeuds!$AB$4:$AB$203,MATCH("L01_P01_P02",Conduites_plan_noeuds!$A$4:$A$203,0)),"")</f>
        <v/>
      </c>
      <c r="E9" s="7">
        <f>IFERROR(INDEX(Conduites_plan_noeuds!$Z$4:$Z$203,MATCH("L01_P01_P02",Conduites_plan_noeuds!$A$4:$A$203,0)),"")</f>
        <v/>
      </c>
      <c r="F9" s="7">
        <f>IF(OR(E9="",J9=""),"",E9+J9)</f>
        <v/>
      </c>
      <c r="G9" s="7">
        <f>IF(OR(E9="",J9="",I9=""),"",E9+0.8*J9+I9^2/(2*9.81))</f>
        <v/>
      </c>
      <c r="H9" s="4" t="inlineStr">
        <is>
          <t>L01_P01_P02</t>
        </is>
      </c>
      <c r="I9" s="8">
        <f>IFERROR(INDEX(Conduites_plan_noeuds!$W$4:$W$203,MATCH("L01_P01_P02",Conduites_plan_noeuds!$A$4:$A$203,0)),"")</f>
        <v/>
      </c>
      <c r="J9" s="8">
        <f>IFERROR(INDEX(Conduites_plan_noeuds!$T$4:$T$203,MATCH("L01_P01_P02",Conduites_plan_noeuds!$A$4:$A$203,0)),"")</f>
        <v/>
      </c>
    </row>
    <row r="10">
      <c r="A10" s="4" t="n">
        <v>2</v>
      </c>
      <c r="B10" s="4" t="inlineStr">
        <is>
          <t>P02</t>
        </is>
      </c>
      <c r="C10" s="8">
        <f>IFERROR(INDEX(Conduites_plan_noeuds!$E$4:$E$203,MATCH("L01_P01_P02",Conduites_plan_noeuds!$A$4:$A$203,0)),0)</f>
        <v/>
      </c>
      <c r="D10" s="7">
        <f>IFERROR(INDEX(Conduites_plan_noeuds!$AA$4:$AA$203,MATCH("L01_P01_P02",Conduites_plan_noeuds!$A$4:$A$203,0)),"")</f>
        <v/>
      </c>
      <c r="E10" s="7">
        <f>IFERROR(INDEX(Conduites_plan_noeuds!$Y$4:$Y$203,MATCH("L01_P01_P02",Conduites_plan_noeuds!$A$4:$A$203,0)),"")</f>
        <v/>
      </c>
      <c r="F10" s="7">
        <f>IF(OR(E10="",J10=""),"",E10+J10)</f>
        <v/>
      </c>
      <c r="G10" s="7">
        <f>IF(OR(E10="",J10="",I10=""),"",E10+0.8*J10+I10^2/(2*9.81))</f>
        <v/>
      </c>
      <c r="H10" s="4" t="inlineStr">
        <is>
          <t>L01_P01_P02</t>
        </is>
      </c>
      <c r="I10" s="8">
        <f>IFERROR(INDEX(Conduites_plan_noeuds!$W$4:$W$203,MATCH("L01_P01_P02",Conduites_plan_noeuds!$A$4:$A$203,0)),"")</f>
        <v/>
      </c>
      <c r="J10" s="8">
        <f>IFERROR(INDEX(Conduites_plan_noeuds!$T$4:$T$203,MATCH("L01_P01_P02",Conduites_plan_noeuds!$A$4:$A$203,0)),"")</f>
        <v/>
      </c>
    </row>
    <row r="11">
      <c r="A11" s="4" t="n">
        <v>3</v>
      </c>
      <c r="B11" s="4" t="inlineStr">
        <is>
          <t>P03</t>
        </is>
      </c>
      <c r="C11" s="8">
        <f>IFERROR(INDEX(Conduites_plan_noeuds!$E$4:$E$203,MATCH("L01_P01_P02",Conduites_plan_noeuds!$A$4:$A$203,0)),0) + IFERROR(INDEX(Conduites_plan_noeuds!$E$4:$E$203,MATCH("L02_P02_P03",Conduites_plan_noeuds!$A$4:$A$203,0)),0)</f>
        <v/>
      </c>
      <c r="D11" s="7">
        <f>IFERROR(INDEX(Conduites_plan_noeuds!$AA$4:$AA$203,MATCH("L02_P02_P03",Conduites_plan_noeuds!$A$4:$A$203,0)),"")</f>
        <v/>
      </c>
      <c r="E11" s="7">
        <f>IFERROR(INDEX(Conduites_plan_noeuds!$Y$4:$Y$203,MATCH("L02_P02_P03",Conduites_plan_noeuds!$A$4:$A$203,0)),"")</f>
        <v/>
      </c>
      <c r="F11" s="7">
        <f>IF(OR(E11="",J11=""),"",E11+J11)</f>
        <v/>
      </c>
      <c r="G11" s="7">
        <f>IF(OR(E11="",J11="",I11=""),"",E11+0.8*J11+I11^2/(2*9.81))</f>
        <v/>
      </c>
      <c r="H11" s="4" t="inlineStr">
        <is>
          <t>L02_P02_P03</t>
        </is>
      </c>
      <c r="I11" s="8">
        <f>IFERROR(INDEX(Conduites_plan_noeuds!$W$4:$W$203,MATCH("L02_P02_P03",Conduites_plan_noeuds!$A$4:$A$203,0)),"")</f>
        <v/>
      </c>
      <c r="J11" s="8">
        <f>IFERROR(INDEX(Conduites_plan_noeuds!$T$4:$T$203,MATCH("L02_P02_P03",Conduites_plan_noeuds!$A$4:$A$203,0)),"")</f>
        <v/>
      </c>
    </row>
    <row r="12">
      <c r="A12" s="4" t="n">
        <v>4</v>
      </c>
      <c r="B12" s="4" t="inlineStr">
        <is>
          <t>RP100</t>
        </is>
      </c>
      <c r="C12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/>
      </c>
      <c r="D12" s="7">
        <f>IFERROR(INDEX(Conduites_plan_noeuds!$AA$4:$AA$203,MATCH("L03_P03_RP100",Conduites_plan_noeuds!$A$4:$A$203,0)),"")</f>
        <v/>
      </c>
      <c r="E12" s="7">
        <f>IFERROR(INDEX(Conduites_plan_noeuds!$Y$4:$Y$203,MATCH("L03_P03_RP100",Conduites_plan_noeuds!$A$4:$A$203,0)),"")</f>
        <v/>
      </c>
      <c r="F12" s="7">
        <f>IF(OR(E12="",J12=""),"",E12+J12)</f>
        <v/>
      </c>
      <c r="G12" s="7">
        <f>IF(OR(E12="",J12="",I12=""),"",E12+0.8*J12+I12^2/(2*9.81))</f>
        <v/>
      </c>
      <c r="H12" s="4" t="inlineStr">
        <is>
          <t>L03_P03_RP100</t>
        </is>
      </c>
      <c r="I12" s="8">
        <f>IFERROR(INDEX(Conduites_plan_noeuds!$W$4:$W$203,MATCH("L03_P03_RP100",Conduites_plan_noeuds!$A$4:$A$203,0)),"")</f>
        <v/>
      </c>
      <c r="J12" s="8">
        <f>IFERROR(INDEX(Conduites_plan_noeuds!$T$4:$T$203,MATCH("L03_P03_RP100",Conduites_plan_noeuds!$A$4:$A$203,0)),"")</f>
        <v/>
      </c>
    </row>
    <row r="13">
      <c r="A13" s="4" t="n">
        <v>5</v>
      </c>
      <c r="B13" s="4" t="inlineStr">
        <is>
          <t>PUB</t>
        </is>
      </c>
      <c r="C13" s="8">
        <f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/>
      </c>
      <c r="D13" s="7">
        <f>IFERROR(INDEX(Conduites_plan_noeuds!$AA$4:$AA$203,MATCH("L11_RP100_PUB",Conduites_plan_noeuds!$A$4:$A$203,0)),"")</f>
        <v/>
      </c>
      <c r="E13" s="7">
        <f>IFERROR(INDEX(Conduites_plan_noeuds!$Y$4:$Y$203,MATCH("L11_RP100_PUB",Conduites_plan_noeuds!$A$4:$A$203,0)),"")</f>
        <v/>
      </c>
      <c r="F13" s="7">
        <f>IF(OR(E13="",J13=""),"",E13+J13)</f>
        <v/>
      </c>
      <c r="G13" s="7">
        <f>IF(OR(E13="",J13="",I13=""),"",E13+0.8*J13+I13^2/(2*9.81))</f>
        <v/>
      </c>
      <c r="H13" s="4" t="inlineStr">
        <is>
          <t>L11_RP100_PUB</t>
        </is>
      </c>
      <c r="I13" s="8">
        <f>IFERROR(INDEX(Conduites_plan_noeuds!$W$4:$W$203,MATCH("L11_RP100_PUB",Conduites_plan_noeuds!$A$4:$A$203,0)),"")</f>
        <v/>
      </c>
      <c r="J13" s="8">
        <f>IFERROR(INDEX(Conduites_plan_noeuds!$T$4:$T$203,MATCH("L11_RP100_PUB",Conduites_plan_noeuds!$A$4:$A$203,0)),"")</f>
        <v/>
      </c>
    </row>
    <row r="30">
      <c r="A30" s="6" t="inlineStr">
        <is>
          <t>Branche 2: P04 -&gt; P05 -&gt; P06 -&gt; RP100 -&gt; PUB</t>
        </is>
      </c>
    </row>
    <row r="31">
      <c r="A31" s="3" t="inlineStr">
        <is>
          <t>Point</t>
        </is>
      </c>
      <c r="B31" s="3" t="inlineStr">
        <is>
          <t>Node</t>
        </is>
      </c>
      <c r="C31" s="3" t="inlineStr">
        <is>
          <t>Sta_m</t>
        </is>
      </c>
      <c r="D31" s="3" t="inlineStr">
        <is>
          <t>Ground_m</t>
        </is>
      </c>
      <c r="E31" s="3" t="inlineStr">
        <is>
          <t>Invert_m</t>
        </is>
      </c>
      <c r="F31" s="3" t="inlineStr">
        <is>
          <t>Crown_m</t>
        </is>
      </c>
      <c r="G31" s="3" t="inlineStr">
        <is>
          <t>EGL_m</t>
        </is>
      </c>
      <c r="H31" s="3" t="inlineStr">
        <is>
          <t>Pipe_ref</t>
        </is>
      </c>
      <c r="I31" s="3" t="inlineStr">
        <is>
          <t>Vel_mps</t>
        </is>
      </c>
      <c r="J31" s="3" t="inlineStr">
        <is>
          <t>Dia_m</t>
        </is>
      </c>
    </row>
    <row r="32">
      <c r="A32" s="4" t="n">
        <v>1</v>
      </c>
      <c r="B32" s="4" t="inlineStr">
        <is>
          <t>P04</t>
        </is>
      </c>
      <c r="C32" s="8" t="n">
        <v>0</v>
      </c>
      <c r="D32" s="7">
        <f>IFERROR(INDEX(Conduites_plan_noeuds!$AB$4:$AB$203,MATCH("L04_P04_P05",Conduites_plan_noeuds!$A$4:$A$203,0)),"")</f>
        <v/>
      </c>
      <c r="E32" s="7">
        <f>IFERROR(INDEX(Conduites_plan_noeuds!$Z$4:$Z$203,MATCH("L04_P04_P05",Conduites_plan_noeuds!$A$4:$A$203,0)),"")</f>
        <v/>
      </c>
      <c r="F32" s="7">
        <f>IF(OR(E32="",J32=""),"",E32+J32)</f>
        <v/>
      </c>
      <c r="G32" s="7">
        <f>IF(OR(E32="",J32="",I32=""),"",E32+0.8*J32+I32^2/(2*9.81))</f>
        <v/>
      </c>
      <c r="H32" s="4" t="inlineStr">
        <is>
          <t>L04_P04_P05</t>
        </is>
      </c>
      <c r="I32" s="8">
        <f>IFERROR(INDEX(Conduites_plan_noeuds!$W$4:$W$203,MATCH("L04_P04_P05",Conduites_plan_noeuds!$A$4:$A$203,0)),"")</f>
        <v/>
      </c>
      <c r="J32" s="8">
        <f>IFERROR(INDEX(Conduites_plan_noeuds!$T$4:$T$203,MATCH("L04_P04_P05",Conduites_plan_noeuds!$A$4:$A$203,0)),"")</f>
        <v/>
      </c>
    </row>
    <row r="33">
      <c r="A33" s="4" t="n">
        <v>2</v>
      </c>
      <c r="B33" s="4" t="inlineStr">
        <is>
          <t>P05</t>
        </is>
      </c>
      <c r="C33" s="8">
        <f>IFERROR(INDEX(Conduites_plan_noeuds!$E$4:$E$203,MATCH("L04_P04_P05",Conduites_plan_noeuds!$A$4:$A$203,0)),0)</f>
        <v/>
      </c>
      <c r="D33" s="7">
        <f>IFERROR(INDEX(Conduites_plan_noeuds!$AA$4:$AA$203,MATCH("L04_P04_P05",Conduites_plan_noeuds!$A$4:$A$203,0)),"")</f>
        <v/>
      </c>
      <c r="E33" s="7">
        <f>IFERROR(INDEX(Conduites_plan_noeuds!$Y$4:$Y$203,MATCH("L04_P04_P05",Conduites_plan_noeuds!$A$4:$A$203,0)),"")</f>
        <v/>
      </c>
      <c r="F33" s="7">
        <f>IF(OR(E33="",J33=""),"",E33+J33)</f>
        <v/>
      </c>
      <c r="G33" s="7">
        <f>IF(OR(E33="",J33="",I33=""),"",E33+0.8*J33+I33^2/(2*9.81))</f>
        <v/>
      </c>
      <c r="H33" s="4" t="inlineStr">
        <is>
          <t>L04_P04_P05</t>
        </is>
      </c>
      <c r="I33" s="8">
        <f>IFERROR(INDEX(Conduites_plan_noeuds!$W$4:$W$203,MATCH("L04_P04_P05",Conduites_plan_noeuds!$A$4:$A$203,0)),"")</f>
        <v/>
      </c>
      <c r="J33" s="8">
        <f>IFERROR(INDEX(Conduites_plan_noeuds!$T$4:$T$203,MATCH("L04_P04_P05",Conduites_plan_noeuds!$A$4:$A$203,0)),"")</f>
        <v/>
      </c>
    </row>
    <row r="34">
      <c r="A34" s="4" t="n">
        <v>3</v>
      </c>
      <c r="B34" s="4" t="inlineStr">
        <is>
          <t>P06</t>
        </is>
      </c>
      <c r="C34" s="8">
        <f>IFERROR(INDEX(Conduites_plan_noeuds!$E$4:$E$203,MATCH("L04_P04_P05",Conduites_plan_noeuds!$A$4:$A$203,0)),0) + IFERROR(INDEX(Conduites_plan_noeuds!$E$4:$E$203,MATCH("L05_P05_P06",Conduites_plan_noeuds!$A$4:$A$203,0)),0)</f>
        <v/>
      </c>
      <c r="D34" s="7">
        <f>IFERROR(INDEX(Conduites_plan_noeuds!$AA$4:$AA$203,MATCH("L05_P05_P06",Conduites_plan_noeuds!$A$4:$A$203,0)),"")</f>
        <v/>
      </c>
      <c r="E34" s="7">
        <f>IFERROR(INDEX(Conduites_plan_noeuds!$Y$4:$Y$203,MATCH("L05_P05_P06",Conduites_plan_noeuds!$A$4:$A$203,0)),"")</f>
        <v/>
      </c>
      <c r="F34" s="7">
        <f>IF(OR(E34="",J34=""),"",E34+J34)</f>
        <v/>
      </c>
      <c r="G34" s="7">
        <f>IF(OR(E34="",J34="",I34=""),"",E34+0.8*J34+I34^2/(2*9.81))</f>
        <v/>
      </c>
      <c r="H34" s="4" t="inlineStr">
        <is>
          <t>L05_P05_P06</t>
        </is>
      </c>
      <c r="I34" s="8">
        <f>IFERROR(INDEX(Conduites_plan_noeuds!$W$4:$W$203,MATCH("L05_P05_P06",Conduites_plan_noeuds!$A$4:$A$203,0)),"")</f>
        <v/>
      </c>
      <c r="J34" s="8">
        <f>IFERROR(INDEX(Conduites_plan_noeuds!$T$4:$T$203,MATCH("L05_P05_P06",Conduites_plan_noeuds!$A$4:$A$203,0)),"")</f>
        <v/>
      </c>
    </row>
    <row r="35">
      <c r="A35" s="4" t="n">
        <v>4</v>
      </c>
      <c r="B35" s="4" t="inlineStr">
        <is>
          <t>RP100</t>
        </is>
      </c>
      <c r="C35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/>
      </c>
      <c r="D35" s="7">
        <f>IFERROR(INDEX(Conduites_plan_noeuds!$AA$4:$AA$203,MATCH("L06_P06_RP100",Conduites_plan_noeuds!$A$4:$A$203,0)),"")</f>
        <v/>
      </c>
      <c r="E35" s="7">
        <f>IFERROR(INDEX(Conduites_plan_noeuds!$Y$4:$Y$203,MATCH("L06_P06_RP100",Conduites_plan_noeuds!$A$4:$A$203,0)),"")</f>
        <v/>
      </c>
      <c r="F35" s="7">
        <f>IF(OR(E35="",J35=""),"",E35+J35)</f>
        <v/>
      </c>
      <c r="G35" s="7">
        <f>IF(OR(E35="",J35="",I35=""),"",E35+0.8*J35+I35^2/(2*9.81))</f>
        <v/>
      </c>
      <c r="H35" s="4" t="inlineStr">
        <is>
          <t>L06_P06_RP100</t>
        </is>
      </c>
      <c r="I35" s="8">
        <f>IFERROR(INDEX(Conduites_plan_noeuds!$W$4:$W$203,MATCH("L06_P06_RP100",Conduites_plan_noeuds!$A$4:$A$203,0)),"")</f>
        <v/>
      </c>
      <c r="J35" s="8">
        <f>IFERROR(INDEX(Conduites_plan_noeuds!$T$4:$T$203,MATCH("L06_P06_RP100",Conduites_plan_noeuds!$A$4:$A$203,0)),"")</f>
        <v/>
      </c>
    </row>
    <row r="36">
      <c r="A36" s="4" t="n">
        <v>5</v>
      </c>
      <c r="B36" s="4" t="inlineStr">
        <is>
          <t>PUB</t>
        </is>
      </c>
      <c r="C36" s="8">
        <f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36" s="7">
        <f>IFERROR(INDEX(Conduites_plan_noeuds!$AA$4:$AA$203,MATCH("L11_RP100_PUB",Conduites_plan_noeuds!$A$4:$A$203,0)),"")</f>
        <v/>
      </c>
      <c r="E36" s="7">
        <f>IFERROR(INDEX(Conduites_plan_noeuds!$Y$4:$Y$203,MATCH("L11_RP100_PUB",Conduites_plan_noeuds!$A$4:$A$203,0)),"")</f>
        <v/>
      </c>
      <c r="F36" s="7">
        <f>IF(OR(E36="",J36=""),"",E36+J36)</f>
        <v/>
      </c>
      <c r="G36" s="7">
        <f>IF(OR(E36="",J36="",I36=""),"",E36+0.8*J36+I36^2/(2*9.81))</f>
        <v/>
      </c>
      <c r="H36" s="4" t="inlineStr">
        <is>
          <t>L11_RP100_PUB</t>
        </is>
      </c>
      <c r="I36" s="8">
        <f>IFERROR(INDEX(Conduites_plan_noeuds!$W$4:$W$203,MATCH("L11_RP100_PUB",Conduites_plan_noeuds!$A$4:$A$203,0)),"")</f>
        <v/>
      </c>
      <c r="J36" s="8">
        <f>IFERROR(INDEX(Conduites_plan_noeuds!$T$4:$T$203,MATCH("L11_RP100_PUB",Conduites_plan_noeuds!$A$4:$A$203,0)),"")</f>
        <v/>
      </c>
    </row>
    <row r="53">
      <c r="A53" s="6" t="inlineStr">
        <is>
          <t>Branche 3: P010 -&gt; P07 -&gt; P08 -&gt; P09 -&gt; P06 -&gt; RP100 -&gt; PUB</t>
        </is>
      </c>
    </row>
    <row r="54">
      <c r="A54" s="3" t="inlineStr">
        <is>
          <t>Point</t>
        </is>
      </c>
      <c r="B54" s="3" t="inlineStr">
        <is>
          <t>Node</t>
        </is>
      </c>
      <c r="C54" s="3" t="inlineStr">
        <is>
          <t>Sta_m</t>
        </is>
      </c>
      <c r="D54" s="3" t="inlineStr">
        <is>
          <t>Ground_m</t>
        </is>
      </c>
      <c r="E54" s="3" t="inlineStr">
        <is>
          <t>Invert_m</t>
        </is>
      </c>
      <c r="F54" s="3" t="inlineStr">
        <is>
          <t>Crown_m</t>
        </is>
      </c>
      <c r="G54" s="3" t="inlineStr">
        <is>
          <t>EGL_m</t>
        </is>
      </c>
      <c r="H54" s="3" t="inlineStr">
        <is>
          <t>Pipe_ref</t>
        </is>
      </c>
      <c r="I54" s="3" t="inlineStr">
        <is>
          <t>Vel_mps</t>
        </is>
      </c>
      <c r="J54" s="3" t="inlineStr">
        <is>
          <t>Dia_m</t>
        </is>
      </c>
    </row>
    <row r="55">
      <c r="A55" s="4" t="n">
        <v>1</v>
      </c>
      <c r="B55" s="4" t="inlineStr">
        <is>
          <t>P010</t>
        </is>
      </c>
      <c r="C55" s="8" t="n">
        <v>0</v>
      </c>
      <c r="D55" s="7">
        <f>IFERROR(INDEX(Conduites_plan_noeuds!$AB$4:$AB$203,MATCH("L10_P010_P07",Conduites_plan_noeuds!$A$4:$A$203,0)),"")</f>
        <v/>
      </c>
      <c r="E55" s="7">
        <f>IFERROR(INDEX(Conduites_plan_noeuds!$Z$4:$Z$203,MATCH("L10_P010_P07",Conduites_plan_noeuds!$A$4:$A$203,0)),"")</f>
        <v/>
      </c>
      <c r="F55" s="7">
        <f>IF(OR(E55="",J55=""),"",E55+J55)</f>
        <v/>
      </c>
      <c r="G55" s="7">
        <f>IF(OR(E55="",J55="",I55=""),"",E55+0.8*J55+I55^2/(2*9.81))</f>
        <v/>
      </c>
      <c r="H55" s="4" t="inlineStr">
        <is>
          <t>L10_P010_P07</t>
        </is>
      </c>
      <c r="I55" s="8">
        <f>IFERROR(INDEX(Conduites_plan_noeuds!$W$4:$W$203,MATCH("L10_P010_P07",Conduites_plan_noeuds!$A$4:$A$203,0)),"")</f>
        <v/>
      </c>
      <c r="J55" s="8">
        <f>IFERROR(INDEX(Conduites_plan_noeuds!$T$4:$T$203,MATCH("L10_P010_P07",Conduites_plan_noeuds!$A$4:$A$203,0)),"")</f>
        <v/>
      </c>
    </row>
    <row r="56">
      <c r="A56" s="4" t="n">
        <v>2</v>
      </c>
      <c r="B56" s="4" t="inlineStr">
        <is>
          <t>P07</t>
        </is>
      </c>
      <c r="C56" s="8">
        <f>IFERROR(INDEX(Conduites_plan_noeuds!$E$4:$E$203,MATCH("L10_P010_P07",Conduites_plan_noeuds!$A$4:$A$203,0)),0)</f>
        <v/>
      </c>
      <c r="D56" s="7">
        <f>IFERROR(INDEX(Conduites_plan_noeuds!$AA$4:$AA$203,MATCH("L10_P010_P07",Conduites_plan_noeuds!$A$4:$A$203,0)),"")</f>
        <v/>
      </c>
      <c r="E56" s="7">
        <f>IFERROR(INDEX(Conduites_plan_noeuds!$Y$4:$Y$203,MATCH("L10_P010_P07",Conduites_plan_noeuds!$A$4:$A$203,0)),"")</f>
        <v/>
      </c>
      <c r="F56" s="7">
        <f>IF(OR(E56="",J56=""),"",E56+J56)</f>
        <v/>
      </c>
      <c r="G56" s="7">
        <f>IF(OR(E56="",J56="",I56=""),"",E56+0.8*J56+I56^2/(2*9.81))</f>
        <v/>
      </c>
      <c r="H56" s="4" t="inlineStr">
        <is>
          <t>L10_P010_P07</t>
        </is>
      </c>
      <c r="I56" s="8">
        <f>IFERROR(INDEX(Conduites_plan_noeuds!$W$4:$W$203,MATCH("L10_P010_P07",Conduites_plan_noeuds!$A$4:$A$203,0)),"")</f>
        <v/>
      </c>
      <c r="J56" s="8">
        <f>IFERROR(INDEX(Conduites_plan_noeuds!$T$4:$T$203,MATCH("L10_P010_P07",Conduites_plan_noeuds!$A$4:$A$203,0)),"")</f>
        <v/>
      </c>
    </row>
    <row r="57">
      <c r="A57" s="4" t="n">
        <v>3</v>
      </c>
      <c r="B57" s="4" t="inlineStr">
        <is>
          <t>P08</t>
        </is>
      </c>
      <c r="C57" s="8">
        <f>IFERROR(INDEX(Conduites_plan_noeuds!$E$4:$E$203,MATCH("L10_P010_P07",Conduites_plan_noeuds!$A$4:$A$203,0)),0) + IFERROR(INDEX(Conduites_plan_noeuds!$E$4:$E$203,MATCH("L07_P07_P08",Conduites_plan_noeuds!$A$4:$A$203,0)),0)</f>
        <v/>
      </c>
      <c r="D57" s="7">
        <f>IFERROR(INDEX(Conduites_plan_noeuds!$AA$4:$AA$203,MATCH("L07_P07_P08",Conduites_plan_noeuds!$A$4:$A$203,0)),"")</f>
        <v/>
      </c>
      <c r="E57" s="7">
        <f>IFERROR(INDEX(Conduites_plan_noeuds!$Y$4:$Y$203,MATCH("L07_P07_P08",Conduites_plan_noeuds!$A$4:$A$203,0)),"")</f>
        <v/>
      </c>
      <c r="F57" s="7">
        <f>IF(OR(E57="",J57=""),"",E57+J57)</f>
        <v/>
      </c>
      <c r="G57" s="7">
        <f>IF(OR(E57="",J57="",I57=""),"",E57+0.8*J57+I57^2/(2*9.81))</f>
        <v/>
      </c>
      <c r="H57" s="4" t="inlineStr">
        <is>
          <t>L07_P07_P08</t>
        </is>
      </c>
      <c r="I57" s="8">
        <f>IFERROR(INDEX(Conduites_plan_noeuds!$W$4:$W$203,MATCH("L07_P07_P08",Conduites_plan_noeuds!$A$4:$A$203,0)),"")</f>
        <v/>
      </c>
      <c r="J57" s="8">
        <f>IFERROR(INDEX(Conduites_plan_noeuds!$T$4:$T$203,MATCH("L07_P07_P08",Conduites_plan_noeuds!$A$4:$A$203,0)),"")</f>
        <v/>
      </c>
    </row>
    <row r="58">
      <c r="A58" s="4" t="n">
        <v>4</v>
      </c>
      <c r="B58" s="4" t="inlineStr">
        <is>
          <t>P09</t>
        </is>
      </c>
      <c r="C58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/>
      </c>
      <c r="D58" s="7">
        <f>IFERROR(INDEX(Conduites_plan_noeuds!$AA$4:$AA$203,MATCH("L08_P08_P09",Conduites_plan_noeuds!$A$4:$A$203,0)),"")</f>
        <v/>
      </c>
      <c r="E58" s="7">
        <f>IFERROR(INDEX(Conduites_plan_noeuds!$Y$4:$Y$203,MATCH("L08_P08_P09",Conduites_plan_noeuds!$A$4:$A$203,0)),"")</f>
        <v/>
      </c>
      <c r="F58" s="7">
        <f>IF(OR(E58="",J58=""),"",E58+J58)</f>
        <v/>
      </c>
      <c r="G58" s="7">
        <f>IF(OR(E58="",J58="",I58=""),"",E58+0.8*J58+I58^2/(2*9.81))</f>
        <v/>
      </c>
      <c r="H58" s="4" t="inlineStr">
        <is>
          <t>L08_P08_P09</t>
        </is>
      </c>
      <c r="I58" s="8">
        <f>IFERROR(INDEX(Conduites_plan_noeuds!$W$4:$W$203,MATCH("L08_P08_P09",Conduites_plan_noeuds!$A$4:$A$203,0)),"")</f>
        <v/>
      </c>
      <c r="J58" s="8">
        <f>IFERROR(INDEX(Conduites_plan_noeuds!$T$4:$T$203,MATCH("L08_P08_P09",Conduites_plan_noeuds!$A$4:$A$203,0)),"")</f>
        <v/>
      </c>
    </row>
    <row r="59">
      <c r="A59" s="4" t="n">
        <v>5</v>
      </c>
      <c r="B59" s="4" t="inlineStr">
        <is>
          <t>P06</t>
        </is>
      </c>
      <c r="C59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/>
      </c>
      <c r="D59" s="7">
        <f>IFERROR(INDEX(Conduites_plan_noeuds!$AA$4:$AA$203,MATCH("L09_P09_P06",Conduites_plan_noeuds!$A$4:$A$203,0)),"")</f>
        <v/>
      </c>
      <c r="E59" s="7">
        <f>IFERROR(INDEX(Conduites_plan_noeuds!$Y$4:$Y$203,MATCH("L09_P09_P06",Conduites_plan_noeuds!$A$4:$A$203,0)),"")</f>
        <v/>
      </c>
      <c r="F59" s="7">
        <f>IF(OR(E59="",J59=""),"",E59+J59)</f>
        <v/>
      </c>
      <c r="G59" s="7">
        <f>IF(OR(E59="",J59="",I59=""),"",E59+0.8*J59+I59^2/(2*9.81))</f>
        <v/>
      </c>
      <c r="H59" s="4" t="inlineStr">
        <is>
          <t>L09_P09_P06</t>
        </is>
      </c>
      <c r="I59" s="8">
        <f>IFERROR(INDEX(Conduites_plan_noeuds!$W$4:$W$203,MATCH("L09_P09_P06",Conduites_plan_noeuds!$A$4:$A$203,0)),"")</f>
        <v/>
      </c>
      <c r="J59" s="8">
        <f>IFERROR(INDEX(Conduites_plan_noeuds!$T$4:$T$203,MATCH("L09_P09_P06",Conduites_plan_noeuds!$A$4:$A$203,0)),"")</f>
        <v/>
      </c>
    </row>
    <row r="60">
      <c r="A60" s="4" t="n">
        <v>6</v>
      </c>
      <c r="B60" s="4" t="inlineStr">
        <is>
          <t>RP100</t>
        </is>
      </c>
      <c r="C60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/>
      </c>
      <c r="D60" s="7">
        <f>IFERROR(INDEX(Conduites_plan_noeuds!$AA$4:$AA$203,MATCH("L06_P06_RP100",Conduites_plan_noeuds!$A$4:$A$203,0)),"")</f>
        <v/>
      </c>
      <c r="E60" s="7">
        <f>IFERROR(INDEX(Conduites_plan_noeuds!$Y$4:$Y$203,MATCH("L06_P06_RP100",Conduites_plan_noeuds!$A$4:$A$203,0)),"")</f>
        <v/>
      </c>
      <c r="F60" s="7">
        <f>IF(OR(E60="",J60=""),"",E60+J60)</f>
        <v/>
      </c>
      <c r="G60" s="7">
        <f>IF(OR(E60="",J60="",I60=""),"",E60+0.8*J60+I60^2/(2*9.81))</f>
        <v/>
      </c>
      <c r="H60" s="4" t="inlineStr">
        <is>
          <t>L06_P06_RP100</t>
        </is>
      </c>
      <c r="I60" s="8">
        <f>IFERROR(INDEX(Conduites_plan_noeuds!$W$4:$W$203,MATCH("L06_P06_RP100",Conduites_plan_noeuds!$A$4:$A$203,0)),"")</f>
        <v/>
      </c>
      <c r="J60" s="8">
        <f>IFERROR(INDEX(Conduites_plan_noeuds!$T$4:$T$203,MATCH("L06_P06_RP100",Conduites_plan_noeuds!$A$4:$A$203,0)),"")</f>
        <v/>
      </c>
    </row>
    <row r="61">
      <c r="A61" s="4" t="n">
        <v>7</v>
      </c>
      <c r="B61" s="4" t="inlineStr">
        <is>
          <t>PUB</t>
        </is>
      </c>
      <c r="C61" s="8">
        <f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/>
      </c>
      <c r="D61" s="7">
        <f>IFERROR(INDEX(Conduites_plan_noeuds!$AA$4:$AA$203,MATCH("L11_RP100_PUB",Conduites_plan_noeuds!$A$4:$A$203,0)),"")</f>
        <v/>
      </c>
      <c r="E61" s="7">
        <f>IFERROR(INDEX(Conduites_plan_noeuds!$Y$4:$Y$203,MATCH("L11_RP100_PUB",Conduites_plan_noeuds!$A$4:$A$203,0)),"")</f>
        <v/>
      </c>
      <c r="F61" s="7">
        <f>IF(OR(E61="",J61=""),"",E61+J61)</f>
        <v/>
      </c>
      <c r="G61" s="7">
        <f>IF(OR(E61="",J61="",I61=""),"",E61+0.8*J61+I61^2/(2*9.81))</f>
        <v/>
      </c>
      <c r="H61" s="4" t="inlineStr">
        <is>
          <t>L11_RP100_PUB</t>
        </is>
      </c>
      <c r="I61" s="8">
        <f>IFERROR(INDEX(Conduites_plan_noeuds!$W$4:$W$203,MATCH("L11_RP100_PUB",Conduites_plan_noeuds!$A$4:$A$203,0)),"")</f>
        <v/>
      </c>
      <c r="J61" s="8">
        <f>IFERROR(INDEX(Conduites_plan_noeuds!$T$4:$T$203,MATCH("L11_RP100_PUB",Conduites_plan_noeuds!$A$4:$A$203,0)),"")</f>
        <v/>
      </c>
    </row>
  </sheetData>
  <mergeCells count="4">
    <mergeCell ref="A53:J53"/>
    <mergeCell ref="A1:J1"/>
    <mergeCell ref="A7:J7"/>
    <mergeCell ref="A30:J3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2026-06-27T15:18:21Z</dcterms:modified>
</cp:coreProperties>
</file>