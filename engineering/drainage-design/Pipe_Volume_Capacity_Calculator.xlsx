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Volume" sheetId="2" state="visible" r:id="rId2"/>
    <sheet name="Flow_capacity" sheetId="3" state="visible" r:id="rId3"/>
    <sheet name="Per_pipe_capac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1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b val="1"/>
      <color rgb="00FFFFFF"/>
      <sz val="14"/>
    </font>
    <font>
      <name val="Calibri"/>
      <color rgb="00FFFFFF"/>
      <sz val="10"/>
    </font>
    <font>
      <name val="Calibri"/>
      <b val="1"/>
      <sz val="11"/>
    </font>
    <font>
      <name val="Calibri"/>
      <b val="1"/>
      <color rgb="00FFFFFF"/>
      <sz val="9"/>
    </font>
    <font>
      <name val="Calibri"/>
      <b val="1"/>
      <color rgb="001F4E79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4" borderId="1" pivotButton="0" quotePrefix="0" xfId="0"/>
    <xf numFmtId="1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4" fillId="2" borderId="0" pivotButton="0" quotePrefix="0" xfId="0"/>
    <xf numFmtId="0" fontId="0" fillId="2" borderId="1" pivotButton="0" quotePrefix="0" xfId="0"/>
    <xf numFmtId="0" fontId="2" fillId="2" borderId="0" applyAlignment="1" pivotButton="0" quotePrefix="0" xfId="0">
      <alignment horizontal="right" vertical="center"/>
    </xf>
    <xf numFmtId="164" fontId="4" fillId="2" borderId="1" pivotButton="0" quotePrefix="0" xfId="0"/>
    <xf numFmtId="0" fontId="5" fillId="2" borderId="0" pivotButton="0" quotePrefix="0" xfId="0"/>
    <xf numFmtId="0" fontId="6" fillId="2" borderId="0" pivotButton="0" quotePrefix="0" xfId="0"/>
    <xf numFmtId="165" fontId="0" fillId="4" borderId="1" pivotButton="0" quotePrefix="0" xfId="0"/>
    <xf numFmtId="0" fontId="7" fillId="6" borderId="0" pivotButton="0" quotePrefix="0" xfId="0"/>
    <xf numFmtId="0" fontId="3" fillId="3" borderId="1" pivotButton="0" quotePrefix="0" xfId="0"/>
    <xf numFmtId="165" fontId="8" fillId="3" borderId="1" applyAlignment="1" pivotButton="0" quotePrefix="0" xfId="0">
      <alignment horizontal="center" vertical="center" wrapText="1"/>
    </xf>
    <xf numFmtId="165" fontId="0" fillId="5" borderId="1" pivotButton="0" quotePrefix="0" xfId="0"/>
    <xf numFmtId="165" fontId="0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164" fontId="0" fillId="5" borderId="1" pivotButton="0" quotePrefix="0" xfId="0"/>
    <xf numFmtId="165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Guide — Pipe Volume + Flow Capacity</t>
        </is>
      </c>
    </row>
    <row r="3">
      <c r="A3" s="2" t="inlineStr">
        <is>
          <t>Sheets</t>
        </is>
      </c>
    </row>
    <row r="4">
      <c r="A4" t="inlineStr">
        <is>
          <t>Volume — storage volume of each pipe (your original calculator).</t>
        </is>
      </c>
    </row>
    <row r="5">
      <c r="A5" t="inlineStr">
        <is>
          <t>Flow_capacity — Manning Q for diameters vs slopes 0.003 → 0.08 (step 0.001).</t>
        </is>
      </c>
    </row>
    <row r="6">
      <c r="A6" t="inlineStr">
        <is>
          <t>Per_pipe_capacity — Qp and Vp for each pipe at a chosen design slope.</t>
        </is>
      </c>
    </row>
    <row r="8">
      <c r="A8" s="2" t="inlineStr">
        <is>
          <t>Formula</t>
        </is>
      </c>
    </row>
    <row r="9">
      <c r="A9" t="inlineStr">
        <is>
          <t>Volume: V = π (D/1000/2)² L</t>
        </is>
      </c>
    </row>
    <row r="10">
      <c r="A10" t="inlineStr">
        <is>
          <t>Capacity: Q = (1/n)·A·R^(2/3)·√S , A=πD²/4 , R=D/4</t>
        </is>
      </c>
    </row>
    <row r="12">
      <c r="A12" t="inlineStr">
        <is>
          <t>Default n = 0.010 (PVC). Change Flow_capacity!B4 if needed.</t>
        </is>
      </c>
    </row>
    <row r="13">
      <c r="A13" t="inlineStr">
        <is>
          <t>Yellow = input; Green = calculated.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4" customWidth="1" min="5" max="5"/>
    <col width="12" customWidth="1" min="6" max="6"/>
  </cols>
  <sheetData>
    <row r="1" ht="28" customHeight="1">
      <c r="A1" s="3" t="inlineStr">
        <is>
          <t>Pipe Volume Capacity Calculator</t>
        </is>
      </c>
    </row>
    <row r="2">
      <c r="A2" s="4" t="inlineStr">
        <is>
          <t>V = π × (D[mm] / 1000 / 2)² × L[m]  →  result in m³</t>
        </is>
      </c>
    </row>
    <row r="4">
      <c r="A4" s="5" t="inlineStr">
        <is>
          <t>Pipe ID</t>
        </is>
      </c>
      <c r="B4" s="5" t="inlineStr">
        <is>
          <t>Material</t>
        </is>
      </c>
      <c r="C4" s="5" t="inlineStr">
        <is>
          <t>Diameter (mm)</t>
        </is>
      </c>
      <c r="D4" s="5" t="inlineStr">
        <is>
          <t>Length (m)</t>
        </is>
      </c>
      <c r="E4" s="5" t="inlineStr">
        <is>
          <t>Volume (m³)</t>
        </is>
      </c>
    </row>
    <row r="5">
      <c r="A5" s="6" t="inlineStr">
        <is>
          <t>P-01</t>
        </is>
      </c>
      <c r="B5" s="7" t="inlineStr">
        <is>
          <t>PVC</t>
        </is>
      </c>
      <c r="C5" s="8" t="n">
        <v>200</v>
      </c>
      <c r="D5" s="9" t="n">
        <v>5.3</v>
      </c>
      <c r="E5" s="10">
        <f>IF(OR(C5="",D5="",C5&lt;=0,D5&lt;=0),0,PI()*(C5/1000/2)^2*D5)</f>
        <v/>
      </c>
    </row>
    <row r="6">
      <c r="A6" s="6" t="inlineStr">
        <is>
          <t>P-02</t>
        </is>
      </c>
      <c r="B6" s="7" t="inlineStr">
        <is>
          <t>PVC</t>
        </is>
      </c>
      <c r="C6" s="11" t="n"/>
      <c r="D6" s="11" t="n"/>
      <c r="E6" s="10">
        <f>IF(OR(C6="",D6="",C6&lt;=0,D6&lt;=0),0,PI()*(C6/1000/2)^2*D6)</f>
        <v/>
      </c>
    </row>
    <row r="7">
      <c r="A7" s="6" t="inlineStr">
        <is>
          <t>P-03</t>
        </is>
      </c>
      <c r="B7" s="7" t="inlineStr">
        <is>
          <t>PVC</t>
        </is>
      </c>
      <c r="C7" s="8" t="n">
        <v>150</v>
      </c>
      <c r="D7" s="9" t="n">
        <v>15</v>
      </c>
      <c r="E7" s="10">
        <f>IF(OR(C7="",D7="",C7&lt;=0,D7&lt;=0),0,PI()*(C7/1000/2)^2*D7)</f>
        <v/>
      </c>
    </row>
    <row r="8">
      <c r="A8" s="6" t="inlineStr">
        <is>
          <t>P-04</t>
        </is>
      </c>
      <c r="B8" s="7" t="inlineStr">
        <is>
          <t>PVC</t>
        </is>
      </c>
      <c r="C8" s="11" t="n"/>
      <c r="D8" s="11" t="n"/>
      <c r="E8" s="10">
        <f>IF(OR(C8="",D8="",C8&lt;=0,D8&lt;=0),0,PI()*(C8/1000/2)^2*D8)</f>
        <v/>
      </c>
    </row>
    <row r="9">
      <c r="A9" s="6" t="inlineStr">
        <is>
          <t>P-05</t>
        </is>
      </c>
      <c r="B9" s="7" t="inlineStr">
        <is>
          <t>PVC</t>
        </is>
      </c>
      <c r="C9" s="8" t="n">
        <v>300</v>
      </c>
      <c r="D9" s="9" t="n">
        <v>6</v>
      </c>
      <c r="E9" s="10">
        <f>IF(OR(C9="",D9="",C9&lt;=0,D9&lt;=0),0,PI()*(C9/1000/2)^2*D9)</f>
        <v/>
      </c>
    </row>
    <row r="10">
      <c r="A10" s="6" t="inlineStr">
        <is>
          <t>P-06</t>
        </is>
      </c>
      <c r="B10" s="7" t="inlineStr">
        <is>
          <t>PVC</t>
        </is>
      </c>
      <c r="C10" s="8" t="n">
        <v>450</v>
      </c>
      <c r="D10" s="9" t="n">
        <v>7.23</v>
      </c>
      <c r="E10" s="10">
        <f>IF(OR(C10="",D10="",C10&lt;=0,D10&lt;=0),0,PI()*(C10/1000/2)^2*D10)</f>
        <v/>
      </c>
    </row>
    <row r="11">
      <c r="A11" s="6" t="inlineStr">
        <is>
          <t>P-07</t>
        </is>
      </c>
      <c r="B11" s="7" t="inlineStr">
        <is>
          <t>PVC</t>
        </is>
      </c>
      <c r="C11" s="11" t="n"/>
      <c r="D11" s="11" t="n"/>
      <c r="E11" s="10">
        <f>IF(OR(C11="",D11="",C11&lt;=0,D11&lt;=0),0,PI()*(C11/1000/2)^2*D11)</f>
        <v/>
      </c>
    </row>
    <row r="12">
      <c r="A12" s="6" t="inlineStr">
        <is>
          <t>P-08</t>
        </is>
      </c>
      <c r="B12" s="7" t="inlineStr">
        <is>
          <t>PVC</t>
        </is>
      </c>
      <c r="C12" s="11" t="n"/>
      <c r="D12" s="11" t="n"/>
      <c r="E12" s="10">
        <f>IF(OR(C12="",D12="",C12&lt;=0,D12&lt;=0),0,PI()*(C12/1000/2)^2*D12)</f>
        <v/>
      </c>
    </row>
    <row r="13">
      <c r="A13" s="12" t="inlineStr">
        <is>
          <t>TOTAL</t>
        </is>
      </c>
      <c r="B13" s="13" t="n"/>
      <c r="C13" s="13" t="n"/>
      <c r="D13" s="13" t="n"/>
      <c r="E13" s="14" t="inlineStr">
        <is>
          <t>Sum of all pipe volumes  →</t>
        </is>
      </c>
      <c r="F13" s="15">
        <f>SUM(E5:E12)</f>
        <v/>
      </c>
    </row>
    <row r="15">
      <c r="A15" t="inlineStr">
        <is>
          <t>Yellow = input; Green = calculated. Volume = full cylinder.</t>
        </is>
      </c>
    </row>
    <row r="16">
      <c r="A16" t="inlineStr">
        <is>
          <t>Flow capacity (Manning) is on sheets Flow_capacity and Per_pipe_capacity.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</cols>
  <sheetData>
    <row r="1" ht="26" customHeight="1">
      <c r="A1" s="16" t="inlineStr">
        <is>
          <t>Pipe Flow Capacity (Manning, full section)</t>
        </is>
      </c>
    </row>
    <row r="2">
      <c r="A2" s="17" t="inlineStr">
        <is>
          <t>Q = (1/n)·A·R^(2/3)·√S    |    A = πD²/4    |    R = D/4    |    D in meters</t>
        </is>
      </c>
    </row>
    <row r="4">
      <c r="A4" t="inlineStr">
        <is>
          <t>Manning n (PVC typical)</t>
        </is>
      </c>
      <c r="B4" s="18" t="n">
        <v>0.01</v>
      </c>
      <c r="C4" t="inlineStr">
        <is>
          <t>Change n if needed (PVC often 0.009–0.011)</t>
        </is>
      </c>
    </row>
    <row r="5">
      <c r="A5" t="inlineStr">
        <is>
          <t>Units</t>
        </is>
      </c>
      <c r="B5" t="inlineStr">
        <is>
          <t>Q in m³/s for each diameter at each slope S (m/m)</t>
        </is>
      </c>
    </row>
    <row r="6">
      <c r="A6" s="19" t="inlineStr">
        <is>
          <t>Slope S (m/m) →</t>
        </is>
      </c>
    </row>
    <row r="7">
      <c r="A7" s="5" t="inlineStr">
        <is>
          <t>Diameter (mm)</t>
        </is>
      </c>
      <c r="B7" s="20" t="inlineStr">
        <is>
          <t>D (m)</t>
        </is>
      </c>
      <c r="C7" s="21" t="n">
        <v>0.003</v>
      </c>
      <c r="D7" s="21" t="n">
        <v>0.004</v>
      </c>
      <c r="E7" s="21" t="n">
        <v>0.005</v>
      </c>
      <c r="F7" s="21" t="n">
        <v>0.006</v>
      </c>
      <c r="G7" s="21" t="n">
        <v>0.007</v>
      </c>
      <c r="H7" s="21" t="n">
        <v>0.008</v>
      </c>
      <c r="I7" s="21" t="n">
        <v>0.008999999999999999</v>
      </c>
      <c r="J7" s="21" t="n">
        <v>0.01</v>
      </c>
      <c r="K7" s="21" t="n">
        <v>0.011</v>
      </c>
      <c r="L7" s="21" t="n">
        <v>0.012</v>
      </c>
      <c r="M7" s="21" t="n">
        <v>0.013</v>
      </c>
      <c r="N7" s="21" t="n">
        <v>0.014</v>
      </c>
      <c r="O7" s="21" t="n">
        <v>0.015</v>
      </c>
      <c r="P7" s="21" t="n">
        <v>0.016</v>
      </c>
      <c r="Q7" s="21" t="n">
        <v>0.017</v>
      </c>
      <c r="R7" s="21" t="n">
        <v>0.018</v>
      </c>
      <c r="S7" s="21" t="n">
        <v>0.019</v>
      </c>
      <c r="T7" s="21" t="n">
        <v>0.02</v>
      </c>
      <c r="U7" s="21" t="n">
        <v>0.021</v>
      </c>
      <c r="V7" s="21" t="n">
        <v>0.022</v>
      </c>
      <c r="W7" s="21" t="n">
        <v>0.023</v>
      </c>
      <c r="X7" s="21" t="n">
        <v>0.024</v>
      </c>
      <c r="Y7" s="21" t="n">
        <v>0.025</v>
      </c>
      <c r="Z7" s="21" t="n">
        <v>0.026</v>
      </c>
      <c r="AA7" s="21" t="n">
        <v>0.027</v>
      </c>
      <c r="AB7" s="21" t="n">
        <v>0.028</v>
      </c>
      <c r="AC7" s="21" t="n">
        <v>0.029</v>
      </c>
      <c r="AD7" s="21" t="n">
        <v>0.03</v>
      </c>
      <c r="AE7" s="21" t="n">
        <v>0.031</v>
      </c>
      <c r="AF7" s="21" t="n">
        <v>0.032</v>
      </c>
      <c r="AG7" s="21" t="n">
        <v>0.033</v>
      </c>
      <c r="AH7" s="21" t="n">
        <v>0.034</v>
      </c>
      <c r="AI7" s="21" t="n">
        <v>0.035</v>
      </c>
      <c r="AJ7" s="21" t="n">
        <v>0.036</v>
      </c>
      <c r="AK7" s="21" t="n">
        <v>0.037</v>
      </c>
      <c r="AL7" s="21" t="n">
        <v>0.038</v>
      </c>
      <c r="AM7" s="21" t="n">
        <v>0.039</v>
      </c>
      <c r="AN7" s="21" t="n">
        <v>0.04</v>
      </c>
      <c r="AO7" s="21" t="n">
        <v>0.041</v>
      </c>
      <c r="AP7" s="21" t="n">
        <v>0.042</v>
      </c>
      <c r="AQ7" s="21" t="n">
        <v>0.043</v>
      </c>
      <c r="AR7" s="21" t="n">
        <v>0.044</v>
      </c>
      <c r="AS7" s="21" t="n">
        <v>0.045</v>
      </c>
      <c r="AT7" s="21" t="n">
        <v>0.046</v>
      </c>
      <c r="AU7" s="21" t="n">
        <v>0.047</v>
      </c>
      <c r="AV7" s="21" t="n">
        <v>0.048</v>
      </c>
      <c r="AW7" s="21" t="n">
        <v>0.049</v>
      </c>
      <c r="AX7" s="21" t="n">
        <v>0.05</v>
      </c>
      <c r="AY7" s="21" t="n">
        <v>0.051</v>
      </c>
      <c r="AZ7" s="21" t="n">
        <v>0.052</v>
      </c>
      <c r="BA7" s="21" t="n">
        <v>0.053</v>
      </c>
      <c r="BB7" s="21" t="n">
        <v>0.054</v>
      </c>
      <c r="BC7" s="21" t="n">
        <v>0.055</v>
      </c>
      <c r="BD7" s="21" t="n">
        <v>0.056</v>
      </c>
      <c r="BE7" s="21" t="n">
        <v>0.057</v>
      </c>
      <c r="BF7" s="21" t="n">
        <v>0.058</v>
      </c>
      <c r="BG7" s="21" t="n">
        <v>0.059</v>
      </c>
      <c r="BH7" s="21" t="n">
        <v>0.06</v>
      </c>
      <c r="BI7" s="21" t="n">
        <v>0.061</v>
      </c>
      <c r="BJ7" s="21" t="n">
        <v>0.062</v>
      </c>
      <c r="BK7" s="21" t="n">
        <v>0.063</v>
      </c>
      <c r="BL7" s="21" t="n">
        <v>0.064</v>
      </c>
      <c r="BM7" s="21" t="n">
        <v>0.065</v>
      </c>
      <c r="BN7" s="21" t="n">
        <v>0.066</v>
      </c>
      <c r="BO7" s="21" t="n">
        <v>0.067</v>
      </c>
      <c r="BP7" s="21" t="n">
        <v>0.068</v>
      </c>
      <c r="BQ7" s="21" t="n">
        <v>0.06900000000000001</v>
      </c>
      <c r="BR7" s="21" t="n">
        <v>0.07000000000000001</v>
      </c>
      <c r="BS7" s="21" t="n">
        <v>0.07099999999999999</v>
      </c>
      <c r="BT7" s="21" t="n">
        <v>0.07199999999999999</v>
      </c>
      <c r="BU7" s="21" t="n">
        <v>0.073</v>
      </c>
      <c r="BV7" s="21" t="n">
        <v>0.074</v>
      </c>
      <c r="BW7" s="21" t="n">
        <v>0.075</v>
      </c>
      <c r="BX7" s="21" t="n">
        <v>0.076</v>
      </c>
      <c r="BY7" s="21" t="n">
        <v>0.077</v>
      </c>
      <c r="BZ7" s="21" t="n">
        <v>0.078</v>
      </c>
      <c r="CA7" s="21" t="n">
        <v>0.079</v>
      </c>
      <c r="CB7" s="21" t="n">
        <v>0.08</v>
      </c>
    </row>
    <row r="8">
      <c r="A8" s="11" t="n">
        <v>150</v>
      </c>
      <c r="B8" s="22">
        <f>A8/1000</f>
        <v/>
      </c>
      <c r="C8" s="23">
        <f>IF(OR($B$4&lt;=0,$B8&lt;=0),0,(1/$B$4)*(PI()*$B8^2/4)*(($B8/4)^(2/3))*SQRT(C$7))</f>
        <v/>
      </c>
      <c r="D8" s="23">
        <f>IF(OR($B$4&lt;=0,$B8&lt;=0),0,(1/$B$4)*(PI()*$B8^2/4)*(($B8/4)^(2/3))*SQRT(D$7))</f>
        <v/>
      </c>
      <c r="E8" s="23">
        <f>IF(OR($B$4&lt;=0,$B8&lt;=0),0,(1/$B$4)*(PI()*$B8^2/4)*(($B8/4)^(2/3))*SQRT(E$7))</f>
        <v/>
      </c>
      <c r="F8" s="23">
        <f>IF(OR($B$4&lt;=0,$B8&lt;=0),0,(1/$B$4)*(PI()*$B8^2/4)*(($B8/4)^(2/3))*SQRT(F$7))</f>
        <v/>
      </c>
      <c r="G8" s="23">
        <f>IF(OR($B$4&lt;=0,$B8&lt;=0),0,(1/$B$4)*(PI()*$B8^2/4)*(($B8/4)^(2/3))*SQRT(G$7))</f>
        <v/>
      </c>
      <c r="H8" s="23">
        <f>IF(OR($B$4&lt;=0,$B8&lt;=0),0,(1/$B$4)*(PI()*$B8^2/4)*(($B8/4)^(2/3))*SQRT(H$7))</f>
        <v/>
      </c>
      <c r="I8" s="23">
        <f>IF(OR($B$4&lt;=0,$B8&lt;=0),0,(1/$B$4)*(PI()*$B8^2/4)*(($B8/4)^(2/3))*SQRT(I$7))</f>
        <v/>
      </c>
      <c r="J8" s="23">
        <f>IF(OR($B$4&lt;=0,$B8&lt;=0),0,(1/$B$4)*(PI()*$B8^2/4)*(($B8/4)^(2/3))*SQRT(J$7))</f>
        <v/>
      </c>
      <c r="K8" s="23">
        <f>IF(OR($B$4&lt;=0,$B8&lt;=0),0,(1/$B$4)*(PI()*$B8^2/4)*(($B8/4)^(2/3))*SQRT(K$7))</f>
        <v/>
      </c>
      <c r="L8" s="23">
        <f>IF(OR($B$4&lt;=0,$B8&lt;=0),0,(1/$B$4)*(PI()*$B8^2/4)*(($B8/4)^(2/3))*SQRT(L$7))</f>
        <v/>
      </c>
      <c r="M8" s="23">
        <f>IF(OR($B$4&lt;=0,$B8&lt;=0),0,(1/$B$4)*(PI()*$B8^2/4)*(($B8/4)^(2/3))*SQRT(M$7))</f>
        <v/>
      </c>
      <c r="N8" s="23">
        <f>IF(OR($B$4&lt;=0,$B8&lt;=0),0,(1/$B$4)*(PI()*$B8^2/4)*(($B8/4)^(2/3))*SQRT(N$7))</f>
        <v/>
      </c>
      <c r="O8" s="23">
        <f>IF(OR($B$4&lt;=0,$B8&lt;=0),0,(1/$B$4)*(PI()*$B8^2/4)*(($B8/4)^(2/3))*SQRT(O$7))</f>
        <v/>
      </c>
      <c r="P8" s="23">
        <f>IF(OR($B$4&lt;=0,$B8&lt;=0),0,(1/$B$4)*(PI()*$B8^2/4)*(($B8/4)^(2/3))*SQRT(P$7))</f>
        <v/>
      </c>
      <c r="Q8" s="23">
        <f>IF(OR($B$4&lt;=0,$B8&lt;=0),0,(1/$B$4)*(PI()*$B8^2/4)*(($B8/4)^(2/3))*SQRT(Q$7))</f>
        <v/>
      </c>
      <c r="R8" s="23">
        <f>IF(OR($B$4&lt;=0,$B8&lt;=0),0,(1/$B$4)*(PI()*$B8^2/4)*(($B8/4)^(2/3))*SQRT(R$7))</f>
        <v/>
      </c>
      <c r="S8" s="23">
        <f>IF(OR($B$4&lt;=0,$B8&lt;=0),0,(1/$B$4)*(PI()*$B8^2/4)*(($B8/4)^(2/3))*SQRT(S$7))</f>
        <v/>
      </c>
      <c r="T8" s="23">
        <f>IF(OR($B$4&lt;=0,$B8&lt;=0),0,(1/$B$4)*(PI()*$B8^2/4)*(($B8/4)^(2/3))*SQRT(T$7))</f>
        <v/>
      </c>
      <c r="U8" s="23">
        <f>IF(OR($B$4&lt;=0,$B8&lt;=0),0,(1/$B$4)*(PI()*$B8^2/4)*(($B8/4)^(2/3))*SQRT(U$7))</f>
        <v/>
      </c>
      <c r="V8" s="23">
        <f>IF(OR($B$4&lt;=0,$B8&lt;=0),0,(1/$B$4)*(PI()*$B8^2/4)*(($B8/4)^(2/3))*SQRT(V$7))</f>
        <v/>
      </c>
      <c r="W8" s="23">
        <f>IF(OR($B$4&lt;=0,$B8&lt;=0),0,(1/$B$4)*(PI()*$B8^2/4)*(($B8/4)^(2/3))*SQRT(W$7))</f>
        <v/>
      </c>
      <c r="X8" s="23">
        <f>IF(OR($B$4&lt;=0,$B8&lt;=0),0,(1/$B$4)*(PI()*$B8^2/4)*(($B8/4)^(2/3))*SQRT(X$7))</f>
        <v/>
      </c>
      <c r="Y8" s="23">
        <f>IF(OR($B$4&lt;=0,$B8&lt;=0),0,(1/$B$4)*(PI()*$B8^2/4)*(($B8/4)^(2/3))*SQRT(Y$7))</f>
        <v/>
      </c>
      <c r="Z8" s="23">
        <f>IF(OR($B$4&lt;=0,$B8&lt;=0),0,(1/$B$4)*(PI()*$B8^2/4)*(($B8/4)^(2/3))*SQRT(Z$7))</f>
        <v/>
      </c>
      <c r="AA8" s="23">
        <f>IF(OR($B$4&lt;=0,$B8&lt;=0),0,(1/$B$4)*(PI()*$B8^2/4)*(($B8/4)^(2/3))*SQRT(AA$7))</f>
        <v/>
      </c>
      <c r="AB8" s="23">
        <f>IF(OR($B$4&lt;=0,$B8&lt;=0),0,(1/$B$4)*(PI()*$B8^2/4)*(($B8/4)^(2/3))*SQRT(AB$7))</f>
        <v/>
      </c>
      <c r="AC8" s="23">
        <f>IF(OR($B$4&lt;=0,$B8&lt;=0),0,(1/$B$4)*(PI()*$B8^2/4)*(($B8/4)^(2/3))*SQRT(AC$7))</f>
        <v/>
      </c>
      <c r="AD8" s="23">
        <f>IF(OR($B$4&lt;=0,$B8&lt;=0),0,(1/$B$4)*(PI()*$B8^2/4)*(($B8/4)^(2/3))*SQRT(AD$7))</f>
        <v/>
      </c>
      <c r="AE8" s="23">
        <f>IF(OR($B$4&lt;=0,$B8&lt;=0),0,(1/$B$4)*(PI()*$B8^2/4)*(($B8/4)^(2/3))*SQRT(AE$7))</f>
        <v/>
      </c>
      <c r="AF8" s="23">
        <f>IF(OR($B$4&lt;=0,$B8&lt;=0),0,(1/$B$4)*(PI()*$B8^2/4)*(($B8/4)^(2/3))*SQRT(AF$7))</f>
        <v/>
      </c>
      <c r="AG8" s="23">
        <f>IF(OR($B$4&lt;=0,$B8&lt;=0),0,(1/$B$4)*(PI()*$B8^2/4)*(($B8/4)^(2/3))*SQRT(AG$7))</f>
        <v/>
      </c>
      <c r="AH8" s="23">
        <f>IF(OR($B$4&lt;=0,$B8&lt;=0),0,(1/$B$4)*(PI()*$B8^2/4)*(($B8/4)^(2/3))*SQRT(AH$7))</f>
        <v/>
      </c>
      <c r="AI8" s="23">
        <f>IF(OR($B$4&lt;=0,$B8&lt;=0),0,(1/$B$4)*(PI()*$B8^2/4)*(($B8/4)^(2/3))*SQRT(AI$7))</f>
        <v/>
      </c>
      <c r="AJ8" s="23">
        <f>IF(OR($B$4&lt;=0,$B8&lt;=0),0,(1/$B$4)*(PI()*$B8^2/4)*(($B8/4)^(2/3))*SQRT(AJ$7))</f>
        <v/>
      </c>
      <c r="AK8" s="23">
        <f>IF(OR($B$4&lt;=0,$B8&lt;=0),0,(1/$B$4)*(PI()*$B8^2/4)*(($B8/4)^(2/3))*SQRT(AK$7))</f>
        <v/>
      </c>
      <c r="AL8" s="23">
        <f>IF(OR($B$4&lt;=0,$B8&lt;=0),0,(1/$B$4)*(PI()*$B8^2/4)*(($B8/4)^(2/3))*SQRT(AL$7))</f>
        <v/>
      </c>
      <c r="AM8" s="23">
        <f>IF(OR($B$4&lt;=0,$B8&lt;=0),0,(1/$B$4)*(PI()*$B8^2/4)*(($B8/4)^(2/3))*SQRT(AM$7))</f>
        <v/>
      </c>
      <c r="AN8" s="23">
        <f>IF(OR($B$4&lt;=0,$B8&lt;=0),0,(1/$B$4)*(PI()*$B8^2/4)*(($B8/4)^(2/3))*SQRT(AN$7))</f>
        <v/>
      </c>
      <c r="AO8" s="23">
        <f>IF(OR($B$4&lt;=0,$B8&lt;=0),0,(1/$B$4)*(PI()*$B8^2/4)*(($B8/4)^(2/3))*SQRT(AO$7))</f>
        <v/>
      </c>
      <c r="AP8" s="23">
        <f>IF(OR($B$4&lt;=0,$B8&lt;=0),0,(1/$B$4)*(PI()*$B8^2/4)*(($B8/4)^(2/3))*SQRT(AP$7))</f>
        <v/>
      </c>
      <c r="AQ8" s="23">
        <f>IF(OR($B$4&lt;=0,$B8&lt;=0),0,(1/$B$4)*(PI()*$B8^2/4)*(($B8/4)^(2/3))*SQRT(AQ$7))</f>
        <v/>
      </c>
      <c r="AR8" s="23">
        <f>IF(OR($B$4&lt;=0,$B8&lt;=0),0,(1/$B$4)*(PI()*$B8^2/4)*(($B8/4)^(2/3))*SQRT(AR$7))</f>
        <v/>
      </c>
      <c r="AS8" s="23">
        <f>IF(OR($B$4&lt;=0,$B8&lt;=0),0,(1/$B$4)*(PI()*$B8^2/4)*(($B8/4)^(2/3))*SQRT(AS$7))</f>
        <v/>
      </c>
      <c r="AT8" s="23">
        <f>IF(OR($B$4&lt;=0,$B8&lt;=0),0,(1/$B$4)*(PI()*$B8^2/4)*(($B8/4)^(2/3))*SQRT(AT$7))</f>
        <v/>
      </c>
      <c r="AU8" s="23">
        <f>IF(OR($B$4&lt;=0,$B8&lt;=0),0,(1/$B$4)*(PI()*$B8^2/4)*(($B8/4)^(2/3))*SQRT(AU$7))</f>
        <v/>
      </c>
      <c r="AV8" s="23">
        <f>IF(OR($B$4&lt;=0,$B8&lt;=0),0,(1/$B$4)*(PI()*$B8^2/4)*(($B8/4)^(2/3))*SQRT(AV$7))</f>
        <v/>
      </c>
      <c r="AW8" s="23">
        <f>IF(OR($B$4&lt;=0,$B8&lt;=0),0,(1/$B$4)*(PI()*$B8^2/4)*(($B8/4)^(2/3))*SQRT(AW$7))</f>
        <v/>
      </c>
      <c r="AX8" s="23">
        <f>IF(OR($B$4&lt;=0,$B8&lt;=0),0,(1/$B$4)*(PI()*$B8^2/4)*(($B8/4)^(2/3))*SQRT(AX$7))</f>
        <v/>
      </c>
      <c r="AY8" s="23">
        <f>IF(OR($B$4&lt;=0,$B8&lt;=0),0,(1/$B$4)*(PI()*$B8^2/4)*(($B8/4)^(2/3))*SQRT(AY$7))</f>
        <v/>
      </c>
      <c r="AZ8" s="23">
        <f>IF(OR($B$4&lt;=0,$B8&lt;=0),0,(1/$B$4)*(PI()*$B8^2/4)*(($B8/4)^(2/3))*SQRT(AZ$7))</f>
        <v/>
      </c>
      <c r="BA8" s="23">
        <f>IF(OR($B$4&lt;=0,$B8&lt;=0),0,(1/$B$4)*(PI()*$B8^2/4)*(($B8/4)^(2/3))*SQRT(BA$7))</f>
        <v/>
      </c>
      <c r="BB8" s="23">
        <f>IF(OR($B$4&lt;=0,$B8&lt;=0),0,(1/$B$4)*(PI()*$B8^2/4)*(($B8/4)^(2/3))*SQRT(BB$7))</f>
        <v/>
      </c>
      <c r="BC8" s="23">
        <f>IF(OR($B$4&lt;=0,$B8&lt;=0),0,(1/$B$4)*(PI()*$B8^2/4)*(($B8/4)^(2/3))*SQRT(BC$7))</f>
        <v/>
      </c>
      <c r="BD8" s="23">
        <f>IF(OR($B$4&lt;=0,$B8&lt;=0),0,(1/$B$4)*(PI()*$B8^2/4)*(($B8/4)^(2/3))*SQRT(BD$7))</f>
        <v/>
      </c>
      <c r="BE8" s="23">
        <f>IF(OR($B$4&lt;=0,$B8&lt;=0),0,(1/$B$4)*(PI()*$B8^2/4)*(($B8/4)^(2/3))*SQRT(BE$7))</f>
        <v/>
      </c>
      <c r="BF8" s="23">
        <f>IF(OR($B$4&lt;=0,$B8&lt;=0),0,(1/$B$4)*(PI()*$B8^2/4)*(($B8/4)^(2/3))*SQRT(BF$7))</f>
        <v/>
      </c>
      <c r="BG8" s="23">
        <f>IF(OR($B$4&lt;=0,$B8&lt;=0),0,(1/$B$4)*(PI()*$B8^2/4)*(($B8/4)^(2/3))*SQRT(BG$7))</f>
        <v/>
      </c>
      <c r="BH8" s="23">
        <f>IF(OR($B$4&lt;=0,$B8&lt;=0),0,(1/$B$4)*(PI()*$B8^2/4)*(($B8/4)^(2/3))*SQRT(BH$7))</f>
        <v/>
      </c>
      <c r="BI8" s="23">
        <f>IF(OR($B$4&lt;=0,$B8&lt;=0),0,(1/$B$4)*(PI()*$B8^2/4)*(($B8/4)^(2/3))*SQRT(BI$7))</f>
        <v/>
      </c>
      <c r="BJ8" s="23">
        <f>IF(OR($B$4&lt;=0,$B8&lt;=0),0,(1/$B$4)*(PI()*$B8^2/4)*(($B8/4)^(2/3))*SQRT(BJ$7))</f>
        <v/>
      </c>
      <c r="BK8" s="23">
        <f>IF(OR($B$4&lt;=0,$B8&lt;=0),0,(1/$B$4)*(PI()*$B8^2/4)*(($B8/4)^(2/3))*SQRT(BK$7))</f>
        <v/>
      </c>
      <c r="BL8" s="23">
        <f>IF(OR($B$4&lt;=0,$B8&lt;=0),0,(1/$B$4)*(PI()*$B8^2/4)*(($B8/4)^(2/3))*SQRT(BL$7))</f>
        <v/>
      </c>
      <c r="BM8" s="23">
        <f>IF(OR($B$4&lt;=0,$B8&lt;=0),0,(1/$B$4)*(PI()*$B8^2/4)*(($B8/4)^(2/3))*SQRT(BM$7))</f>
        <v/>
      </c>
      <c r="BN8" s="23">
        <f>IF(OR($B$4&lt;=0,$B8&lt;=0),0,(1/$B$4)*(PI()*$B8^2/4)*(($B8/4)^(2/3))*SQRT(BN$7))</f>
        <v/>
      </c>
      <c r="BO8" s="23">
        <f>IF(OR($B$4&lt;=0,$B8&lt;=0),0,(1/$B$4)*(PI()*$B8^2/4)*(($B8/4)^(2/3))*SQRT(BO$7))</f>
        <v/>
      </c>
      <c r="BP8" s="23">
        <f>IF(OR($B$4&lt;=0,$B8&lt;=0),0,(1/$B$4)*(PI()*$B8^2/4)*(($B8/4)^(2/3))*SQRT(BP$7))</f>
        <v/>
      </c>
      <c r="BQ8" s="23">
        <f>IF(OR($B$4&lt;=0,$B8&lt;=0),0,(1/$B$4)*(PI()*$B8^2/4)*(($B8/4)^(2/3))*SQRT(BQ$7))</f>
        <v/>
      </c>
      <c r="BR8" s="23">
        <f>IF(OR($B$4&lt;=0,$B8&lt;=0),0,(1/$B$4)*(PI()*$B8^2/4)*(($B8/4)^(2/3))*SQRT(BR$7))</f>
        <v/>
      </c>
      <c r="BS8" s="23">
        <f>IF(OR($B$4&lt;=0,$B8&lt;=0),0,(1/$B$4)*(PI()*$B8^2/4)*(($B8/4)^(2/3))*SQRT(BS$7))</f>
        <v/>
      </c>
      <c r="BT8" s="23">
        <f>IF(OR($B$4&lt;=0,$B8&lt;=0),0,(1/$B$4)*(PI()*$B8^2/4)*(($B8/4)^(2/3))*SQRT(BT$7))</f>
        <v/>
      </c>
      <c r="BU8" s="23">
        <f>IF(OR($B$4&lt;=0,$B8&lt;=0),0,(1/$B$4)*(PI()*$B8^2/4)*(($B8/4)^(2/3))*SQRT(BU$7))</f>
        <v/>
      </c>
      <c r="BV8" s="23">
        <f>IF(OR($B$4&lt;=0,$B8&lt;=0),0,(1/$B$4)*(PI()*$B8^2/4)*(($B8/4)^(2/3))*SQRT(BV$7))</f>
        <v/>
      </c>
      <c r="BW8" s="23">
        <f>IF(OR($B$4&lt;=0,$B8&lt;=0),0,(1/$B$4)*(PI()*$B8^2/4)*(($B8/4)^(2/3))*SQRT(BW$7))</f>
        <v/>
      </c>
      <c r="BX8" s="23">
        <f>IF(OR($B$4&lt;=0,$B8&lt;=0),0,(1/$B$4)*(PI()*$B8^2/4)*(($B8/4)^(2/3))*SQRT(BX$7))</f>
        <v/>
      </c>
      <c r="BY8" s="23">
        <f>IF(OR($B$4&lt;=0,$B8&lt;=0),0,(1/$B$4)*(PI()*$B8^2/4)*(($B8/4)^(2/3))*SQRT(BY$7))</f>
        <v/>
      </c>
      <c r="BZ8" s="23">
        <f>IF(OR($B$4&lt;=0,$B8&lt;=0),0,(1/$B$4)*(PI()*$B8^2/4)*(($B8/4)^(2/3))*SQRT(BZ$7))</f>
        <v/>
      </c>
      <c r="CA8" s="23">
        <f>IF(OR($B$4&lt;=0,$B8&lt;=0),0,(1/$B$4)*(PI()*$B8^2/4)*(($B8/4)^(2/3))*SQRT(CA$7))</f>
        <v/>
      </c>
      <c r="CB8" s="23">
        <f>IF(OR($B$4&lt;=0,$B8&lt;=0),0,(1/$B$4)*(PI()*$B8^2/4)*(($B8/4)^(2/3))*SQRT(CB$7))</f>
        <v/>
      </c>
    </row>
    <row r="9">
      <c r="A9" s="11" t="n">
        <v>200</v>
      </c>
      <c r="B9" s="22">
        <f>A9/1000</f>
        <v/>
      </c>
      <c r="C9" s="23">
        <f>IF(OR($B$4&lt;=0,$B9&lt;=0),0,(1/$B$4)*(PI()*$B9^2/4)*(($B9/4)^(2/3))*SQRT(C$7))</f>
        <v/>
      </c>
      <c r="D9" s="23">
        <f>IF(OR($B$4&lt;=0,$B9&lt;=0),0,(1/$B$4)*(PI()*$B9^2/4)*(($B9/4)^(2/3))*SQRT(D$7))</f>
        <v/>
      </c>
      <c r="E9" s="23">
        <f>IF(OR($B$4&lt;=0,$B9&lt;=0),0,(1/$B$4)*(PI()*$B9^2/4)*(($B9/4)^(2/3))*SQRT(E$7))</f>
        <v/>
      </c>
      <c r="F9" s="23">
        <f>IF(OR($B$4&lt;=0,$B9&lt;=0),0,(1/$B$4)*(PI()*$B9^2/4)*(($B9/4)^(2/3))*SQRT(F$7))</f>
        <v/>
      </c>
      <c r="G9" s="23">
        <f>IF(OR($B$4&lt;=0,$B9&lt;=0),0,(1/$B$4)*(PI()*$B9^2/4)*(($B9/4)^(2/3))*SQRT(G$7))</f>
        <v/>
      </c>
      <c r="H9" s="23">
        <f>IF(OR($B$4&lt;=0,$B9&lt;=0),0,(1/$B$4)*(PI()*$B9^2/4)*(($B9/4)^(2/3))*SQRT(H$7))</f>
        <v/>
      </c>
      <c r="I9" s="23">
        <f>IF(OR($B$4&lt;=0,$B9&lt;=0),0,(1/$B$4)*(PI()*$B9^2/4)*(($B9/4)^(2/3))*SQRT(I$7))</f>
        <v/>
      </c>
      <c r="J9" s="23">
        <f>IF(OR($B$4&lt;=0,$B9&lt;=0),0,(1/$B$4)*(PI()*$B9^2/4)*(($B9/4)^(2/3))*SQRT(J$7))</f>
        <v/>
      </c>
      <c r="K9" s="23">
        <f>IF(OR($B$4&lt;=0,$B9&lt;=0),0,(1/$B$4)*(PI()*$B9^2/4)*(($B9/4)^(2/3))*SQRT(K$7))</f>
        <v/>
      </c>
      <c r="L9" s="23">
        <f>IF(OR($B$4&lt;=0,$B9&lt;=0),0,(1/$B$4)*(PI()*$B9^2/4)*(($B9/4)^(2/3))*SQRT(L$7))</f>
        <v/>
      </c>
      <c r="M9" s="23">
        <f>IF(OR($B$4&lt;=0,$B9&lt;=0),0,(1/$B$4)*(PI()*$B9^2/4)*(($B9/4)^(2/3))*SQRT(M$7))</f>
        <v/>
      </c>
      <c r="N9" s="23">
        <f>IF(OR($B$4&lt;=0,$B9&lt;=0),0,(1/$B$4)*(PI()*$B9^2/4)*(($B9/4)^(2/3))*SQRT(N$7))</f>
        <v/>
      </c>
      <c r="O9" s="23">
        <f>IF(OR($B$4&lt;=0,$B9&lt;=0),0,(1/$B$4)*(PI()*$B9^2/4)*(($B9/4)^(2/3))*SQRT(O$7))</f>
        <v/>
      </c>
      <c r="P9" s="23">
        <f>IF(OR($B$4&lt;=0,$B9&lt;=0),0,(1/$B$4)*(PI()*$B9^2/4)*(($B9/4)^(2/3))*SQRT(P$7))</f>
        <v/>
      </c>
      <c r="Q9" s="23">
        <f>IF(OR($B$4&lt;=0,$B9&lt;=0),0,(1/$B$4)*(PI()*$B9^2/4)*(($B9/4)^(2/3))*SQRT(Q$7))</f>
        <v/>
      </c>
      <c r="R9" s="23">
        <f>IF(OR($B$4&lt;=0,$B9&lt;=0),0,(1/$B$4)*(PI()*$B9^2/4)*(($B9/4)^(2/3))*SQRT(R$7))</f>
        <v/>
      </c>
      <c r="S9" s="23">
        <f>IF(OR($B$4&lt;=0,$B9&lt;=0),0,(1/$B$4)*(PI()*$B9^2/4)*(($B9/4)^(2/3))*SQRT(S$7))</f>
        <v/>
      </c>
      <c r="T9" s="23">
        <f>IF(OR($B$4&lt;=0,$B9&lt;=0),0,(1/$B$4)*(PI()*$B9^2/4)*(($B9/4)^(2/3))*SQRT(T$7))</f>
        <v/>
      </c>
      <c r="U9" s="23">
        <f>IF(OR($B$4&lt;=0,$B9&lt;=0),0,(1/$B$4)*(PI()*$B9^2/4)*(($B9/4)^(2/3))*SQRT(U$7))</f>
        <v/>
      </c>
      <c r="V9" s="23">
        <f>IF(OR($B$4&lt;=0,$B9&lt;=0),0,(1/$B$4)*(PI()*$B9^2/4)*(($B9/4)^(2/3))*SQRT(V$7))</f>
        <v/>
      </c>
      <c r="W9" s="23">
        <f>IF(OR($B$4&lt;=0,$B9&lt;=0),0,(1/$B$4)*(PI()*$B9^2/4)*(($B9/4)^(2/3))*SQRT(W$7))</f>
        <v/>
      </c>
      <c r="X9" s="23">
        <f>IF(OR($B$4&lt;=0,$B9&lt;=0),0,(1/$B$4)*(PI()*$B9^2/4)*(($B9/4)^(2/3))*SQRT(X$7))</f>
        <v/>
      </c>
      <c r="Y9" s="23">
        <f>IF(OR($B$4&lt;=0,$B9&lt;=0),0,(1/$B$4)*(PI()*$B9^2/4)*(($B9/4)^(2/3))*SQRT(Y$7))</f>
        <v/>
      </c>
      <c r="Z9" s="23">
        <f>IF(OR($B$4&lt;=0,$B9&lt;=0),0,(1/$B$4)*(PI()*$B9^2/4)*(($B9/4)^(2/3))*SQRT(Z$7))</f>
        <v/>
      </c>
      <c r="AA9" s="23">
        <f>IF(OR($B$4&lt;=0,$B9&lt;=0),0,(1/$B$4)*(PI()*$B9^2/4)*(($B9/4)^(2/3))*SQRT(AA$7))</f>
        <v/>
      </c>
      <c r="AB9" s="23">
        <f>IF(OR($B$4&lt;=0,$B9&lt;=0),0,(1/$B$4)*(PI()*$B9^2/4)*(($B9/4)^(2/3))*SQRT(AB$7))</f>
        <v/>
      </c>
      <c r="AC9" s="23">
        <f>IF(OR($B$4&lt;=0,$B9&lt;=0),0,(1/$B$4)*(PI()*$B9^2/4)*(($B9/4)^(2/3))*SQRT(AC$7))</f>
        <v/>
      </c>
      <c r="AD9" s="23">
        <f>IF(OR($B$4&lt;=0,$B9&lt;=0),0,(1/$B$4)*(PI()*$B9^2/4)*(($B9/4)^(2/3))*SQRT(AD$7))</f>
        <v/>
      </c>
      <c r="AE9" s="23">
        <f>IF(OR($B$4&lt;=0,$B9&lt;=0),0,(1/$B$4)*(PI()*$B9^2/4)*(($B9/4)^(2/3))*SQRT(AE$7))</f>
        <v/>
      </c>
      <c r="AF9" s="23">
        <f>IF(OR($B$4&lt;=0,$B9&lt;=0),0,(1/$B$4)*(PI()*$B9^2/4)*(($B9/4)^(2/3))*SQRT(AF$7))</f>
        <v/>
      </c>
      <c r="AG9" s="23">
        <f>IF(OR($B$4&lt;=0,$B9&lt;=0),0,(1/$B$4)*(PI()*$B9^2/4)*(($B9/4)^(2/3))*SQRT(AG$7))</f>
        <v/>
      </c>
      <c r="AH9" s="23">
        <f>IF(OR($B$4&lt;=0,$B9&lt;=0),0,(1/$B$4)*(PI()*$B9^2/4)*(($B9/4)^(2/3))*SQRT(AH$7))</f>
        <v/>
      </c>
      <c r="AI9" s="23">
        <f>IF(OR($B$4&lt;=0,$B9&lt;=0),0,(1/$B$4)*(PI()*$B9^2/4)*(($B9/4)^(2/3))*SQRT(AI$7))</f>
        <v/>
      </c>
      <c r="AJ9" s="23">
        <f>IF(OR($B$4&lt;=0,$B9&lt;=0),0,(1/$B$4)*(PI()*$B9^2/4)*(($B9/4)^(2/3))*SQRT(AJ$7))</f>
        <v/>
      </c>
      <c r="AK9" s="23">
        <f>IF(OR($B$4&lt;=0,$B9&lt;=0),0,(1/$B$4)*(PI()*$B9^2/4)*(($B9/4)^(2/3))*SQRT(AK$7))</f>
        <v/>
      </c>
      <c r="AL9" s="23">
        <f>IF(OR($B$4&lt;=0,$B9&lt;=0),0,(1/$B$4)*(PI()*$B9^2/4)*(($B9/4)^(2/3))*SQRT(AL$7))</f>
        <v/>
      </c>
      <c r="AM9" s="23">
        <f>IF(OR($B$4&lt;=0,$B9&lt;=0),0,(1/$B$4)*(PI()*$B9^2/4)*(($B9/4)^(2/3))*SQRT(AM$7))</f>
        <v/>
      </c>
      <c r="AN9" s="23">
        <f>IF(OR($B$4&lt;=0,$B9&lt;=0),0,(1/$B$4)*(PI()*$B9^2/4)*(($B9/4)^(2/3))*SQRT(AN$7))</f>
        <v/>
      </c>
      <c r="AO9" s="23">
        <f>IF(OR($B$4&lt;=0,$B9&lt;=0),0,(1/$B$4)*(PI()*$B9^2/4)*(($B9/4)^(2/3))*SQRT(AO$7))</f>
        <v/>
      </c>
      <c r="AP9" s="23">
        <f>IF(OR($B$4&lt;=0,$B9&lt;=0),0,(1/$B$4)*(PI()*$B9^2/4)*(($B9/4)^(2/3))*SQRT(AP$7))</f>
        <v/>
      </c>
      <c r="AQ9" s="23">
        <f>IF(OR($B$4&lt;=0,$B9&lt;=0),0,(1/$B$4)*(PI()*$B9^2/4)*(($B9/4)^(2/3))*SQRT(AQ$7))</f>
        <v/>
      </c>
      <c r="AR9" s="23">
        <f>IF(OR($B$4&lt;=0,$B9&lt;=0),0,(1/$B$4)*(PI()*$B9^2/4)*(($B9/4)^(2/3))*SQRT(AR$7))</f>
        <v/>
      </c>
      <c r="AS9" s="23">
        <f>IF(OR($B$4&lt;=0,$B9&lt;=0),0,(1/$B$4)*(PI()*$B9^2/4)*(($B9/4)^(2/3))*SQRT(AS$7))</f>
        <v/>
      </c>
      <c r="AT9" s="23">
        <f>IF(OR($B$4&lt;=0,$B9&lt;=0),0,(1/$B$4)*(PI()*$B9^2/4)*(($B9/4)^(2/3))*SQRT(AT$7))</f>
        <v/>
      </c>
      <c r="AU9" s="23">
        <f>IF(OR($B$4&lt;=0,$B9&lt;=0),0,(1/$B$4)*(PI()*$B9^2/4)*(($B9/4)^(2/3))*SQRT(AU$7))</f>
        <v/>
      </c>
      <c r="AV9" s="23">
        <f>IF(OR($B$4&lt;=0,$B9&lt;=0),0,(1/$B$4)*(PI()*$B9^2/4)*(($B9/4)^(2/3))*SQRT(AV$7))</f>
        <v/>
      </c>
      <c r="AW9" s="23">
        <f>IF(OR($B$4&lt;=0,$B9&lt;=0),0,(1/$B$4)*(PI()*$B9^2/4)*(($B9/4)^(2/3))*SQRT(AW$7))</f>
        <v/>
      </c>
      <c r="AX9" s="23">
        <f>IF(OR($B$4&lt;=0,$B9&lt;=0),0,(1/$B$4)*(PI()*$B9^2/4)*(($B9/4)^(2/3))*SQRT(AX$7))</f>
        <v/>
      </c>
      <c r="AY9" s="23">
        <f>IF(OR($B$4&lt;=0,$B9&lt;=0),0,(1/$B$4)*(PI()*$B9^2/4)*(($B9/4)^(2/3))*SQRT(AY$7))</f>
        <v/>
      </c>
      <c r="AZ9" s="23">
        <f>IF(OR($B$4&lt;=0,$B9&lt;=0),0,(1/$B$4)*(PI()*$B9^2/4)*(($B9/4)^(2/3))*SQRT(AZ$7))</f>
        <v/>
      </c>
      <c r="BA9" s="23">
        <f>IF(OR($B$4&lt;=0,$B9&lt;=0),0,(1/$B$4)*(PI()*$B9^2/4)*(($B9/4)^(2/3))*SQRT(BA$7))</f>
        <v/>
      </c>
      <c r="BB9" s="23">
        <f>IF(OR($B$4&lt;=0,$B9&lt;=0),0,(1/$B$4)*(PI()*$B9^2/4)*(($B9/4)^(2/3))*SQRT(BB$7))</f>
        <v/>
      </c>
      <c r="BC9" s="23">
        <f>IF(OR($B$4&lt;=0,$B9&lt;=0),0,(1/$B$4)*(PI()*$B9^2/4)*(($B9/4)^(2/3))*SQRT(BC$7))</f>
        <v/>
      </c>
      <c r="BD9" s="23">
        <f>IF(OR($B$4&lt;=0,$B9&lt;=0),0,(1/$B$4)*(PI()*$B9^2/4)*(($B9/4)^(2/3))*SQRT(BD$7))</f>
        <v/>
      </c>
      <c r="BE9" s="23">
        <f>IF(OR($B$4&lt;=0,$B9&lt;=0),0,(1/$B$4)*(PI()*$B9^2/4)*(($B9/4)^(2/3))*SQRT(BE$7))</f>
        <v/>
      </c>
      <c r="BF9" s="23">
        <f>IF(OR($B$4&lt;=0,$B9&lt;=0),0,(1/$B$4)*(PI()*$B9^2/4)*(($B9/4)^(2/3))*SQRT(BF$7))</f>
        <v/>
      </c>
      <c r="BG9" s="23">
        <f>IF(OR($B$4&lt;=0,$B9&lt;=0),0,(1/$B$4)*(PI()*$B9^2/4)*(($B9/4)^(2/3))*SQRT(BG$7))</f>
        <v/>
      </c>
      <c r="BH9" s="23">
        <f>IF(OR($B$4&lt;=0,$B9&lt;=0),0,(1/$B$4)*(PI()*$B9^2/4)*(($B9/4)^(2/3))*SQRT(BH$7))</f>
        <v/>
      </c>
      <c r="BI9" s="23">
        <f>IF(OR($B$4&lt;=0,$B9&lt;=0),0,(1/$B$4)*(PI()*$B9^2/4)*(($B9/4)^(2/3))*SQRT(BI$7))</f>
        <v/>
      </c>
      <c r="BJ9" s="23">
        <f>IF(OR($B$4&lt;=0,$B9&lt;=0),0,(1/$B$4)*(PI()*$B9^2/4)*(($B9/4)^(2/3))*SQRT(BJ$7))</f>
        <v/>
      </c>
      <c r="BK9" s="23">
        <f>IF(OR($B$4&lt;=0,$B9&lt;=0),0,(1/$B$4)*(PI()*$B9^2/4)*(($B9/4)^(2/3))*SQRT(BK$7))</f>
        <v/>
      </c>
      <c r="BL9" s="23">
        <f>IF(OR($B$4&lt;=0,$B9&lt;=0),0,(1/$B$4)*(PI()*$B9^2/4)*(($B9/4)^(2/3))*SQRT(BL$7))</f>
        <v/>
      </c>
      <c r="BM9" s="23">
        <f>IF(OR($B$4&lt;=0,$B9&lt;=0),0,(1/$B$4)*(PI()*$B9^2/4)*(($B9/4)^(2/3))*SQRT(BM$7))</f>
        <v/>
      </c>
      <c r="BN9" s="23">
        <f>IF(OR($B$4&lt;=0,$B9&lt;=0),0,(1/$B$4)*(PI()*$B9^2/4)*(($B9/4)^(2/3))*SQRT(BN$7))</f>
        <v/>
      </c>
      <c r="BO9" s="23">
        <f>IF(OR($B$4&lt;=0,$B9&lt;=0),0,(1/$B$4)*(PI()*$B9^2/4)*(($B9/4)^(2/3))*SQRT(BO$7))</f>
        <v/>
      </c>
      <c r="BP9" s="23">
        <f>IF(OR($B$4&lt;=0,$B9&lt;=0),0,(1/$B$4)*(PI()*$B9^2/4)*(($B9/4)^(2/3))*SQRT(BP$7))</f>
        <v/>
      </c>
      <c r="BQ9" s="23">
        <f>IF(OR($B$4&lt;=0,$B9&lt;=0),0,(1/$B$4)*(PI()*$B9^2/4)*(($B9/4)^(2/3))*SQRT(BQ$7))</f>
        <v/>
      </c>
      <c r="BR9" s="23">
        <f>IF(OR($B$4&lt;=0,$B9&lt;=0),0,(1/$B$4)*(PI()*$B9^2/4)*(($B9/4)^(2/3))*SQRT(BR$7))</f>
        <v/>
      </c>
      <c r="BS9" s="23">
        <f>IF(OR($B$4&lt;=0,$B9&lt;=0),0,(1/$B$4)*(PI()*$B9^2/4)*(($B9/4)^(2/3))*SQRT(BS$7))</f>
        <v/>
      </c>
      <c r="BT9" s="23">
        <f>IF(OR($B$4&lt;=0,$B9&lt;=0),0,(1/$B$4)*(PI()*$B9^2/4)*(($B9/4)^(2/3))*SQRT(BT$7))</f>
        <v/>
      </c>
      <c r="BU9" s="23">
        <f>IF(OR($B$4&lt;=0,$B9&lt;=0),0,(1/$B$4)*(PI()*$B9^2/4)*(($B9/4)^(2/3))*SQRT(BU$7))</f>
        <v/>
      </c>
      <c r="BV9" s="23">
        <f>IF(OR($B$4&lt;=0,$B9&lt;=0),0,(1/$B$4)*(PI()*$B9^2/4)*(($B9/4)^(2/3))*SQRT(BV$7))</f>
        <v/>
      </c>
      <c r="BW9" s="23">
        <f>IF(OR($B$4&lt;=0,$B9&lt;=0),0,(1/$B$4)*(PI()*$B9^2/4)*(($B9/4)^(2/3))*SQRT(BW$7))</f>
        <v/>
      </c>
      <c r="BX9" s="23">
        <f>IF(OR($B$4&lt;=0,$B9&lt;=0),0,(1/$B$4)*(PI()*$B9^2/4)*(($B9/4)^(2/3))*SQRT(BX$7))</f>
        <v/>
      </c>
      <c r="BY9" s="23">
        <f>IF(OR($B$4&lt;=0,$B9&lt;=0),0,(1/$B$4)*(PI()*$B9^2/4)*(($B9/4)^(2/3))*SQRT(BY$7))</f>
        <v/>
      </c>
      <c r="BZ9" s="23">
        <f>IF(OR($B$4&lt;=0,$B9&lt;=0),0,(1/$B$4)*(PI()*$B9^2/4)*(($B9/4)^(2/3))*SQRT(BZ$7))</f>
        <v/>
      </c>
      <c r="CA9" s="23">
        <f>IF(OR($B$4&lt;=0,$B9&lt;=0),0,(1/$B$4)*(PI()*$B9^2/4)*(($B9/4)^(2/3))*SQRT(CA$7))</f>
        <v/>
      </c>
      <c r="CB9" s="23">
        <f>IF(OR($B$4&lt;=0,$B9&lt;=0),0,(1/$B$4)*(PI()*$B9^2/4)*(($B9/4)^(2/3))*SQRT(CB$7))</f>
        <v/>
      </c>
    </row>
    <row r="10">
      <c r="A10" s="11" t="n">
        <v>250</v>
      </c>
      <c r="B10" s="22">
        <f>A10/1000</f>
        <v/>
      </c>
      <c r="C10" s="23">
        <f>IF(OR($B$4&lt;=0,$B10&lt;=0),0,(1/$B$4)*(PI()*$B10^2/4)*(($B10/4)^(2/3))*SQRT(C$7))</f>
        <v/>
      </c>
      <c r="D10" s="23">
        <f>IF(OR($B$4&lt;=0,$B10&lt;=0),0,(1/$B$4)*(PI()*$B10^2/4)*(($B10/4)^(2/3))*SQRT(D$7))</f>
        <v/>
      </c>
      <c r="E10" s="23">
        <f>IF(OR($B$4&lt;=0,$B10&lt;=0),0,(1/$B$4)*(PI()*$B10^2/4)*(($B10/4)^(2/3))*SQRT(E$7))</f>
        <v/>
      </c>
      <c r="F10" s="23">
        <f>IF(OR($B$4&lt;=0,$B10&lt;=0),0,(1/$B$4)*(PI()*$B10^2/4)*(($B10/4)^(2/3))*SQRT(F$7))</f>
        <v/>
      </c>
      <c r="G10" s="23">
        <f>IF(OR($B$4&lt;=0,$B10&lt;=0),0,(1/$B$4)*(PI()*$B10^2/4)*(($B10/4)^(2/3))*SQRT(G$7))</f>
        <v/>
      </c>
      <c r="H10" s="23">
        <f>IF(OR($B$4&lt;=0,$B10&lt;=0),0,(1/$B$4)*(PI()*$B10^2/4)*(($B10/4)^(2/3))*SQRT(H$7))</f>
        <v/>
      </c>
      <c r="I10" s="23">
        <f>IF(OR($B$4&lt;=0,$B10&lt;=0),0,(1/$B$4)*(PI()*$B10^2/4)*(($B10/4)^(2/3))*SQRT(I$7))</f>
        <v/>
      </c>
      <c r="J10" s="23">
        <f>IF(OR($B$4&lt;=0,$B10&lt;=0),0,(1/$B$4)*(PI()*$B10^2/4)*(($B10/4)^(2/3))*SQRT(J$7))</f>
        <v/>
      </c>
      <c r="K10" s="23">
        <f>IF(OR($B$4&lt;=0,$B10&lt;=0),0,(1/$B$4)*(PI()*$B10^2/4)*(($B10/4)^(2/3))*SQRT(K$7))</f>
        <v/>
      </c>
      <c r="L10" s="23">
        <f>IF(OR($B$4&lt;=0,$B10&lt;=0),0,(1/$B$4)*(PI()*$B10^2/4)*(($B10/4)^(2/3))*SQRT(L$7))</f>
        <v/>
      </c>
      <c r="M10" s="23">
        <f>IF(OR($B$4&lt;=0,$B10&lt;=0),0,(1/$B$4)*(PI()*$B10^2/4)*(($B10/4)^(2/3))*SQRT(M$7))</f>
        <v/>
      </c>
      <c r="N10" s="23">
        <f>IF(OR($B$4&lt;=0,$B10&lt;=0),0,(1/$B$4)*(PI()*$B10^2/4)*(($B10/4)^(2/3))*SQRT(N$7))</f>
        <v/>
      </c>
      <c r="O10" s="23">
        <f>IF(OR($B$4&lt;=0,$B10&lt;=0),0,(1/$B$4)*(PI()*$B10^2/4)*(($B10/4)^(2/3))*SQRT(O$7))</f>
        <v/>
      </c>
      <c r="P10" s="23">
        <f>IF(OR($B$4&lt;=0,$B10&lt;=0),0,(1/$B$4)*(PI()*$B10^2/4)*(($B10/4)^(2/3))*SQRT(P$7))</f>
        <v/>
      </c>
      <c r="Q10" s="23">
        <f>IF(OR($B$4&lt;=0,$B10&lt;=0),0,(1/$B$4)*(PI()*$B10^2/4)*(($B10/4)^(2/3))*SQRT(Q$7))</f>
        <v/>
      </c>
      <c r="R10" s="23">
        <f>IF(OR($B$4&lt;=0,$B10&lt;=0),0,(1/$B$4)*(PI()*$B10^2/4)*(($B10/4)^(2/3))*SQRT(R$7))</f>
        <v/>
      </c>
      <c r="S10" s="23">
        <f>IF(OR($B$4&lt;=0,$B10&lt;=0),0,(1/$B$4)*(PI()*$B10^2/4)*(($B10/4)^(2/3))*SQRT(S$7))</f>
        <v/>
      </c>
      <c r="T10" s="23">
        <f>IF(OR($B$4&lt;=0,$B10&lt;=0),0,(1/$B$4)*(PI()*$B10^2/4)*(($B10/4)^(2/3))*SQRT(T$7))</f>
        <v/>
      </c>
      <c r="U10" s="23">
        <f>IF(OR($B$4&lt;=0,$B10&lt;=0),0,(1/$B$4)*(PI()*$B10^2/4)*(($B10/4)^(2/3))*SQRT(U$7))</f>
        <v/>
      </c>
      <c r="V10" s="23">
        <f>IF(OR($B$4&lt;=0,$B10&lt;=0),0,(1/$B$4)*(PI()*$B10^2/4)*(($B10/4)^(2/3))*SQRT(V$7))</f>
        <v/>
      </c>
      <c r="W10" s="23">
        <f>IF(OR($B$4&lt;=0,$B10&lt;=0),0,(1/$B$4)*(PI()*$B10^2/4)*(($B10/4)^(2/3))*SQRT(W$7))</f>
        <v/>
      </c>
      <c r="X10" s="23">
        <f>IF(OR($B$4&lt;=0,$B10&lt;=0),0,(1/$B$4)*(PI()*$B10^2/4)*(($B10/4)^(2/3))*SQRT(X$7))</f>
        <v/>
      </c>
      <c r="Y10" s="23">
        <f>IF(OR($B$4&lt;=0,$B10&lt;=0),0,(1/$B$4)*(PI()*$B10^2/4)*(($B10/4)^(2/3))*SQRT(Y$7))</f>
        <v/>
      </c>
      <c r="Z10" s="23">
        <f>IF(OR($B$4&lt;=0,$B10&lt;=0),0,(1/$B$4)*(PI()*$B10^2/4)*(($B10/4)^(2/3))*SQRT(Z$7))</f>
        <v/>
      </c>
      <c r="AA10" s="23">
        <f>IF(OR($B$4&lt;=0,$B10&lt;=0),0,(1/$B$4)*(PI()*$B10^2/4)*(($B10/4)^(2/3))*SQRT(AA$7))</f>
        <v/>
      </c>
      <c r="AB10" s="23">
        <f>IF(OR($B$4&lt;=0,$B10&lt;=0),0,(1/$B$4)*(PI()*$B10^2/4)*(($B10/4)^(2/3))*SQRT(AB$7))</f>
        <v/>
      </c>
      <c r="AC10" s="23">
        <f>IF(OR($B$4&lt;=0,$B10&lt;=0),0,(1/$B$4)*(PI()*$B10^2/4)*(($B10/4)^(2/3))*SQRT(AC$7))</f>
        <v/>
      </c>
      <c r="AD10" s="23">
        <f>IF(OR($B$4&lt;=0,$B10&lt;=0),0,(1/$B$4)*(PI()*$B10^2/4)*(($B10/4)^(2/3))*SQRT(AD$7))</f>
        <v/>
      </c>
      <c r="AE10" s="23">
        <f>IF(OR($B$4&lt;=0,$B10&lt;=0),0,(1/$B$4)*(PI()*$B10^2/4)*(($B10/4)^(2/3))*SQRT(AE$7))</f>
        <v/>
      </c>
      <c r="AF10" s="23">
        <f>IF(OR($B$4&lt;=0,$B10&lt;=0),0,(1/$B$4)*(PI()*$B10^2/4)*(($B10/4)^(2/3))*SQRT(AF$7))</f>
        <v/>
      </c>
      <c r="AG10" s="23">
        <f>IF(OR($B$4&lt;=0,$B10&lt;=0),0,(1/$B$4)*(PI()*$B10^2/4)*(($B10/4)^(2/3))*SQRT(AG$7))</f>
        <v/>
      </c>
      <c r="AH10" s="23">
        <f>IF(OR($B$4&lt;=0,$B10&lt;=0),0,(1/$B$4)*(PI()*$B10^2/4)*(($B10/4)^(2/3))*SQRT(AH$7))</f>
        <v/>
      </c>
      <c r="AI10" s="23">
        <f>IF(OR($B$4&lt;=0,$B10&lt;=0),0,(1/$B$4)*(PI()*$B10^2/4)*(($B10/4)^(2/3))*SQRT(AI$7))</f>
        <v/>
      </c>
      <c r="AJ10" s="23">
        <f>IF(OR($B$4&lt;=0,$B10&lt;=0),0,(1/$B$4)*(PI()*$B10^2/4)*(($B10/4)^(2/3))*SQRT(AJ$7))</f>
        <v/>
      </c>
      <c r="AK10" s="23">
        <f>IF(OR($B$4&lt;=0,$B10&lt;=0),0,(1/$B$4)*(PI()*$B10^2/4)*(($B10/4)^(2/3))*SQRT(AK$7))</f>
        <v/>
      </c>
      <c r="AL10" s="23">
        <f>IF(OR($B$4&lt;=0,$B10&lt;=0),0,(1/$B$4)*(PI()*$B10^2/4)*(($B10/4)^(2/3))*SQRT(AL$7))</f>
        <v/>
      </c>
      <c r="AM10" s="23">
        <f>IF(OR($B$4&lt;=0,$B10&lt;=0),0,(1/$B$4)*(PI()*$B10^2/4)*(($B10/4)^(2/3))*SQRT(AM$7))</f>
        <v/>
      </c>
      <c r="AN10" s="23">
        <f>IF(OR($B$4&lt;=0,$B10&lt;=0),0,(1/$B$4)*(PI()*$B10^2/4)*(($B10/4)^(2/3))*SQRT(AN$7))</f>
        <v/>
      </c>
      <c r="AO10" s="23">
        <f>IF(OR($B$4&lt;=0,$B10&lt;=0),0,(1/$B$4)*(PI()*$B10^2/4)*(($B10/4)^(2/3))*SQRT(AO$7))</f>
        <v/>
      </c>
      <c r="AP10" s="23">
        <f>IF(OR($B$4&lt;=0,$B10&lt;=0),0,(1/$B$4)*(PI()*$B10^2/4)*(($B10/4)^(2/3))*SQRT(AP$7))</f>
        <v/>
      </c>
      <c r="AQ10" s="23">
        <f>IF(OR($B$4&lt;=0,$B10&lt;=0),0,(1/$B$4)*(PI()*$B10^2/4)*(($B10/4)^(2/3))*SQRT(AQ$7))</f>
        <v/>
      </c>
      <c r="AR10" s="23">
        <f>IF(OR($B$4&lt;=0,$B10&lt;=0),0,(1/$B$4)*(PI()*$B10^2/4)*(($B10/4)^(2/3))*SQRT(AR$7))</f>
        <v/>
      </c>
      <c r="AS10" s="23">
        <f>IF(OR($B$4&lt;=0,$B10&lt;=0),0,(1/$B$4)*(PI()*$B10^2/4)*(($B10/4)^(2/3))*SQRT(AS$7))</f>
        <v/>
      </c>
      <c r="AT10" s="23">
        <f>IF(OR($B$4&lt;=0,$B10&lt;=0),0,(1/$B$4)*(PI()*$B10^2/4)*(($B10/4)^(2/3))*SQRT(AT$7))</f>
        <v/>
      </c>
      <c r="AU10" s="23">
        <f>IF(OR($B$4&lt;=0,$B10&lt;=0),0,(1/$B$4)*(PI()*$B10^2/4)*(($B10/4)^(2/3))*SQRT(AU$7))</f>
        <v/>
      </c>
      <c r="AV10" s="23">
        <f>IF(OR($B$4&lt;=0,$B10&lt;=0),0,(1/$B$4)*(PI()*$B10^2/4)*(($B10/4)^(2/3))*SQRT(AV$7))</f>
        <v/>
      </c>
      <c r="AW10" s="23">
        <f>IF(OR($B$4&lt;=0,$B10&lt;=0),0,(1/$B$4)*(PI()*$B10^2/4)*(($B10/4)^(2/3))*SQRT(AW$7))</f>
        <v/>
      </c>
      <c r="AX10" s="23">
        <f>IF(OR($B$4&lt;=0,$B10&lt;=0),0,(1/$B$4)*(PI()*$B10^2/4)*(($B10/4)^(2/3))*SQRT(AX$7))</f>
        <v/>
      </c>
      <c r="AY10" s="23">
        <f>IF(OR($B$4&lt;=0,$B10&lt;=0),0,(1/$B$4)*(PI()*$B10^2/4)*(($B10/4)^(2/3))*SQRT(AY$7))</f>
        <v/>
      </c>
      <c r="AZ10" s="23">
        <f>IF(OR($B$4&lt;=0,$B10&lt;=0),0,(1/$B$4)*(PI()*$B10^2/4)*(($B10/4)^(2/3))*SQRT(AZ$7))</f>
        <v/>
      </c>
      <c r="BA10" s="23">
        <f>IF(OR($B$4&lt;=0,$B10&lt;=0),0,(1/$B$4)*(PI()*$B10^2/4)*(($B10/4)^(2/3))*SQRT(BA$7))</f>
        <v/>
      </c>
      <c r="BB10" s="23">
        <f>IF(OR($B$4&lt;=0,$B10&lt;=0),0,(1/$B$4)*(PI()*$B10^2/4)*(($B10/4)^(2/3))*SQRT(BB$7))</f>
        <v/>
      </c>
      <c r="BC10" s="23">
        <f>IF(OR($B$4&lt;=0,$B10&lt;=0),0,(1/$B$4)*(PI()*$B10^2/4)*(($B10/4)^(2/3))*SQRT(BC$7))</f>
        <v/>
      </c>
      <c r="BD10" s="23">
        <f>IF(OR($B$4&lt;=0,$B10&lt;=0),0,(1/$B$4)*(PI()*$B10^2/4)*(($B10/4)^(2/3))*SQRT(BD$7))</f>
        <v/>
      </c>
      <c r="BE10" s="23">
        <f>IF(OR($B$4&lt;=0,$B10&lt;=0),0,(1/$B$4)*(PI()*$B10^2/4)*(($B10/4)^(2/3))*SQRT(BE$7))</f>
        <v/>
      </c>
      <c r="BF10" s="23">
        <f>IF(OR($B$4&lt;=0,$B10&lt;=0),0,(1/$B$4)*(PI()*$B10^2/4)*(($B10/4)^(2/3))*SQRT(BF$7))</f>
        <v/>
      </c>
      <c r="BG10" s="23">
        <f>IF(OR($B$4&lt;=0,$B10&lt;=0),0,(1/$B$4)*(PI()*$B10^2/4)*(($B10/4)^(2/3))*SQRT(BG$7))</f>
        <v/>
      </c>
      <c r="BH10" s="23">
        <f>IF(OR($B$4&lt;=0,$B10&lt;=0),0,(1/$B$4)*(PI()*$B10^2/4)*(($B10/4)^(2/3))*SQRT(BH$7))</f>
        <v/>
      </c>
      <c r="BI10" s="23">
        <f>IF(OR($B$4&lt;=0,$B10&lt;=0),0,(1/$B$4)*(PI()*$B10^2/4)*(($B10/4)^(2/3))*SQRT(BI$7))</f>
        <v/>
      </c>
      <c r="BJ10" s="23">
        <f>IF(OR($B$4&lt;=0,$B10&lt;=0),0,(1/$B$4)*(PI()*$B10^2/4)*(($B10/4)^(2/3))*SQRT(BJ$7))</f>
        <v/>
      </c>
      <c r="BK10" s="23">
        <f>IF(OR($B$4&lt;=0,$B10&lt;=0),0,(1/$B$4)*(PI()*$B10^2/4)*(($B10/4)^(2/3))*SQRT(BK$7))</f>
        <v/>
      </c>
      <c r="BL10" s="23">
        <f>IF(OR($B$4&lt;=0,$B10&lt;=0),0,(1/$B$4)*(PI()*$B10^2/4)*(($B10/4)^(2/3))*SQRT(BL$7))</f>
        <v/>
      </c>
      <c r="BM10" s="23">
        <f>IF(OR($B$4&lt;=0,$B10&lt;=0),0,(1/$B$4)*(PI()*$B10^2/4)*(($B10/4)^(2/3))*SQRT(BM$7))</f>
        <v/>
      </c>
      <c r="BN10" s="23">
        <f>IF(OR($B$4&lt;=0,$B10&lt;=0),0,(1/$B$4)*(PI()*$B10^2/4)*(($B10/4)^(2/3))*SQRT(BN$7))</f>
        <v/>
      </c>
      <c r="BO10" s="23">
        <f>IF(OR($B$4&lt;=0,$B10&lt;=0),0,(1/$B$4)*(PI()*$B10^2/4)*(($B10/4)^(2/3))*SQRT(BO$7))</f>
        <v/>
      </c>
      <c r="BP10" s="23">
        <f>IF(OR($B$4&lt;=0,$B10&lt;=0),0,(1/$B$4)*(PI()*$B10^2/4)*(($B10/4)^(2/3))*SQRT(BP$7))</f>
        <v/>
      </c>
      <c r="BQ10" s="23">
        <f>IF(OR($B$4&lt;=0,$B10&lt;=0),0,(1/$B$4)*(PI()*$B10^2/4)*(($B10/4)^(2/3))*SQRT(BQ$7))</f>
        <v/>
      </c>
      <c r="BR10" s="23">
        <f>IF(OR($B$4&lt;=0,$B10&lt;=0),0,(1/$B$4)*(PI()*$B10^2/4)*(($B10/4)^(2/3))*SQRT(BR$7))</f>
        <v/>
      </c>
      <c r="BS10" s="23">
        <f>IF(OR($B$4&lt;=0,$B10&lt;=0),0,(1/$B$4)*(PI()*$B10^2/4)*(($B10/4)^(2/3))*SQRT(BS$7))</f>
        <v/>
      </c>
      <c r="BT10" s="23">
        <f>IF(OR($B$4&lt;=0,$B10&lt;=0),0,(1/$B$4)*(PI()*$B10^2/4)*(($B10/4)^(2/3))*SQRT(BT$7))</f>
        <v/>
      </c>
      <c r="BU10" s="23">
        <f>IF(OR($B$4&lt;=0,$B10&lt;=0),0,(1/$B$4)*(PI()*$B10^2/4)*(($B10/4)^(2/3))*SQRT(BU$7))</f>
        <v/>
      </c>
      <c r="BV10" s="23">
        <f>IF(OR($B$4&lt;=0,$B10&lt;=0),0,(1/$B$4)*(PI()*$B10^2/4)*(($B10/4)^(2/3))*SQRT(BV$7))</f>
        <v/>
      </c>
      <c r="BW10" s="23">
        <f>IF(OR($B$4&lt;=0,$B10&lt;=0),0,(1/$B$4)*(PI()*$B10^2/4)*(($B10/4)^(2/3))*SQRT(BW$7))</f>
        <v/>
      </c>
      <c r="BX10" s="23">
        <f>IF(OR($B$4&lt;=0,$B10&lt;=0),0,(1/$B$4)*(PI()*$B10^2/4)*(($B10/4)^(2/3))*SQRT(BX$7))</f>
        <v/>
      </c>
      <c r="BY10" s="23">
        <f>IF(OR($B$4&lt;=0,$B10&lt;=0),0,(1/$B$4)*(PI()*$B10^2/4)*(($B10/4)^(2/3))*SQRT(BY$7))</f>
        <v/>
      </c>
      <c r="BZ10" s="23">
        <f>IF(OR($B$4&lt;=0,$B10&lt;=0),0,(1/$B$4)*(PI()*$B10^2/4)*(($B10/4)^(2/3))*SQRT(BZ$7))</f>
        <v/>
      </c>
      <c r="CA10" s="23">
        <f>IF(OR($B$4&lt;=0,$B10&lt;=0),0,(1/$B$4)*(PI()*$B10^2/4)*(($B10/4)^(2/3))*SQRT(CA$7))</f>
        <v/>
      </c>
      <c r="CB10" s="23">
        <f>IF(OR($B$4&lt;=0,$B10&lt;=0),0,(1/$B$4)*(PI()*$B10^2/4)*(($B10/4)^(2/3))*SQRT(CB$7))</f>
        <v/>
      </c>
    </row>
    <row r="11">
      <c r="A11" s="11" t="n">
        <v>300</v>
      </c>
      <c r="B11" s="22">
        <f>A11/1000</f>
        <v/>
      </c>
      <c r="C11" s="23">
        <f>IF(OR($B$4&lt;=0,$B11&lt;=0),0,(1/$B$4)*(PI()*$B11^2/4)*(($B11/4)^(2/3))*SQRT(C$7))</f>
        <v/>
      </c>
      <c r="D11" s="23">
        <f>IF(OR($B$4&lt;=0,$B11&lt;=0),0,(1/$B$4)*(PI()*$B11^2/4)*(($B11/4)^(2/3))*SQRT(D$7))</f>
        <v/>
      </c>
      <c r="E11" s="23">
        <f>IF(OR($B$4&lt;=0,$B11&lt;=0),0,(1/$B$4)*(PI()*$B11^2/4)*(($B11/4)^(2/3))*SQRT(E$7))</f>
        <v/>
      </c>
      <c r="F11" s="23">
        <f>IF(OR($B$4&lt;=0,$B11&lt;=0),0,(1/$B$4)*(PI()*$B11^2/4)*(($B11/4)^(2/3))*SQRT(F$7))</f>
        <v/>
      </c>
      <c r="G11" s="23">
        <f>IF(OR($B$4&lt;=0,$B11&lt;=0),0,(1/$B$4)*(PI()*$B11^2/4)*(($B11/4)^(2/3))*SQRT(G$7))</f>
        <v/>
      </c>
      <c r="H11" s="23">
        <f>IF(OR($B$4&lt;=0,$B11&lt;=0),0,(1/$B$4)*(PI()*$B11^2/4)*(($B11/4)^(2/3))*SQRT(H$7))</f>
        <v/>
      </c>
      <c r="I11" s="23">
        <f>IF(OR($B$4&lt;=0,$B11&lt;=0),0,(1/$B$4)*(PI()*$B11^2/4)*(($B11/4)^(2/3))*SQRT(I$7))</f>
        <v/>
      </c>
      <c r="J11" s="23">
        <f>IF(OR($B$4&lt;=0,$B11&lt;=0),0,(1/$B$4)*(PI()*$B11^2/4)*(($B11/4)^(2/3))*SQRT(J$7))</f>
        <v/>
      </c>
      <c r="K11" s="23">
        <f>IF(OR($B$4&lt;=0,$B11&lt;=0),0,(1/$B$4)*(PI()*$B11^2/4)*(($B11/4)^(2/3))*SQRT(K$7))</f>
        <v/>
      </c>
      <c r="L11" s="23">
        <f>IF(OR($B$4&lt;=0,$B11&lt;=0),0,(1/$B$4)*(PI()*$B11^2/4)*(($B11/4)^(2/3))*SQRT(L$7))</f>
        <v/>
      </c>
      <c r="M11" s="23">
        <f>IF(OR($B$4&lt;=0,$B11&lt;=0),0,(1/$B$4)*(PI()*$B11^2/4)*(($B11/4)^(2/3))*SQRT(M$7))</f>
        <v/>
      </c>
      <c r="N11" s="23">
        <f>IF(OR($B$4&lt;=0,$B11&lt;=0),0,(1/$B$4)*(PI()*$B11^2/4)*(($B11/4)^(2/3))*SQRT(N$7))</f>
        <v/>
      </c>
      <c r="O11" s="23">
        <f>IF(OR($B$4&lt;=0,$B11&lt;=0),0,(1/$B$4)*(PI()*$B11^2/4)*(($B11/4)^(2/3))*SQRT(O$7))</f>
        <v/>
      </c>
      <c r="P11" s="23">
        <f>IF(OR($B$4&lt;=0,$B11&lt;=0),0,(1/$B$4)*(PI()*$B11^2/4)*(($B11/4)^(2/3))*SQRT(P$7))</f>
        <v/>
      </c>
      <c r="Q11" s="23">
        <f>IF(OR($B$4&lt;=0,$B11&lt;=0),0,(1/$B$4)*(PI()*$B11^2/4)*(($B11/4)^(2/3))*SQRT(Q$7))</f>
        <v/>
      </c>
      <c r="R11" s="23">
        <f>IF(OR($B$4&lt;=0,$B11&lt;=0),0,(1/$B$4)*(PI()*$B11^2/4)*(($B11/4)^(2/3))*SQRT(R$7))</f>
        <v/>
      </c>
      <c r="S11" s="23">
        <f>IF(OR($B$4&lt;=0,$B11&lt;=0),0,(1/$B$4)*(PI()*$B11^2/4)*(($B11/4)^(2/3))*SQRT(S$7))</f>
        <v/>
      </c>
      <c r="T11" s="23">
        <f>IF(OR($B$4&lt;=0,$B11&lt;=0),0,(1/$B$4)*(PI()*$B11^2/4)*(($B11/4)^(2/3))*SQRT(T$7))</f>
        <v/>
      </c>
      <c r="U11" s="23">
        <f>IF(OR($B$4&lt;=0,$B11&lt;=0),0,(1/$B$4)*(PI()*$B11^2/4)*(($B11/4)^(2/3))*SQRT(U$7))</f>
        <v/>
      </c>
      <c r="V11" s="23">
        <f>IF(OR($B$4&lt;=0,$B11&lt;=0),0,(1/$B$4)*(PI()*$B11^2/4)*(($B11/4)^(2/3))*SQRT(V$7))</f>
        <v/>
      </c>
      <c r="W11" s="23">
        <f>IF(OR($B$4&lt;=0,$B11&lt;=0),0,(1/$B$4)*(PI()*$B11^2/4)*(($B11/4)^(2/3))*SQRT(W$7))</f>
        <v/>
      </c>
      <c r="X11" s="23">
        <f>IF(OR($B$4&lt;=0,$B11&lt;=0),0,(1/$B$4)*(PI()*$B11^2/4)*(($B11/4)^(2/3))*SQRT(X$7))</f>
        <v/>
      </c>
      <c r="Y11" s="23">
        <f>IF(OR($B$4&lt;=0,$B11&lt;=0),0,(1/$B$4)*(PI()*$B11^2/4)*(($B11/4)^(2/3))*SQRT(Y$7))</f>
        <v/>
      </c>
      <c r="Z11" s="23">
        <f>IF(OR($B$4&lt;=0,$B11&lt;=0),0,(1/$B$4)*(PI()*$B11^2/4)*(($B11/4)^(2/3))*SQRT(Z$7))</f>
        <v/>
      </c>
      <c r="AA11" s="23">
        <f>IF(OR($B$4&lt;=0,$B11&lt;=0),0,(1/$B$4)*(PI()*$B11^2/4)*(($B11/4)^(2/3))*SQRT(AA$7))</f>
        <v/>
      </c>
      <c r="AB11" s="23">
        <f>IF(OR($B$4&lt;=0,$B11&lt;=0),0,(1/$B$4)*(PI()*$B11^2/4)*(($B11/4)^(2/3))*SQRT(AB$7))</f>
        <v/>
      </c>
      <c r="AC11" s="23">
        <f>IF(OR($B$4&lt;=0,$B11&lt;=0),0,(1/$B$4)*(PI()*$B11^2/4)*(($B11/4)^(2/3))*SQRT(AC$7))</f>
        <v/>
      </c>
      <c r="AD11" s="23">
        <f>IF(OR($B$4&lt;=0,$B11&lt;=0),0,(1/$B$4)*(PI()*$B11^2/4)*(($B11/4)^(2/3))*SQRT(AD$7))</f>
        <v/>
      </c>
      <c r="AE11" s="23">
        <f>IF(OR($B$4&lt;=0,$B11&lt;=0),0,(1/$B$4)*(PI()*$B11^2/4)*(($B11/4)^(2/3))*SQRT(AE$7))</f>
        <v/>
      </c>
      <c r="AF11" s="23">
        <f>IF(OR($B$4&lt;=0,$B11&lt;=0),0,(1/$B$4)*(PI()*$B11^2/4)*(($B11/4)^(2/3))*SQRT(AF$7))</f>
        <v/>
      </c>
      <c r="AG11" s="23">
        <f>IF(OR($B$4&lt;=0,$B11&lt;=0),0,(1/$B$4)*(PI()*$B11^2/4)*(($B11/4)^(2/3))*SQRT(AG$7))</f>
        <v/>
      </c>
      <c r="AH11" s="23">
        <f>IF(OR($B$4&lt;=0,$B11&lt;=0),0,(1/$B$4)*(PI()*$B11^2/4)*(($B11/4)^(2/3))*SQRT(AH$7))</f>
        <v/>
      </c>
      <c r="AI11" s="23">
        <f>IF(OR($B$4&lt;=0,$B11&lt;=0),0,(1/$B$4)*(PI()*$B11^2/4)*(($B11/4)^(2/3))*SQRT(AI$7))</f>
        <v/>
      </c>
      <c r="AJ11" s="23">
        <f>IF(OR($B$4&lt;=0,$B11&lt;=0),0,(1/$B$4)*(PI()*$B11^2/4)*(($B11/4)^(2/3))*SQRT(AJ$7))</f>
        <v/>
      </c>
      <c r="AK11" s="23">
        <f>IF(OR($B$4&lt;=0,$B11&lt;=0),0,(1/$B$4)*(PI()*$B11^2/4)*(($B11/4)^(2/3))*SQRT(AK$7))</f>
        <v/>
      </c>
      <c r="AL11" s="23">
        <f>IF(OR($B$4&lt;=0,$B11&lt;=0),0,(1/$B$4)*(PI()*$B11^2/4)*(($B11/4)^(2/3))*SQRT(AL$7))</f>
        <v/>
      </c>
      <c r="AM11" s="23">
        <f>IF(OR($B$4&lt;=0,$B11&lt;=0),0,(1/$B$4)*(PI()*$B11^2/4)*(($B11/4)^(2/3))*SQRT(AM$7))</f>
        <v/>
      </c>
      <c r="AN11" s="23">
        <f>IF(OR($B$4&lt;=0,$B11&lt;=0),0,(1/$B$4)*(PI()*$B11^2/4)*(($B11/4)^(2/3))*SQRT(AN$7))</f>
        <v/>
      </c>
      <c r="AO11" s="23">
        <f>IF(OR($B$4&lt;=0,$B11&lt;=0),0,(1/$B$4)*(PI()*$B11^2/4)*(($B11/4)^(2/3))*SQRT(AO$7))</f>
        <v/>
      </c>
      <c r="AP11" s="23">
        <f>IF(OR($B$4&lt;=0,$B11&lt;=0),0,(1/$B$4)*(PI()*$B11^2/4)*(($B11/4)^(2/3))*SQRT(AP$7))</f>
        <v/>
      </c>
      <c r="AQ11" s="23">
        <f>IF(OR($B$4&lt;=0,$B11&lt;=0),0,(1/$B$4)*(PI()*$B11^2/4)*(($B11/4)^(2/3))*SQRT(AQ$7))</f>
        <v/>
      </c>
      <c r="AR11" s="23">
        <f>IF(OR($B$4&lt;=0,$B11&lt;=0),0,(1/$B$4)*(PI()*$B11^2/4)*(($B11/4)^(2/3))*SQRT(AR$7))</f>
        <v/>
      </c>
      <c r="AS11" s="23">
        <f>IF(OR($B$4&lt;=0,$B11&lt;=0),0,(1/$B$4)*(PI()*$B11^2/4)*(($B11/4)^(2/3))*SQRT(AS$7))</f>
        <v/>
      </c>
      <c r="AT11" s="23">
        <f>IF(OR($B$4&lt;=0,$B11&lt;=0),0,(1/$B$4)*(PI()*$B11^2/4)*(($B11/4)^(2/3))*SQRT(AT$7))</f>
        <v/>
      </c>
      <c r="AU11" s="23">
        <f>IF(OR($B$4&lt;=0,$B11&lt;=0),0,(1/$B$4)*(PI()*$B11^2/4)*(($B11/4)^(2/3))*SQRT(AU$7))</f>
        <v/>
      </c>
      <c r="AV11" s="23">
        <f>IF(OR($B$4&lt;=0,$B11&lt;=0),0,(1/$B$4)*(PI()*$B11^2/4)*(($B11/4)^(2/3))*SQRT(AV$7))</f>
        <v/>
      </c>
      <c r="AW11" s="23">
        <f>IF(OR($B$4&lt;=0,$B11&lt;=0),0,(1/$B$4)*(PI()*$B11^2/4)*(($B11/4)^(2/3))*SQRT(AW$7))</f>
        <v/>
      </c>
      <c r="AX11" s="23">
        <f>IF(OR($B$4&lt;=0,$B11&lt;=0),0,(1/$B$4)*(PI()*$B11^2/4)*(($B11/4)^(2/3))*SQRT(AX$7))</f>
        <v/>
      </c>
      <c r="AY11" s="23">
        <f>IF(OR($B$4&lt;=0,$B11&lt;=0),0,(1/$B$4)*(PI()*$B11^2/4)*(($B11/4)^(2/3))*SQRT(AY$7))</f>
        <v/>
      </c>
      <c r="AZ11" s="23">
        <f>IF(OR($B$4&lt;=0,$B11&lt;=0),0,(1/$B$4)*(PI()*$B11^2/4)*(($B11/4)^(2/3))*SQRT(AZ$7))</f>
        <v/>
      </c>
      <c r="BA11" s="23">
        <f>IF(OR($B$4&lt;=0,$B11&lt;=0),0,(1/$B$4)*(PI()*$B11^2/4)*(($B11/4)^(2/3))*SQRT(BA$7))</f>
        <v/>
      </c>
      <c r="BB11" s="23">
        <f>IF(OR($B$4&lt;=0,$B11&lt;=0),0,(1/$B$4)*(PI()*$B11^2/4)*(($B11/4)^(2/3))*SQRT(BB$7))</f>
        <v/>
      </c>
      <c r="BC11" s="23">
        <f>IF(OR($B$4&lt;=0,$B11&lt;=0),0,(1/$B$4)*(PI()*$B11^2/4)*(($B11/4)^(2/3))*SQRT(BC$7))</f>
        <v/>
      </c>
      <c r="BD11" s="23">
        <f>IF(OR($B$4&lt;=0,$B11&lt;=0),0,(1/$B$4)*(PI()*$B11^2/4)*(($B11/4)^(2/3))*SQRT(BD$7))</f>
        <v/>
      </c>
      <c r="BE11" s="23">
        <f>IF(OR($B$4&lt;=0,$B11&lt;=0),0,(1/$B$4)*(PI()*$B11^2/4)*(($B11/4)^(2/3))*SQRT(BE$7))</f>
        <v/>
      </c>
      <c r="BF11" s="23">
        <f>IF(OR($B$4&lt;=0,$B11&lt;=0),0,(1/$B$4)*(PI()*$B11^2/4)*(($B11/4)^(2/3))*SQRT(BF$7))</f>
        <v/>
      </c>
      <c r="BG11" s="23">
        <f>IF(OR($B$4&lt;=0,$B11&lt;=0),0,(1/$B$4)*(PI()*$B11^2/4)*(($B11/4)^(2/3))*SQRT(BG$7))</f>
        <v/>
      </c>
      <c r="BH11" s="23">
        <f>IF(OR($B$4&lt;=0,$B11&lt;=0),0,(1/$B$4)*(PI()*$B11^2/4)*(($B11/4)^(2/3))*SQRT(BH$7))</f>
        <v/>
      </c>
      <c r="BI11" s="23">
        <f>IF(OR($B$4&lt;=0,$B11&lt;=0),0,(1/$B$4)*(PI()*$B11^2/4)*(($B11/4)^(2/3))*SQRT(BI$7))</f>
        <v/>
      </c>
      <c r="BJ11" s="23">
        <f>IF(OR($B$4&lt;=0,$B11&lt;=0),0,(1/$B$4)*(PI()*$B11^2/4)*(($B11/4)^(2/3))*SQRT(BJ$7))</f>
        <v/>
      </c>
      <c r="BK11" s="23">
        <f>IF(OR($B$4&lt;=0,$B11&lt;=0),0,(1/$B$4)*(PI()*$B11^2/4)*(($B11/4)^(2/3))*SQRT(BK$7))</f>
        <v/>
      </c>
      <c r="BL11" s="23">
        <f>IF(OR($B$4&lt;=0,$B11&lt;=0),0,(1/$B$4)*(PI()*$B11^2/4)*(($B11/4)^(2/3))*SQRT(BL$7))</f>
        <v/>
      </c>
      <c r="BM11" s="23">
        <f>IF(OR($B$4&lt;=0,$B11&lt;=0),0,(1/$B$4)*(PI()*$B11^2/4)*(($B11/4)^(2/3))*SQRT(BM$7))</f>
        <v/>
      </c>
      <c r="BN11" s="23">
        <f>IF(OR($B$4&lt;=0,$B11&lt;=0),0,(1/$B$4)*(PI()*$B11^2/4)*(($B11/4)^(2/3))*SQRT(BN$7))</f>
        <v/>
      </c>
      <c r="BO11" s="23">
        <f>IF(OR($B$4&lt;=0,$B11&lt;=0),0,(1/$B$4)*(PI()*$B11^2/4)*(($B11/4)^(2/3))*SQRT(BO$7))</f>
        <v/>
      </c>
      <c r="BP11" s="23">
        <f>IF(OR($B$4&lt;=0,$B11&lt;=0),0,(1/$B$4)*(PI()*$B11^2/4)*(($B11/4)^(2/3))*SQRT(BP$7))</f>
        <v/>
      </c>
      <c r="BQ11" s="23">
        <f>IF(OR($B$4&lt;=0,$B11&lt;=0),0,(1/$B$4)*(PI()*$B11^2/4)*(($B11/4)^(2/3))*SQRT(BQ$7))</f>
        <v/>
      </c>
      <c r="BR11" s="23">
        <f>IF(OR($B$4&lt;=0,$B11&lt;=0),0,(1/$B$4)*(PI()*$B11^2/4)*(($B11/4)^(2/3))*SQRT(BR$7))</f>
        <v/>
      </c>
      <c r="BS11" s="23">
        <f>IF(OR($B$4&lt;=0,$B11&lt;=0),0,(1/$B$4)*(PI()*$B11^2/4)*(($B11/4)^(2/3))*SQRT(BS$7))</f>
        <v/>
      </c>
      <c r="BT11" s="23">
        <f>IF(OR($B$4&lt;=0,$B11&lt;=0),0,(1/$B$4)*(PI()*$B11^2/4)*(($B11/4)^(2/3))*SQRT(BT$7))</f>
        <v/>
      </c>
      <c r="BU11" s="23">
        <f>IF(OR($B$4&lt;=0,$B11&lt;=0),0,(1/$B$4)*(PI()*$B11^2/4)*(($B11/4)^(2/3))*SQRT(BU$7))</f>
        <v/>
      </c>
      <c r="BV11" s="23">
        <f>IF(OR($B$4&lt;=0,$B11&lt;=0),0,(1/$B$4)*(PI()*$B11^2/4)*(($B11/4)^(2/3))*SQRT(BV$7))</f>
        <v/>
      </c>
      <c r="BW11" s="23">
        <f>IF(OR($B$4&lt;=0,$B11&lt;=0),0,(1/$B$4)*(PI()*$B11^2/4)*(($B11/4)^(2/3))*SQRT(BW$7))</f>
        <v/>
      </c>
      <c r="BX11" s="23">
        <f>IF(OR($B$4&lt;=0,$B11&lt;=0),0,(1/$B$4)*(PI()*$B11^2/4)*(($B11/4)^(2/3))*SQRT(BX$7))</f>
        <v/>
      </c>
      <c r="BY11" s="23">
        <f>IF(OR($B$4&lt;=0,$B11&lt;=0),0,(1/$B$4)*(PI()*$B11^2/4)*(($B11/4)^(2/3))*SQRT(BY$7))</f>
        <v/>
      </c>
      <c r="BZ11" s="23">
        <f>IF(OR($B$4&lt;=0,$B11&lt;=0),0,(1/$B$4)*(PI()*$B11^2/4)*(($B11/4)^(2/3))*SQRT(BZ$7))</f>
        <v/>
      </c>
      <c r="CA11" s="23">
        <f>IF(OR($B$4&lt;=0,$B11&lt;=0),0,(1/$B$4)*(PI()*$B11^2/4)*(($B11/4)^(2/3))*SQRT(CA$7))</f>
        <v/>
      </c>
      <c r="CB11" s="23">
        <f>IF(OR($B$4&lt;=0,$B11&lt;=0),0,(1/$B$4)*(PI()*$B11^2/4)*(($B11/4)^(2/3))*SQRT(CB$7))</f>
        <v/>
      </c>
    </row>
    <row r="12">
      <c r="A12" s="11" t="n">
        <v>375</v>
      </c>
      <c r="B12" s="22">
        <f>A12/1000</f>
        <v/>
      </c>
      <c r="C12" s="23">
        <f>IF(OR($B$4&lt;=0,$B12&lt;=0),0,(1/$B$4)*(PI()*$B12^2/4)*(($B12/4)^(2/3))*SQRT(C$7))</f>
        <v/>
      </c>
      <c r="D12" s="23">
        <f>IF(OR($B$4&lt;=0,$B12&lt;=0),0,(1/$B$4)*(PI()*$B12^2/4)*(($B12/4)^(2/3))*SQRT(D$7))</f>
        <v/>
      </c>
      <c r="E12" s="23">
        <f>IF(OR($B$4&lt;=0,$B12&lt;=0),0,(1/$B$4)*(PI()*$B12^2/4)*(($B12/4)^(2/3))*SQRT(E$7))</f>
        <v/>
      </c>
      <c r="F12" s="23">
        <f>IF(OR($B$4&lt;=0,$B12&lt;=0),0,(1/$B$4)*(PI()*$B12^2/4)*(($B12/4)^(2/3))*SQRT(F$7))</f>
        <v/>
      </c>
      <c r="G12" s="23">
        <f>IF(OR($B$4&lt;=0,$B12&lt;=0),0,(1/$B$4)*(PI()*$B12^2/4)*(($B12/4)^(2/3))*SQRT(G$7))</f>
        <v/>
      </c>
      <c r="H12" s="23">
        <f>IF(OR($B$4&lt;=0,$B12&lt;=0),0,(1/$B$4)*(PI()*$B12^2/4)*(($B12/4)^(2/3))*SQRT(H$7))</f>
        <v/>
      </c>
      <c r="I12" s="23">
        <f>IF(OR($B$4&lt;=0,$B12&lt;=0),0,(1/$B$4)*(PI()*$B12^2/4)*(($B12/4)^(2/3))*SQRT(I$7))</f>
        <v/>
      </c>
      <c r="J12" s="23">
        <f>IF(OR($B$4&lt;=0,$B12&lt;=0),0,(1/$B$4)*(PI()*$B12^2/4)*(($B12/4)^(2/3))*SQRT(J$7))</f>
        <v/>
      </c>
      <c r="K12" s="23">
        <f>IF(OR($B$4&lt;=0,$B12&lt;=0),0,(1/$B$4)*(PI()*$B12^2/4)*(($B12/4)^(2/3))*SQRT(K$7))</f>
        <v/>
      </c>
      <c r="L12" s="23">
        <f>IF(OR($B$4&lt;=0,$B12&lt;=0),0,(1/$B$4)*(PI()*$B12^2/4)*(($B12/4)^(2/3))*SQRT(L$7))</f>
        <v/>
      </c>
      <c r="M12" s="23">
        <f>IF(OR($B$4&lt;=0,$B12&lt;=0),0,(1/$B$4)*(PI()*$B12^2/4)*(($B12/4)^(2/3))*SQRT(M$7))</f>
        <v/>
      </c>
      <c r="N12" s="23">
        <f>IF(OR($B$4&lt;=0,$B12&lt;=0),0,(1/$B$4)*(PI()*$B12^2/4)*(($B12/4)^(2/3))*SQRT(N$7))</f>
        <v/>
      </c>
      <c r="O12" s="23">
        <f>IF(OR($B$4&lt;=0,$B12&lt;=0),0,(1/$B$4)*(PI()*$B12^2/4)*(($B12/4)^(2/3))*SQRT(O$7))</f>
        <v/>
      </c>
      <c r="P12" s="23">
        <f>IF(OR($B$4&lt;=0,$B12&lt;=0),0,(1/$B$4)*(PI()*$B12^2/4)*(($B12/4)^(2/3))*SQRT(P$7))</f>
        <v/>
      </c>
      <c r="Q12" s="23">
        <f>IF(OR($B$4&lt;=0,$B12&lt;=0),0,(1/$B$4)*(PI()*$B12^2/4)*(($B12/4)^(2/3))*SQRT(Q$7))</f>
        <v/>
      </c>
      <c r="R12" s="23">
        <f>IF(OR($B$4&lt;=0,$B12&lt;=0),0,(1/$B$4)*(PI()*$B12^2/4)*(($B12/4)^(2/3))*SQRT(R$7))</f>
        <v/>
      </c>
      <c r="S12" s="23">
        <f>IF(OR($B$4&lt;=0,$B12&lt;=0),0,(1/$B$4)*(PI()*$B12^2/4)*(($B12/4)^(2/3))*SQRT(S$7))</f>
        <v/>
      </c>
      <c r="T12" s="23">
        <f>IF(OR($B$4&lt;=0,$B12&lt;=0),0,(1/$B$4)*(PI()*$B12^2/4)*(($B12/4)^(2/3))*SQRT(T$7))</f>
        <v/>
      </c>
      <c r="U12" s="23">
        <f>IF(OR($B$4&lt;=0,$B12&lt;=0),0,(1/$B$4)*(PI()*$B12^2/4)*(($B12/4)^(2/3))*SQRT(U$7))</f>
        <v/>
      </c>
      <c r="V12" s="23">
        <f>IF(OR($B$4&lt;=0,$B12&lt;=0),0,(1/$B$4)*(PI()*$B12^2/4)*(($B12/4)^(2/3))*SQRT(V$7))</f>
        <v/>
      </c>
      <c r="W12" s="23">
        <f>IF(OR($B$4&lt;=0,$B12&lt;=0),0,(1/$B$4)*(PI()*$B12^2/4)*(($B12/4)^(2/3))*SQRT(W$7))</f>
        <v/>
      </c>
      <c r="X12" s="23">
        <f>IF(OR($B$4&lt;=0,$B12&lt;=0),0,(1/$B$4)*(PI()*$B12^2/4)*(($B12/4)^(2/3))*SQRT(X$7))</f>
        <v/>
      </c>
      <c r="Y12" s="23">
        <f>IF(OR($B$4&lt;=0,$B12&lt;=0),0,(1/$B$4)*(PI()*$B12^2/4)*(($B12/4)^(2/3))*SQRT(Y$7))</f>
        <v/>
      </c>
      <c r="Z12" s="23">
        <f>IF(OR($B$4&lt;=0,$B12&lt;=0),0,(1/$B$4)*(PI()*$B12^2/4)*(($B12/4)^(2/3))*SQRT(Z$7))</f>
        <v/>
      </c>
      <c r="AA12" s="23">
        <f>IF(OR($B$4&lt;=0,$B12&lt;=0),0,(1/$B$4)*(PI()*$B12^2/4)*(($B12/4)^(2/3))*SQRT(AA$7))</f>
        <v/>
      </c>
      <c r="AB12" s="23">
        <f>IF(OR($B$4&lt;=0,$B12&lt;=0),0,(1/$B$4)*(PI()*$B12^2/4)*(($B12/4)^(2/3))*SQRT(AB$7))</f>
        <v/>
      </c>
      <c r="AC12" s="23">
        <f>IF(OR($B$4&lt;=0,$B12&lt;=0),0,(1/$B$4)*(PI()*$B12^2/4)*(($B12/4)^(2/3))*SQRT(AC$7))</f>
        <v/>
      </c>
      <c r="AD12" s="23">
        <f>IF(OR($B$4&lt;=0,$B12&lt;=0),0,(1/$B$4)*(PI()*$B12^2/4)*(($B12/4)^(2/3))*SQRT(AD$7))</f>
        <v/>
      </c>
      <c r="AE12" s="23">
        <f>IF(OR($B$4&lt;=0,$B12&lt;=0),0,(1/$B$4)*(PI()*$B12^2/4)*(($B12/4)^(2/3))*SQRT(AE$7))</f>
        <v/>
      </c>
      <c r="AF12" s="23">
        <f>IF(OR($B$4&lt;=0,$B12&lt;=0),0,(1/$B$4)*(PI()*$B12^2/4)*(($B12/4)^(2/3))*SQRT(AF$7))</f>
        <v/>
      </c>
      <c r="AG12" s="23">
        <f>IF(OR($B$4&lt;=0,$B12&lt;=0),0,(1/$B$4)*(PI()*$B12^2/4)*(($B12/4)^(2/3))*SQRT(AG$7))</f>
        <v/>
      </c>
      <c r="AH12" s="23">
        <f>IF(OR($B$4&lt;=0,$B12&lt;=0),0,(1/$B$4)*(PI()*$B12^2/4)*(($B12/4)^(2/3))*SQRT(AH$7))</f>
        <v/>
      </c>
      <c r="AI12" s="23">
        <f>IF(OR($B$4&lt;=0,$B12&lt;=0),0,(1/$B$4)*(PI()*$B12^2/4)*(($B12/4)^(2/3))*SQRT(AI$7))</f>
        <v/>
      </c>
      <c r="AJ12" s="23">
        <f>IF(OR($B$4&lt;=0,$B12&lt;=0),0,(1/$B$4)*(PI()*$B12^2/4)*(($B12/4)^(2/3))*SQRT(AJ$7))</f>
        <v/>
      </c>
      <c r="AK12" s="23">
        <f>IF(OR($B$4&lt;=0,$B12&lt;=0),0,(1/$B$4)*(PI()*$B12^2/4)*(($B12/4)^(2/3))*SQRT(AK$7))</f>
        <v/>
      </c>
      <c r="AL12" s="23">
        <f>IF(OR($B$4&lt;=0,$B12&lt;=0),0,(1/$B$4)*(PI()*$B12^2/4)*(($B12/4)^(2/3))*SQRT(AL$7))</f>
        <v/>
      </c>
      <c r="AM12" s="23">
        <f>IF(OR($B$4&lt;=0,$B12&lt;=0),0,(1/$B$4)*(PI()*$B12^2/4)*(($B12/4)^(2/3))*SQRT(AM$7))</f>
        <v/>
      </c>
      <c r="AN12" s="23">
        <f>IF(OR($B$4&lt;=0,$B12&lt;=0),0,(1/$B$4)*(PI()*$B12^2/4)*(($B12/4)^(2/3))*SQRT(AN$7))</f>
        <v/>
      </c>
      <c r="AO12" s="23">
        <f>IF(OR($B$4&lt;=0,$B12&lt;=0),0,(1/$B$4)*(PI()*$B12^2/4)*(($B12/4)^(2/3))*SQRT(AO$7))</f>
        <v/>
      </c>
      <c r="AP12" s="23">
        <f>IF(OR($B$4&lt;=0,$B12&lt;=0),0,(1/$B$4)*(PI()*$B12^2/4)*(($B12/4)^(2/3))*SQRT(AP$7))</f>
        <v/>
      </c>
      <c r="AQ12" s="23">
        <f>IF(OR($B$4&lt;=0,$B12&lt;=0),0,(1/$B$4)*(PI()*$B12^2/4)*(($B12/4)^(2/3))*SQRT(AQ$7))</f>
        <v/>
      </c>
      <c r="AR12" s="23">
        <f>IF(OR($B$4&lt;=0,$B12&lt;=0),0,(1/$B$4)*(PI()*$B12^2/4)*(($B12/4)^(2/3))*SQRT(AR$7))</f>
        <v/>
      </c>
      <c r="AS12" s="23">
        <f>IF(OR($B$4&lt;=0,$B12&lt;=0),0,(1/$B$4)*(PI()*$B12^2/4)*(($B12/4)^(2/3))*SQRT(AS$7))</f>
        <v/>
      </c>
      <c r="AT12" s="23">
        <f>IF(OR($B$4&lt;=0,$B12&lt;=0),0,(1/$B$4)*(PI()*$B12^2/4)*(($B12/4)^(2/3))*SQRT(AT$7))</f>
        <v/>
      </c>
      <c r="AU12" s="23">
        <f>IF(OR($B$4&lt;=0,$B12&lt;=0),0,(1/$B$4)*(PI()*$B12^2/4)*(($B12/4)^(2/3))*SQRT(AU$7))</f>
        <v/>
      </c>
      <c r="AV12" s="23">
        <f>IF(OR($B$4&lt;=0,$B12&lt;=0),0,(1/$B$4)*(PI()*$B12^2/4)*(($B12/4)^(2/3))*SQRT(AV$7))</f>
        <v/>
      </c>
      <c r="AW12" s="23">
        <f>IF(OR($B$4&lt;=0,$B12&lt;=0),0,(1/$B$4)*(PI()*$B12^2/4)*(($B12/4)^(2/3))*SQRT(AW$7))</f>
        <v/>
      </c>
      <c r="AX12" s="23">
        <f>IF(OR($B$4&lt;=0,$B12&lt;=0),0,(1/$B$4)*(PI()*$B12^2/4)*(($B12/4)^(2/3))*SQRT(AX$7))</f>
        <v/>
      </c>
      <c r="AY12" s="23">
        <f>IF(OR($B$4&lt;=0,$B12&lt;=0),0,(1/$B$4)*(PI()*$B12^2/4)*(($B12/4)^(2/3))*SQRT(AY$7))</f>
        <v/>
      </c>
      <c r="AZ12" s="23">
        <f>IF(OR($B$4&lt;=0,$B12&lt;=0),0,(1/$B$4)*(PI()*$B12^2/4)*(($B12/4)^(2/3))*SQRT(AZ$7))</f>
        <v/>
      </c>
      <c r="BA12" s="23">
        <f>IF(OR($B$4&lt;=0,$B12&lt;=0),0,(1/$B$4)*(PI()*$B12^2/4)*(($B12/4)^(2/3))*SQRT(BA$7))</f>
        <v/>
      </c>
      <c r="BB12" s="23">
        <f>IF(OR($B$4&lt;=0,$B12&lt;=0),0,(1/$B$4)*(PI()*$B12^2/4)*(($B12/4)^(2/3))*SQRT(BB$7))</f>
        <v/>
      </c>
      <c r="BC12" s="23">
        <f>IF(OR($B$4&lt;=0,$B12&lt;=0),0,(1/$B$4)*(PI()*$B12^2/4)*(($B12/4)^(2/3))*SQRT(BC$7))</f>
        <v/>
      </c>
      <c r="BD12" s="23">
        <f>IF(OR($B$4&lt;=0,$B12&lt;=0),0,(1/$B$4)*(PI()*$B12^2/4)*(($B12/4)^(2/3))*SQRT(BD$7))</f>
        <v/>
      </c>
      <c r="BE12" s="23">
        <f>IF(OR($B$4&lt;=0,$B12&lt;=0),0,(1/$B$4)*(PI()*$B12^2/4)*(($B12/4)^(2/3))*SQRT(BE$7))</f>
        <v/>
      </c>
      <c r="BF12" s="23">
        <f>IF(OR($B$4&lt;=0,$B12&lt;=0),0,(1/$B$4)*(PI()*$B12^2/4)*(($B12/4)^(2/3))*SQRT(BF$7))</f>
        <v/>
      </c>
      <c r="BG12" s="23">
        <f>IF(OR($B$4&lt;=0,$B12&lt;=0),0,(1/$B$4)*(PI()*$B12^2/4)*(($B12/4)^(2/3))*SQRT(BG$7))</f>
        <v/>
      </c>
      <c r="BH12" s="23">
        <f>IF(OR($B$4&lt;=0,$B12&lt;=0),0,(1/$B$4)*(PI()*$B12^2/4)*(($B12/4)^(2/3))*SQRT(BH$7))</f>
        <v/>
      </c>
      <c r="BI12" s="23">
        <f>IF(OR($B$4&lt;=0,$B12&lt;=0),0,(1/$B$4)*(PI()*$B12^2/4)*(($B12/4)^(2/3))*SQRT(BI$7))</f>
        <v/>
      </c>
      <c r="BJ12" s="23">
        <f>IF(OR($B$4&lt;=0,$B12&lt;=0),0,(1/$B$4)*(PI()*$B12^2/4)*(($B12/4)^(2/3))*SQRT(BJ$7))</f>
        <v/>
      </c>
      <c r="BK12" s="23">
        <f>IF(OR($B$4&lt;=0,$B12&lt;=0),0,(1/$B$4)*(PI()*$B12^2/4)*(($B12/4)^(2/3))*SQRT(BK$7))</f>
        <v/>
      </c>
      <c r="BL12" s="23">
        <f>IF(OR($B$4&lt;=0,$B12&lt;=0),0,(1/$B$4)*(PI()*$B12^2/4)*(($B12/4)^(2/3))*SQRT(BL$7))</f>
        <v/>
      </c>
      <c r="BM12" s="23">
        <f>IF(OR($B$4&lt;=0,$B12&lt;=0),0,(1/$B$4)*(PI()*$B12^2/4)*(($B12/4)^(2/3))*SQRT(BM$7))</f>
        <v/>
      </c>
      <c r="BN12" s="23">
        <f>IF(OR($B$4&lt;=0,$B12&lt;=0),0,(1/$B$4)*(PI()*$B12^2/4)*(($B12/4)^(2/3))*SQRT(BN$7))</f>
        <v/>
      </c>
      <c r="BO12" s="23">
        <f>IF(OR($B$4&lt;=0,$B12&lt;=0),0,(1/$B$4)*(PI()*$B12^2/4)*(($B12/4)^(2/3))*SQRT(BO$7))</f>
        <v/>
      </c>
      <c r="BP12" s="23">
        <f>IF(OR($B$4&lt;=0,$B12&lt;=0),0,(1/$B$4)*(PI()*$B12^2/4)*(($B12/4)^(2/3))*SQRT(BP$7))</f>
        <v/>
      </c>
      <c r="BQ12" s="23">
        <f>IF(OR($B$4&lt;=0,$B12&lt;=0),0,(1/$B$4)*(PI()*$B12^2/4)*(($B12/4)^(2/3))*SQRT(BQ$7))</f>
        <v/>
      </c>
      <c r="BR12" s="23">
        <f>IF(OR($B$4&lt;=0,$B12&lt;=0),0,(1/$B$4)*(PI()*$B12^2/4)*(($B12/4)^(2/3))*SQRT(BR$7))</f>
        <v/>
      </c>
      <c r="BS12" s="23">
        <f>IF(OR($B$4&lt;=0,$B12&lt;=0),0,(1/$B$4)*(PI()*$B12^2/4)*(($B12/4)^(2/3))*SQRT(BS$7))</f>
        <v/>
      </c>
      <c r="BT12" s="23">
        <f>IF(OR($B$4&lt;=0,$B12&lt;=0),0,(1/$B$4)*(PI()*$B12^2/4)*(($B12/4)^(2/3))*SQRT(BT$7))</f>
        <v/>
      </c>
      <c r="BU12" s="23">
        <f>IF(OR($B$4&lt;=0,$B12&lt;=0),0,(1/$B$4)*(PI()*$B12^2/4)*(($B12/4)^(2/3))*SQRT(BU$7))</f>
        <v/>
      </c>
      <c r="BV12" s="23">
        <f>IF(OR($B$4&lt;=0,$B12&lt;=0),0,(1/$B$4)*(PI()*$B12^2/4)*(($B12/4)^(2/3))*SQRT(BV$7))</f>
        <v/>
      </c>
      <c r="BW12" s="23">
        <f>IF(OR($B$4&lt;=0,$B12&lt;=0),0,(1/$B$4)*(PI()*$B12^2/4)*(($B12/4)^(2/3))*SQRT(BW$7))</f>
        <v/>
      </c>
      <c r="BX12" s="23">
        <f>IF(OR($B$4&lt;=0,$B12&lt;=0),0,(1/$B$4)*(PI()*$B12^2/4)*(($B12/4)^(2/3))*SQRT(BX$7))</f>
        <v/>
      </c>
      <c r="BY12" s="23">
        <f>IF(OR($B$4&lt;=0,$B12&lt;=0),0,(1/$B$4)*(PI()*$B12^2/4)*(($B12/4)^(2/3))*SQRT(BY$7))</f>
        <v/>
      </c>
      <c r="BZ12" s="23">
        <f>IF(OR($B$4&lt;=0,$B12&lt;=0),0,(1/$B$4)*(PI()*$B12^2/4)*(($B12/4)^(2/3))*SQRT(BZ$7))</f>
        <v/>
      </c>
      <c r="CA12" s="23">
        <f>IF(OR($B$4&lt;=0,$B12&lt;=0),0,(1/$B$4)*(PI()*$B12^2/4)*(($B12/4)^(2/3))*SQRT(CA$7))</f>
        <v/>
      </c>
      <c r="CB12" s="23">
        <f>IF(OR($B$4&lt;=0,$B12&lt;=0),0,(1/$B$4)*(PI()*$B12^2/4)*(($B12/4)^(2/3))*SQRT(CB$7))</f>
        <v/>
      </c>
    </row>
    <row r="13">
      <c r="A13" s="11" t="n">
        <v>450</v>
      </c>
      <c r="B13" s="22">
        <f>A13/1000</f>
        <v/>
      </c>
      <c r="C13" s="23">
        <f>IF(OR($B$4&lt;=0,$B13&lt;=0),0,(1/$B$4)*(PI()*$B13^2/4)*(($B13/4)^(2/3))*SQRT(C$7))</f>
        <v/>
      </c>
      <c r="D13" s="23">
        <f>IF(OR($B$4&lt;=0,$B13&lt;=0),0,(1/$B$4)*(PI()*$B13^2/4)*(($B13/4)^(2/3))*SQRT(D$7))</f>
        <v/>
      </c>
      <c r="E13" s="23">
        <f>IF(OR($B$4&lt;=0,$B13&lt;=0),0,(1/$B$4)*(PI()*$B13^2/4)*(($B13/4)^(2/3))*SQRT(E$7))</f>
        <v/>
      </c>
      <c r="F13" s="23">
        <f>IF(OR($B$4&lt;=0,$B13&lt;=0),0,(1/$B$4)*(PI()*$B13^2/4)*(($B13/4)^(2/3))*SQRT(F$7))</f>
        <v/>
      </c>
      <c r="G13" s="23">
        <f>IF(OR($B$4&lt;=0,$B13&lt;=0),0,(1/$B$4)*(PI()*$B13^2/4)*(($B13/4)^(2/3))*SQRT(G$7))</f>
        <v/>
      </c>
      <c r="H13" s="23">
        <f>IF(OR($B$4&lt;=0,$B13&lt;=0),0,(1/$B$4)*(PI()*$B13^2/4)*(($B13/4)^(2/3))*SQRT(H$7))</f>
        <v/>
      </c>
      <c r="I13" s="23">
        <f>IF(OR($B$4&lt;=0,$B13&lt;=0),0,(1/$B$4)*(PI()*$B13^2/4)*(($B13/4)^(2/3))*SQRT(I$7))</f>
        <v/>
      </c>
      <c r="J13" s="23">
        <f>IF(OR($B$4&lt;=0,$B13&lt;=0),0,(1/$B$4)*(PI()*$B13^2/4)*(($B13/4)^(2/3))*SQRT(J$7))</f>
        <v/>
      </c>
      <c r="K13" s="23">
        <f>IF(OR($B$4&lt;=0,$B13&lt;=0),0,(1/$B$4)*(PI()*$B13^2/4)*(($B13/4)^(2/3))*SQRT(K$7))</f>
        <v/>
      </c>
      <c r="L13" s="23">
        <f>IF(OR($B$4&lt;=0,$B13&lt;=0),0,(1/$B$4)*(PI()*$B13^2/4)*(($B13/4)^(2/3))*SQRT(L$7))</f>
        <v/>
      </c>
      <c r="M13" s="23">
        <f>IF(OR($B$4&lt;=0,$B13&lt;=0),0,(1/$B$4)*(PI()*$B13^2/4)*(($B13/4)^(2/3))*SQRT(M$7))</f>
        <v/>
      </c>
      <c r="N13" s="23">
        <f>IF(OR($B$4&lt;=0,$B13&lt;=0),0,(1/$B$4)*(PI()*$B13^2/4)*(($B13/4)^(2/3))*SQRT(N$7))</f>
        <v/>
      </c>
      <c r="O13" s="23">
        <f>IF(OR($B$4&lt;=0,$B13&lt;=0),0,(1/$B$4)*(PI()*$B13^2/4)*(($B13/4)^(2/3))*SQRT(O$7))</f>
        <v/>
      </c>
      <c r="P13" s="23">
        <f>IF(OR($B$4&lt;=0,$B13&lt;=0),0,(1/$B$4)*(PI()*$B13^2/4)*(($B13/4)^(2/3))*SQRT(P$7))</f>
        <v/>
      </c>
      <c r="Q13" s="23">
        <f>IF(OR($B$4&lt;=0,$B13&lt;=0),0,(1/$B$4)*(PI()*$B13^2/4)*(($B13/4)^(2/3))*SQRT(Q$7))</f>
        <v/>
      </c>
      <c r="R13" s="23">
        <f>IF(OR($B$4&lt;=0,$B13&lt;=0),0,(1/$B$4)*(PI()*$B13^2/4)*(($B13/4)^(2/3))*SQRT(R$7))</f>
        <v/>
      </c>
      <c r="S13" s="23">
        <f>IF(OR($B$4&lt;=0,$B13&lt;=0),0,(1/$B$4)*(PI()*$B13^2/4)*(($B13/4)^(2/3))*SQRT(S$7))</f>
        <v/>
      </c>
      <c r="T13" s="23">
        <f>IF(OR($B$4&lt;=0,$B13&lt;=0),0,(1/$B$4)*(PI()*$B13^2/4)*(($B13/4)^(2/3))*SQRT(T$7))</f>
        <v/>
      </c>
      <c r="U13" s="23">
        <f>IF(OR($B$4&lt;=0,$B13&lt;=0),0,(1/$B$4)*(PI()*$B13^2/4)*(($B13/4)^(2/3))*SQRT(U$7))</f>
        <v/>
      </c>
      <c r="V13" s="23">
        <f>IF(OR($B$4&lt;=0,$B13&lt;=0),0,(1/$B$4)*(PI()*$B13^2/4)*(($B13/4)^(2/3))*SQRT(V$7))</f>
        <v/>
      </c>
      <c r="W13" s="23">
        <f>IF(OR($B$4&lt;=0,$B13&lt;=0),0,(1/$B$4)*(PI()*$B13^2/4)*(($B13/4)^(2/3))*SQRT(W$7))</f>
        <v/>
      </c>
      <c r="X13" s="23">
        <f>IF(OR($B$4&lt;=0,$B13&lt;=0),0,(1/$B$4)*(PI()*$B13^2/4)*(($B13/4)^(2/3))*SQRT(X$7))</f>
        <v/>
      </c>
      <c r="Y13" s="23">
        <f>IF(OR($B$4&lt;=0,$B13&lt;=0),0,(1/$B$4)*(PI()*$B13^2/4)*(($B13/4)^(2/3))*SQRT(Y$7))</f>
        <v/>
      </c>
      <c r="Z13" s="23">
        <f>IF(OR($B$4&lt;=0,$B13&lt;=0),0,(1/$B$4)*(PI()*$B13^2/4)*(($B13/4)^(2/3))*SQRT(Z$7))</f>
        <v/>
      </c>
      <c r="AA13" s="23">
        <f>IF(OR($B$4&lt;=0,$B13&lt;=0),0,(1/$B$4)*(PI()*$B13^2/4)*(($B13/4)^(2/3))*SQRT(AA$7))</f>
        <v/>
      </c>
      <c r="AB13" s="23">
        <f>IF(OR($B$4&lt;=0,$B13&lt;=0),0,(1/$B$4)*(PI()*$B13^2/4)*(($B13/4)^(2/3))*SQRT(AB$7))</f>
        <v/>
      </c>
      <c r="AC13" s="23">
        <f>IF(OR($B$4&lt;=0,$B13&lt;=0),0,(1/$B$4)*(PI()*$B13^2/4)*(($B13/4)^(2/3))*SQRT(AC$7))</f>
        <v/>
      </c>
      <c r="AD13" s="23">
        <f>IF(OR($B$4&lt;=0,$B13&lt;=0),0,(1/$B$4)*(PI()*$B13^2/4)*(($B13/4)^(2/3))*SQRT(AD$7))</f>
        <v/>
      </c>
      <c r="AE13" s="23">
        <f>IF(OR($B$4&lt;=0,$B13&lt;=0),0,(1/$B$4)*(PI()*$B13^2/4)*(($B13/4)^(2/3))*SQRT(AE$7))</f>
        <v/>
      </c>
      <c r="AF13" s="23">
        <f>IF(OR($B$4&lt;=0,$B13&lt;=0),0,(1/$B$4)*(PI()*$B13^2/4)*(($B13/4)^(2/3))*SQRT(AF$7))</f>
        <v/>
      </c>
      <c r="AG13" s="23">
        <f>IF(OR($B$4&lt;=0,$B13&lt;=0),0,(1/$B$4)*(PI()*$B13^2/4)*(($B13/4)^(2/3))*SQRT(AG$7))</f>
        <v/>
      </c>
      <c r="AH13" s="23">
        <f>IF(OR($B$4&lt;=0,$B13&lt;=0),0,(1/$B$4)*(PI()*$B13^2/4)*(($B13/4)^(2/3))*SQRT(AH$7))</f>
        <v/>
      </c>
      <c r="AI13" s="23">
        <f>IF(OR($B$4&lt;=0,$B13&lt;=0),0,(1/$B$4)*(PI()*$B13^2/4)*(($B13/4)^(2/3))*SQRT(AI$7))</f>
        <v/>
      </c>
      <c r="AJ13" s="23">
        <f>IF(OR($B$4&lt;=0,$B13&lt;=0),0,(1/$B$4)*(PI()*$B13^2/4)*(($B13/4)^(2/3))*SQRT(AJ$7))</f>
        <v/>
      </c>
      <c r="AK13" s="23">
        <f>IF(OR($B$4&lt;=0,$B13&lt;=0),0,(1/$B$4)*(PI()*$B13^2/4)*(($B13/4)^(2/3))*SQRT(AK$7))</f>
        <v/>
      </c>
      <c r="AL13" s="23">
        <f>IF(OR($B$4&lt;=0,$B13&lt;=0),0,(1/$B$4)*(PI()*$B13^2/4)*(($B13/4)^(2/3))*SQRT(AL$7))</f>
        <v/>
      </c>
      <c r="AM13" s="23">
        <f>IF(OR($B$4&lt;=0,$B13&lt;=0),0,(1/$B$4)*(PI()*$B13^2/4)*(($B13/4)^(2/3))*SQRT(AM$7))</f>
        <v/>
      </c>
      <c r="AN13" s="23">
        <f>IF(OR($B$4&lt;=0,$B13&lt;=0),0,(1/$B$4)*(PI()*$B13^2/4)*(($B13/4)^(2/3))*SQRT(AN$7))</f>
        <v/>
      </c>
      <c r="AO13" s="23">
        <f>IF(OR($B$4&lt;=0,$B13&lt;=0),0,(1/$B$4)*(PI()*$B13^2/4)*(($B13/4)^(2/3))*SQRT(AO$7))</f>
        <v/>
      </c>
      <c r="AP13" s="23">
        <f>IF(OR($B$4&lt;=0,$B13&lt;=0),0,(1/$B$4)*(PI()*$B13^2/4)*(($B13/4)^(2/3))*SQRT(AP$7))</f>
        <v/>
      </c>
      <c r="AQ13" s="23">
        <f>IF(OR($B$4&lt;=0,$B13&lt;=0),0,(1/$B$4)*(PI()*$B13^2/4)*(($B13/4)^(2/3))*SQRT(AQ$7))</f>
        <v/>
      </c>
      <c r="AR13" s="23">
        <f>IF(OR($B$4&lt;=0,$B13&lt;=0),0,(1/$B$4)*(PI()*$B13^2/4)*(($B13/4)^(2/3))*SQRT(AR$7))</f>
        <v/>
      </c>
      <c r="AS13" s="23">
        <f>IF(OR($B$4&lt;=0,$B13&lt;=0),0,(1/$B$4)*(PI()*$B13^2/4)*(($B13/4)^(2/3))*SQRT(AS$7))</f>
        <v/>
      </c>
      <c r="AT13" s="23">
        <f>IF(OR($B$4&lt;=0,$B13&lt;=0),0,(1/$B$4)*(PI()*$B13^2/4)*(($B13/4)^(2/3))*SQRT(AT$7))</f>
        <v/>
      </c>
      <c r="AU13" s="23">
        <f>IF(OR($B$4&lt;=0,$B13&lt;=0),0,(1/$B$4)*(PI()*$B13^2/4)*(($B13/4)^(2/3))*SQRT(AU$7))</f>
        <v/>
      </c>
      <c r="AV13" s="23">
        <f>IF(OR($B$4&lt;=0,$B13&lt;=0),0,(1/$B$4)*(PI()*$B13^2/4)*(($B13/4)^(2/3))*SQRT(AV$7))</f>
        <v/>
      </c>
      <c r="AW13" s="23">
        <f>IF(OR($B$4&lt;=0,$B13&lt;=0),0,(1/$B$4)*(PI()*$B13^2/4)*(($B13/4)^(2/3))*SQRT(AW$7))</f>
        <v/>
      </c>
      <c r="AX13" s="23">
        <f>IF(OR($B$4&lt;=0,$B13&lt;=0),0,(1/$B$4)*(PI()*$B13^2/4)*(($B13/4)^(2/3))*SQRT(AX$7))</f>
        <v/>
      </c>
      <c r="AY13" s="23">
        <f>IF(OR($B$4&lt;=0,$B13&lt;=0),0,(1/$B$4)*(PI()*$B13^2/4)*(($B13/4)^(2/3))*SQRT(AY$7))</f>
        <v/>
      </c>
      <c r="AZ13" s="23">
        <f>IF(OR($B$4&lt;=0,$B13&lt;=0),0,(1/$B$4)*(PI()*$B13^2/4)*(($B13/4)^(2/3))*SQRT(AZ$7))</f>
        <v/>
      </c>
      <c r="BA13" s="23">
        <f>IF(OR($B$4&lt;=0,$B13&lt;=0),0,(1/$B$4)*(PI()*$B13^2/4)*(($B13/4)^(2/3))*SQRT(BA$7))</f>
        <v/>
      </c>
      <c r="BB13" s="23">
        <f>IF(OR($B$4&lt;=0,$B13&lt;=0),0,(1/$B$4)*(PI()*$B13^2/4)*(($B13/4)^(2/3))*SQRT(BB$7))</f>
        <v/>
      </c>
      <c r="BC13" s="23">
        <f>IF(OR($B$4&lt;=0,$B13&lt;=0),0,(1/$B$4)*(PI()*$B13^2/4)*(($B13/4)^(2/3))*SQRT(BC$7))</f>
        <v/>
      </c>
      <c r="BD13" s="23">
        <f>IF(OR($B$4&lt;=0,$B13&lt;=0),0,(1/$B$4)*(PI()*$B13^2/4)*(($B13/4)^(2/3))*SQRT(BD$7))</f>
        <v/>
      </c>
      <c r="BE13" s="23">
        <f>IF(OR($B$4&lt;=0,$B13&lt;=0),0,(1/$B$4)*(PI()*$B13^2/4)*(($B13/4)^(2/3))*SQRT(BE$7))</f>
        <v/>
      </c>
      <c r="BF13" s="23">
        <f>IF(OR($B$4&lt;=0,$B13&lt;=0),0,(1/$B$4)*(PI()*$B13^2/4)*(($B13/4)^(2/3))*SQRT(BF$7))</f>
        <v/>
      </c>
      <c r="BG13" s="23">
        <f>IF(OR($B$4&lt;=0,$B13&lt;=0),0,(1/$B$4)*(PI()*$B13^2/4)*(($B13/4)^(2/3))*SQRT(BG$7))</f>
        <v/>
      </c>
      <c r="BH13" s="23">
        <f>IF(OR($B$4&lt;=0,$B13&lt;=0),0,(1/$B$4)*(PI()*$B13^2/4)*(($B13/4)^(2/3))*SQRT(BH$7))</f>
        <v/>
      </c>
      <c r="BI13" s="23">
        <f>IF(OR($B$4&lt;=0,$B13&lt;=0),0,(1/$B$4)*(PI()*$B13^2/4)*(($B13/4)^(2/3))*SQRT(BI$7))</f>
        <v/>
      </c>
      <c r="BJ13" s="23">
        <f>IF(OR($B$4&lt;=0,$B13&lt;=0),0,(1/$B$4)*(PI()*$B13^2/4)*(($B13/4)^(2/3))*SQRT(BJ$7))</f>
        <v/>
      </c>
      <c r="BK13" s="23">
        <f>IF(OR($B$4&lt;=0,$B13&lt;=0),0,(1/$B$4)*(PI()*$B13^2/4)*(($B13/4)^(2/3))*SQRT(BK$7))</f>
        <v/>
      </c>
      <c r="BL13" s="23">
        <f>IF(OR($B$4&lt;=0,$B13&lt;=0),0,(1/$B$4)*(PI()*$B13^2/4)*(($B13/4)^(2/3))*SQRT(BL$7))</f>
        <v/>
      </c>
      <c r="BM13" s="23">
        <f>IF(OR($B$4&lt;=0,$B13&lt;=0),0,(1/$B$4)*(PI()*$B13^2/4)*(($B13/4)^(2/3))*SQRT(BM$7))</f>
        <v/>
      </c>
      <c r="BN13" s="23">
        <f>IF(OR($B$4&lt;=0,$B13&lt;=0),0,(1/$B$4)*(PI()*$B13^2/4)*(($B13/4)^(2/3))*SQRT(BN$7))</f>
        <v/>
      </c>
      <c r="BO13" s="23">
        <f>IF(OR($B$4&lt;=0,$B13&lt;=0),0,(1/$B$4)*(PI()*$B13^2/4)*(($B13/4)^(2/3))*SQRT(BO$7))</f>
        <v/>
      </c>
      <c r="BP13" s="23">
        <f>IF(OR($B$4&lt;=0,$B13&lt;=0),0,(1/$B$4)*(PI()*$B13^2/4)*(($B13/4)^(2/3))*SQRT(BP$7))</f>
        <v/>
      </c>
      <c r="BQ13" s="23">
        <f>IF(OR($B$4&lt;=0,$B13&lt;=0),0,(1/$B$4)*(PI()*$B13^2/4)*(($B13/4)^(2/3))*SQRT(BQ$7))</f>
        <v/>
      </c>
      <c r="BR13" s="23">
        <f>IF(OR($B$4&lt;=0,$B13&lt;=0),0,(1/$B$4)*(PI()*$B13^2/4)*(($B13/4)^(2/3))*SQRT(BR$7))</f>
        <v/>
      </c>
      <c r="BS13" s="23">
        <f>IF(OR($B$4&lt;=0,$B13&lt;=0),0,(1/$B$4)*(PI()*$B13^2/4)*(($B13/4)^(2/3))*SQRT(BS$7))</f>
        <v/>
      </c>
      <c r="BT13" s="23">
        <f>IF(OR($B$4&lt;=0,$B13&lt;=0),0,(1/$B$4)*(PI()*$B13^2/4)*(($B13/4)^(2/3))*SQRT(BT$7))</f>
        <v/>
      </c>
      <c r="BU13" s="23">
        <f>IF(OR($B$4&lt;=0,$B13&lt;=0),0,(1/$B$4)*(PI()*$B13^2/4)*(($B13/4)^(2/3))*SQRT(BU$7))</f>
        <v/>
      </c>
      <c r="BV13" s="23">
        <f>IF(OR($B$4&lt;=0,$B13&lt;=0),0,(1/$B$4)*(PI()*$B13^2/4)*(($B13/4)^(2/3))*SQRT(BV$7))</f>
        <v/>
      </c>
      <c r="BW13" s="23">
        <f>IF(OR($B$4&lt;=0,$B13&lt;=0),0,(1/$B$4)*(PI()*$B13^2/4)*(($B13/4)^(2/3))*SQRT(BW$7))</f>
        <v/>
      </c>
      <c r="BX13" s="23">
        <f>IF(OR($B$4&lt;=0,$B13&lt;=0),0,(1/$B$4)*(PI()*$B13^2/4)*(($B13/4)^(2/3))*SQRT(BX$7))</f>
        <v/>
      </c>
      <c r="BY13" s="23">
        <f>IF(OR($B$4&lt;=0,$B13&lt;=0),0,(1/$B$4)*(PI()*$B13^2/4)*(($B13/4)^(2/3))*SQRT(BY$7))</f>
        <v/>
      </c>
      <c r="BZ13" s="23">
        <f>IF(OR($B$4&lt;=0,$B13&lt;=0),0,(1/$B$4)*(PI()*$B13^2/4)*(($B13/4)^(2/3))*SQRT(BZ$7))</f>
        <v/>
      </c>
      <c r="CA13" s="23">
        <f>IF(OR($B$4&lt;=0,$B13&lt;=0),0,(1/$B$4)*(PI()*$B13^2/4)*(($B13/4)^(2/3))*SQRT(CA$7))</f>
        <v/>
      </c>
      <c r="CB13" s="23">
        <f>IF(OR($B$4&lt;=0,$B13&lt;=0),0,(1/$B$4)*(PI()*$B13^2/4)*(($B13/4)^(2/3))*SQRT(CB$7))</f>
        <v/>
      </c>
    </row>
    <row r="14">
      <c r="A14" s="11" t="n">
        <v>525</v>
      </c>
      <c r="B14" s="22">
        <f>A14/1000</f>
        <v/>
      </c>
      <c r="C14" s="23">
        <f>IF(OR($B$4&lt;=0,$B14&lt;=0),0,(1/$B$4)*(PI()*$B14^2/4)*(($B14/4)^(2/3))*SQRT(C$7))</f>
        <v/>
      </c>
      <c r="D14" s="23">
        <f>IF(OR($B$4&lt;=0,$B14&lt;=0),0,(1/$B$4)*(PI()*$B14^2/4)*(($B14/4)^(2/3))*SQRT(D$7))</f>
        <v/>
      </c>
      <c r="E14" s="23">
        <f>IF(OR($B$4&lt;=0,$B14&lt;=0),0,(1/$B$4)*(PI()*$B14^2/4)*(($B14/4)^(2/3))*SQRT(E$7))</f>
        <v/>
      </c>
      <c r="F14" s="23">
        <f>IF(OR($B$4&lt;=0,$B14&lt;=0),0,(1/$B$4)*(PI()*$B14^2/4)*(($B14/4)^(2/3))*SQRT(F$7))</f>
        <v/>
      </c>
      <c r="G14" s="23">
        <f>IF(OR($B$4&lt;=0,$B14&lt;=0),0,(1/$B$4)*(PI()*$B14^2/4)*(($B14/4)^(2/3))*SQRT(G$7))</f>
        <v/>
      </c>
      <c r="H14" s="23">
        <f>IF(OR($B$4&lt;=0,$B14&lt;=0),0,(1/$B$4)*(PI()*$B14^2/4)*(($B14/4)^(2/3))*SQRT(H$7))</f>
        <v/>
      </c>
      <c r="I14" s="23">
        <f>IF(OR($B$4&lt;=0,$B14&lt;=0),0,(1/$B$4)*(PI()*$B14^2/4)*(($B14/4)^(2/3))*SQRT(I$7))</f>
        <v/>
      </c>
      <c r="J14" s="23">
        <f>IF(OR($B$4&lt;=0,$B14&lt;=0),0,(1/$B$4)*(PI()*$B14^2/4)*(($B14/4)^(2/3))*SQRT(J$7))</f>
        <v/>
      </c>
      <c r="K14" s="23">
        <f>IF(OR($B$4&lt;=0,$B14&lt;=0),0,(1/$B$4)*(PI()*$B14^2/4)*(($B14/4)^(2/3))*SQRT(K$7))</f>
        <v/>
      </c>
      <c r="L14" s="23">
        <f>IF(OR($B$4&lt;=0,$B14&lt;=0),0,(1/$B$4)*(PI()*$B14^2/4)*(($B14/4)^(2/3))*SQRT(L$7))</f>
        <v/>
      </c>
      <c r="M14" s="23">
        <f>IF(OR($B$4&lt;=0,$B14&lt;=0),0,(1/$B$4)*(PI()*$B14^2/4)*(($B14/4)^(2/3))*SQRT(M$7))</f>
        <v/>
      </c>
      <c r="N14" s="23">
        <f>IF(OR($B$4&lt;=0,$B14&lt;=0),0,(1/$B$4)*(PI()*$B14^2/4)*(($B14/4)^(2/3))*SQRT(N$7))</f>
        <v/>
      </c>
      <c r="O14" s="23">
        <f>IF(OR($B$4&lt;=0,$B14&lt;=0),0,(1/$B$4)*(PI()*$B14^2/4)*(($B14/4)^(2/3))*SQRT(O$7))</f>
        <v/>
      </c>
      <c r="P14" s="23">
        <f>IF(OR($B$4&lt;=0,$B14&lt;=0),0,(1/$B$4)*(PI()*$B14^2/4)*(($B14/4)^(2/3))*SQRT(P$7))</f>
        <v/>
      </c>
      <c r="Q14" s="23">
        <f>IF(OR($B$4&lt;=0,$B14&lt;=0),0,(1/$B$4)*(PI()*$B14^2/4)*(($B14/4)^(2/3))*SQRT(Q$7))</f>
        <v/>
      </c>
      <c r="R14" s="23">
        <f>IF(OR($B$4&lt;=0,$B14&lt;=0),0,(1/$B$4)*(PI()*$B14^2/4)*(($B14/4)^(2/3))*SQRT(R$7))</f>
        <v/>
      </c>
      <c r="S14" s="23">
        <f>IF(OR($B$4&lt;=0,$B14&lt;=0),0,(1/$B$4)*(PI()*$B14^2/4)*(($B14/4)^(2/3))*SQRT(S$7))</f>
        <v/>
      </c>
      <c r="T14" s="23">
        <f>IF(OR($B$4&lt;=0,$B14&lt;=0),0,(1/$B$4)*(PI()*$B14^2/4)*(($B14/4)^(2/3))*SQRT(T$7))</f>
        <v/>
      </c>
      <c r="U14" s="23">
        <f>IF(OR($B$4&lt;=0,$B14&lt;=0),0,(1/$B$4)*(PI()*$B14^2/4)*(($B14/4)^(2/3))*SQRT(U$7))</f>
        <v/>
      </c>
      <c r="V14" s="23">
        <f>IF(OR($B$4&lt;=0,$B14&lt;=0),0,(1/$B$4)*(PI()*$B14^2/4)*(($B14/4)^(2/3))*SQRT(V$7))</f>
        <v/>
      </c>
      <c r="W14" s="23">
        <f>IF(OR($B$4&lt;=0,$B14&lt;=0),0,(1/$B$4)*(PI()*$B14^2/4)*(($B14/4)^(2/3))*SQRT(W$7))</f>
        <v/>
      </c>
      <c r="X14" s="23">
        <f>IF(OR($B$4&lt;=0,$B14&lt;=0),0,(1/$B$4)*(PI()*$B14^2/4)*(($B14/4)^(2/3))*SQRT(X$7))</f>
        <v/>
      </c>
      <c r="Y14" s="23">
        <f>IF(OR($B$4&lt;=0,$B14&lt;=0),0,(1/$B$4)*(PI()*$B14^2/4)*(($B14/4)^(2/3))*SQRT(Y$7))</f>
        <v/>
      </c>
      <c r="Z14" s="23">
        <f>IF(OR($B$4&lt;=0,$B14&lt;=0),0,(1/$B$4)*(PI()*$B14^2/4)*(($B14/4)^(2/3))*SQRT(Z$7))</f>
        <v/>
      </c>
      <c r="AA14" s="23">
        <f>IF(OR($B$4&lt;=0,$B14&lt;=0),0,(1/$B$4)*(PI()*$B14^2/4)*(($B14/4)^(2/3))*SQRT(AA$7))</f>
        <v/>
      </c>
      <c r="AB14" s="23">
        <f>IF(OR($B$4&lt;=0,$B14&lt;=0),0,(1/$B$4)*(PI()*$B14^2/4)*(($B14/4)^(2/3))*SQRT(AB$7))</f>
        <v/>
      </c>
      <c r="AC14" s="23">
        <f>IF(OR($B$4&lt;=0,$B14&lt;=0),0,(1/$B$4)*(PI()*$B14^2/4)*(($B14/4)^(2/3))*SQRT(AC$7))</f>
        <v/>
      </c>
      <c r="AD14" s="23">
        <f>IF(OR($B$4&lt;=0,$B14&lt;=0),0,(1/$B$4)*(PI()*$B14^2/4)*(($B14/4)^(2/3))*SQRT(AD$7))</f>
        <v/>
      </c>
      <c r="AE14" s="23">
        <f>IF(OR($B$4&lt;=0,$B14&lt;=0),0,(1/$B$4)*(PI()*$B14^2/4)*(($B14/4)^(2/3))*SQRT(AE$7))</f>
        <v/>
      </c>
      <c r="AF14" s="23">
        <f>IF(OR($B$4&lt;=0,$B14&lt;=0),0,(1/$B$4)*(PI()*$B14^2/4)*(($B14/4)^(2/3))*SQRT(AF$7))</f>
        <v/>
      </c>
      <c r="AG14" s="23">
        <f>IF(OR($B$4&lt;=0,$B14&lt;=0),0,(1/$B$4)*(PI()*$B14^2/4)*(($B14/4)^(2/3))*SQRT(AG$7))</f>
        <v/>
      </c>
      <c r="AH14" s="23">
        <f>IF(OR($B$4&lt;=0,$B14&lt;=0),0,(1/$B$4)*(PI()*$B14^2/4)*(($B14/4)^(2/3))*SQRT(AH$7))</f>
        <v/>
      </c>
      <c r="AI14" s="23">
        <f>IF(OR($B$4&lt;=0,$B14&lt;=0),0,(1/$B$4)*(PI()*$B14^2/4)*(($B14/4)^(2/3))*SQRT(AI$7))</f>
        <v/>
      </c>
      <c r="AJ14" s="23">
        <f>IF(OR($B$4&lt;=0,$B14&lt;=0),0,(1/$B$4)*(PI()*$B14^2/4)*(($B14/4)^(2/3))*SQRT(AJ$7))</f>
        <v/>
      </c>
      <c r="AK14" s="23">
        <f>IF(OR($B$4&lt;=0,$B14&lt;=0),0,(1/$B$4)*(PI()*$B14^2/4)*(($B14/4)^(2/3))*SQRT(AK$7))</f>
        <v/>
      </c>
      <c r="AL14" s="23">
        <f>IF(OR($B$4&lt;=0,$B14&lt;=0),0,(1/$B$4)*(PI()*$B14^2/4)*(($B14/4)^(2/3))*SQRT(AL$7))</f>
        <v/>
      </c>
      <c r="AM14" s="23">
        <f>IF(OR($B$4&lt;=0,$B14&lt;=0),0,(1/$B$4)*(PI()*$B14^2/4)*(($B14/4)^(2/3))*SQRT(AM$7))</f>
        <v/>
      </c>
      <c r="AN14" s="23">
        <f>IF(OR($B$4&lt;=0,$B14&lt;=0),0,(1/$B$4)*(PI()*$B14^2/4)*(($B14/4)^(2/3))*SQRT(AN$7))</f>
        <v/>
      </c>
      <c r="AO14" s="23">
        <f>IF(OR($B$4&lt;=0,$B14&lt;=0),0,(1/$B$4)*(PI()*$B14^2/4)*(($B14/4)^(2/3))*SQRT(AO$7))</f>
        <v/>
      </c>
      <c r="AP14" s="23">
        <f>IF(OR($B$4&lt;=0,$B14&lt;=0),0,(1/$B$4)*(PI()*$B14^2/4)*(($B14/4)^(2/3))*SQRT(AP$7))</f>
        <v/>
      </c>
      <c r="AQ14" s="23">
        <f>IF(OR($B$4&lt;=0,$B14&lt;=0),0,(1/$B$4)*(PI()*$B14^2/4)*(($B14/4)^(2/3))*SQRT(AQ$7))</f>
        <v/>
      </c>
      <c r="AR14" s="23">
        <f>IF(OR($B$4&lt;=0,$B14&lt;=0),0,(1/$B$4)*(PI()*$B14^2/4)*(($B14/4)^(2/3))*SQRT(AR$7))</f>
        <v/>
      </c>
      <c r="AS14" s="23">
        <f>IF(OR($B$4&lt;=0,$B14&lt;=0),0,(1/$B$4)*(PI()*$B14^2/4)*(($B14/4)^(2/3))*SQRT(AS$7))</f>
        <v/>
      </c>
      <c r="AT14" s="23">
        <f>IF(OR($B$4&lt;=0,$B14&lt;=0),0,(1/$B$4)*(PI()*$B14^2/4)*(($B14/4)^(2/3))*SQRT(AT$7))</f>
        <v/>
      </c>
      <c r="AU14" s="23">
        <f>IF(OR($B$4&lt;=0,$B14&lt;=0),0,(1/$B$4)*(PI()*$B14^2/4)*(($B14/4)^(2/3))*SQRT(AU$7))</f>
        <v/>
      </c>
      <c r="AV14" s="23">
        <f>IF(OR($B$4&lt;=0,$B14&lt;=0),0,(1/$B$4)*(PI()*$B14^2/4)*(($B14/4)^(2/3))*SQRT(AV$7))</f>
        <v/>
      </c>
      <c r="AW14" s="23">
        <f>IF(OR($B$4&lt;=0,$B14&lt;=0),0,(1/$B$4)*(PI()*$B14^2/4)*(($B14/4)^(2/3))*SQRT(AW$7))</f>
        <v/>
      </c>
      <c r="AX14" s="23">
        <f>IF(OR($B$4&lt;=0,$B14&lt;=0),0,(1/$B$4)*(PI()*$B14^2/4)*(($B14/4)^(2/3))*SQRT(AX$7))</f>
        <v/>
      </c>
      <c r="AY14" s="23">
        <f>IF(OR($B$4&lt;=0,$B14&lt;=0),0,(1/$B$4)*(PI()*$B14^2/4)*(($B14/4)^(2/3))*SQRT(AY$7))</f>
        <v/>
      </c>
      <c r="AZ14" s="23">
        <f>IF(OR($B$4&lt;=0,$B14&lt;=0),0,(1/$B$4)*(PI()*$B14^2/4)*(($B14/4)^(2/3))*SQRT(AZ$7))</f>
        <v/>
      </c>
      <c r="BA14" s="23">
        <f>IF(OR($B$4&lt;=0,$B14&lt;=0),0,(1/$B$4)*(PI()*$B14^2/4)*(($B14/4)^(2/3))*SQRT(BA$7))</f>
        <v/>
      </c>
      <c r="BB14" s="23">
        <f>IF(OR($B$4&lt;=0,$B14&lt;=0),0,(1/$B$4)*(PI()*$B14^2/4)*(($B14/4)^(2/3))*SQRT(BB$7))</f>
        <v/>
      </c>
      <c r="BC14" s="23">
        <f>IF(OR($B$4&lt;=0,$B14&lt;=0),0,(1/$B$4)*(PI()*$B14^2/4)*(($B14/4)^(2/3))*SQRT(BC$7))</f>
        <v/>
      </c>
      <c r="BD14" s="23">
        <f>IF(OR($B$4&lt;=0,$B14&lt;=0),0,(1/$B$4)*(PI()*$B14^2/4)*(($B14/4)^(2/3))*SQRT(BD$7))</f>
        <v/>
      </c>
      <c r="BE14" s="23">
        <f>IF(OR($B$4&lt;=0,$B14&lt;=0),0,(1/$B$4)*(PI()*$B14^2/4)*(($B14/4)^(2/3))*SQRT(BE$7))</f>
        <v/>
      </c>
      <c r="BF14" s="23">
        <f>IF(OR($B$4&lt;=0,$B14&lt;=0),0,(1/$B$4)*(PI()*$B14^2/4)*(($B14/4)^(2/3))*SQRT(BF$7))</f>
        <v/>
      </c>
      <c r="BG14" s="23">
        <f>IF(OR($B$4&lt;=0,$B14&lt;=0),0,(1/$B$4)*(PI()*$B14^2/4)*(($B14/4)^(2/3))*SQRT(BG$7))</f>
        <v/>
      </c>
      <c r="BH14" s="23">
        <f>IF(OR($B$4&lt;=0,$B14&lt;=0),0,(1/$B$4)*(PI()*$B14^2/4)*(($B14/4)^(2/3))*SQRT(BH$7))</f>
        <v/>
      </c>
      <c r="BI14" s="23">
        <f>IF(OR($B$4&lt;=0,$B14&lt;=0),0,(1/$B$4)*(PI()*$B14^2/4)*(($B14/4)^(2/3))*SQRT(BI$7))</f>
        <v/>
      </c>
      <c r="BJ14" s="23">
        <f>IF(OR($B$4&lt;=0,$B14&lt;=0),0,(1/$B$4)*(PI()*$B14^2/4)*(($B14/4)^(2/3))*SQRT(BJ$7))</f>
        <v/>
      </c>
      <c r="BK14" s="23">
        <f>IF(OR($B$4&lt;=0,$B14&lt;=0),0,(1/$B$4)*(PI()*$B14^2/4)*(($B14/4)^(2/3))*SQRT(BK$7))</f>
        <v/>
      </c>
      <c r="BL14" s="23">
        <f>IF(OR($B$4&lt;=0,$B14&lt;=0),0,(1/$B$4)*(PI()*$B14^2/4)*(($B14/4)^(2/3))*SQRT(BL$7))</f>
        <v/>
      </c>
      <c r="BM14" s="23">
        <f>IF(OR($B$4&lt;=0,$B14&lt;=0),0,(1/$B$4)*(PI()*$B14^2/4)*(($B14/4)^(2/3))*SQRT(BM$7))</f>
        <v/>
      </c>
      <c r="BN14" s="23">
        <f>IF(OR($B$4&lt;=0,$B14&lt;=0),0,(1/$B$4)*(PI()*$B14^2/4)*(($B14/4)^(2/3))*SQRT(BN$7))</f>
        <v/>
      </c>
      <c r="BO14" s="23">
        <f>IF(OR($B$4&lt;=0,$B14&lt;=0),0,(1/$B$4)*(PI()*$B14^2/4)*(($B14/4)^(2/3))*SQRT(BO$7))</f>
        <v/>
      </c>
      <c r="BP14" s="23">
        <f>IF(OR($B$4&lt;=0,$B14&lt;=0),0,(1/$B$4)*(PI()*$B14^2/4)*(($B14/4)^(2/3))*SQRT(BP$7))</f>
        <v/>
      </c>
      <c r="BQ14" s="23">
        <f>IF(OR($B$4&lt;=0,$B14&lt;=0),0,(1/$B$4)*(PI()*$B14^2/4)*(($B14/4)^(2/3))*SQRT(BQ$7))</f>
        <v/>
      </c>
      <c r="BR14" s="23">
        <f>IF(OR($B$4&lt;=0,$B14&lt;=0),0,(1/$B$4)*(PI()*$B14^2/4)*(($B14/4)^(2/3))*SQRT(BR$7))</f>
        <v/>
      </c>
      <c r="BS14" s="23">
        <f>IF(OR($B$4&lt;=0,$B14&lt;=0),0,(1/$B$4)*(PI()*$B14^2/4)*(($B14/4)^(2/3))*SQRT(BS$7))</f>
        <v/>
      </c>
      <c r="BT14" s="23">
        <f>IF(OR($B$4&lt;=0,$B14&lt;=0),0,(1/$B$4)*(PI()*$B14^2/4)*(($B14/4)^(2/3))*SQRT(BT$7))</f>
        <v/>
      </c>
      <c r="BU14" s="23">
        <f>IF(OR($B$4&lt;=0,$B14&lt;=0),0,(1/$B$4)*(PI()*$B14^2/4)*(($B14/4)^(2/3))*SQRT(BU$7))</f>
        <v/>
      </c>
      <c r="BV14" s="23">
        <f>IF(OR($B$4&lt;=0,$B14&lt;=0),0,(1/$B$4)*(PI()*$B14^2/4)*(($B14/4)^(2/3))*SQRT(BV$7))</f>
        <v/>
      </c>
      <c r="BW14" s="23">
        <f>IF(OR($B$4&lt;=0,$B14&lt;=0),0,(1/$B$4)*(PI()*$B14^2/4)*(($B14/4)^(2/3))*SQRT(BW$7))</f>
        <v/>
      </c>
      <c r="BX14" s="23">
        <f>IF(OR($B$4&lt;=0,$B14&lt;=0),0,(1/$B$4)*(PI()*$B14^2/4)*(($B14/4)^(2/3))*SQRT(BX$7))</f>
        <v/>
      </c>
      <c r="BY14" s="23">
        <f>IF(OR($B$4&lt;=0,$B14&lt;=0),0,(1/$B$4)*(PI()*$B14^2/4)*(($B14/4)^(2/3))*SQRT(BY$7))</f>
        <v/>
      </c>
      <c r="BZ14" s="23">
        <f>IF(OR($B$4&lt;=0,$B14&lt;=0),0,(1/$B$4)*(PI()*$B14^2/4)*(($B14/4)^(2/3))*SQRT(BZ$7))</f>
        <v/>
      </c>
      <c r="CA14" s="23">
        <f>IF(OR($B$4&lt;=0,$B14&lt;=0),0,(1/$B$4)*(PI()*$B14^2/4)*(($B14/4)^(2/3))*SQRT(CA$7))</f>
        <v/>
      </c>
      <c r="CB14" s="23">
        <f>IF(OR($B$4&lt;=0,$B14&lt;=0),0,(1/$B$4)*(PI()*$B14^2/4)*(($B14/4)^(2/3))*SQRT(CB$7))</f>
        <v/>
      </c>
    </row>
    <row r="15">
      <c r="A15" s="11" t="n">
        <v>600</v>
      </c>
      <c r="B15" s="22">
        <f>A15/1000</f>
        <v/>
      </c>
      <c r="C15" s="23">
        <f>IF(OR($B$4&lt;=0,$B15&lt;=0),0,(1/$B$4)*(PI()*$B15^2/4)*(($B15/4)^(2/3))*SQRT(C$7))</f>
        <v/>
      </c>
      <c r="D15" s="23">
        <f>IF(OR($B$4&lt;=0,$B15&lt;=0),0,(1/$B$4)*(PI()*$B15^2/4)*(($B15/4)^(2/3))*SQRT(D$7))</f>
        <v/>
      </c>
      <c r="E15" s="23">
        <f>IF(OR($B$4&lt;=0,$B15&lt;=0),0,(1/$B$4)*(PI()*$B15^2/4)*(($B15/4)^(2/3))*SQRT(E$7))</f>
        <v/>
      </c>
      <c r="F15" s="23">
        <f>IF(OR($B$4&lt;=0,$B15&lt;=0),0,(1/$B$4)*(PI()*$B15^2/4)*(($B15/4)^(2/3))*SQRT(F$7))</f>
        <v/>
      </c>
      <c r="G15" s="23">
        <f>IF(OR($B$4&lt;=0,$B15&lt;=0),0,(1/$B$4)*(PI()*$B15^2/4)*(($B15/4)^(2/3))*SQRT(G$7))</f>
        <v/>
      </c>
      <c r="H15" s="23">
        <f>IF(OR($B$4&lt;=0,$B15&lt;=0),0,(1/$B$4)*(PI()*$B15^2/4)*(($B15/4)^(2/3))*SQRT(H$7))</f>
        <v/>
      </c>
      <c r="I15" s="23">
        <f>IF(OR($B$4&lt;=0,$B15&lt;=0),0,(1/$B$4)*(PI()*$B15^2/4)*(($B15/4)^(2/3))*SQRT(I$7))</f>
        <v/>
      </c>
      <c r="J15" s="23">
        <f>IF(OR($B$4&lt;=0,$B15&lt;=0),0,(1/$B$4)*(PI()*$B15^2/4)*(($B15/4)^(2/3))*SQRT(J$7))</f>
        <v/>
      </c>
      <c r="K15" s="23">
        <f>IF(OR($B$4&lt;=0,$B15&lt;=0),0,(1/$B$4)*(PI()*$B15^2/4)*(($B15/4)^(2/3))*SQRT(K$7))</f>
        <v/>
      </c>
      <c r="L15" s="23">
        <f>IF(OR($B$4&lt;=0,$B15&lt;=0),0,(1/$B$4)*(PI()*$B15^2/4)*(($B15/4)^(2/3))*SQRT(L$7))</f>
        <v/>
      </c>
      <c r="M15" s="23">
        <f>IF(OR($B$4&lt;=0,$B15&lt;=0),0,(1/$B$4)*(PI()*$B15^2/4)*(($B15/4)^(2/3))*SQRT(M$7))</f>
        <v/>
      </c>
      <c r="N15" s="23">
        <f>IF(OR($B$4&lt;=0,$B15&lt;=0),0,(1/$B$4)*(PI()*$B15^2/4)*(($B15/4)^(2/3))*SQRT(N$7))</f>
        <v/>
      </c>
      <c r="O15" s="23">
        <f>IF(OR($B$4&lt;=0,$B15&lt;=0),0,(1/$B$4)*(PI()*$B15^2/4)*(($B15/4)^(2/3))*SQRT(O$7))</f>
        <v/>
      </c>
      <c r="P15" s="23">
        <f>IF(OR($B$4&lt;=0,$B15&lt;=0),0,(1/$B$4)*(PI()*$B15^2/4)*(($B15/4)^(2/3))*SQRT(P$7))</f>
        <v/>
      </c>
      <c r="Q15" s="23">
        <f>IF(OR($B$4&lt;=0,$B15&lt;=0),0,(1/$B$4)*(PI()*$B15^2/4)*(($B15/4)^(2/3))*SQRT(Q$7))</f>
        <v/>
      </c>
      <c r="R15" s="23">
        <f>IF(OR($B$4&lt;=0,$B15&lt;=0),0,(1/$B$4)*(PI()*$B15^2/4)*(($B15/4)^(2/3))*SQRT(R$7))</f>
        <v/>
      </c>
      <c r="S15" s="23">
        <f>IF(OR($B$4&lt;=0,$B15&lt;=0),0,(1/$B$4)*(PI()*$B15^2/4)*(($B15/4)^(2/3))*SQRT(S$7))</f>
        <v/>
      </c>
      <c r="T15" s="23">
        <f>IF(OR($B$4&lt;=0,$B15&lt;=0),0,(1/$B$4)*(PI()*$B15^2/4)*(($B15/4)^(2/3))*SQRT(T$7))</f>
        <v/>
      </c>
      <c r="U15" s="23">
        <f>IF(OR($B$4&lt;=0,$B15&lt;=0),0,(1/$B$4)*(PI()*$B15^2/4)*(($B15/4)^(2/3))*SQRT(U$7))</f>
        <v/>
      </c>
      <c r="V15" s="23">
        <f>IF(OR($B$4&lt;=0,$B15&lt;=0),0,(1/$B$4)*(PI()*$B15^2/4)*(($B15/4)^(2/3))*SQRT(V$7))</f>
        <v/>
      </c>
      <c r="W15" s="23">
        <f>IF(OR($B$4&lt;=0,$B15&lt;=0),0,(1/$B$4)*(PI()*$B15^2/4)*(($B15/4)^(2/3))*SQRT(W$7))</f>
        <v/>
      </c>
      <c r="X15" s="23">
        <f>IF(OR($B$4&lt;=0,$B15&lt;=0),0,(1/$B$4)*(PI()*$B15^2/4)*(($B15/4)^(2/3))*SQRT(X$7))</f>
        <v/>
      </c>
      <c r="Y15" s="23">
        <f>IF(OR($B$4&lt;=0,$B15&lt;=0),0,(1/$B$4)*(PI()*$B15^2/4)*(($B15/4)^(2/3))*SQRT(Y$7))</f>
        <v/>
      </c>
      <c r="Z15" s="23">
        <f>IF(OR($B$4&lt;=0,$B15&lt;=0),0,(1/$B$4)*(PI()*$B15^2/4)*(($B15/4)^(2/3))*SQRT(Z$7))</f>
        <v/>
      </c>
      <c r="AA15" s="23">
        <f>IF(OR($B$4&lt;=0,$B15&lt;=0),0,(1/$B$4)*(PI()*$B15^2/4)*(($B15/4)^(2/3))*SQRT(AA$7))</f>
        <v/>
      </c>
      <c r="AB15" s="23">
        <f>IF(OR($B$4&lt;=0,$B15&lt;=0),0,(1/$B$4)*(PI()*$B15^2/4)*(($B15/4)^(2/3))*SQRT(AB$7))</f>
        <v/>
      </c>
      <c r="AC15" s="23">
        <f>IF(OR($B$4&lt;=0,$B15&lt;=0),0,(1/$B$4)*(PI()*$B15^2/4)*(($B15/4)^(2/3))*SQRT(AC$7))</f>
        <v/>
      </c>
      <c r="AD15" s="23">
        <f>IF(OR($B$4&lt;=0,$B15&lt;=0),0,(1/$B$4)*(PI()*$B15^2/4)*(($B15/4)^(2/3))*SQRT(AD$7))</f>
        <v/>
      </c>
      <c r="AE15" s="23">
        <f>IF(OR($B$4&lt;=0,$B15&lt;=0),0,(1/$B$4)*(PI()*$B15^2/4)*(($B15/4)^(2/3))*SQRT(AE$7))</f>
        <v/>
      </c>
      <c r="AF15" s="23">
        <f>IF(OR($B$4&lt;=0,$B15&lt;=0),0,(1/$B$4)*(PI()*$B15^2/4)*(($B15/4)^(2/3))*SQRT(AF$7))</f>
        <v/>
      </c>
      <c r="AG15" s="23">
        <f>IF(OR($B$4&lt;=0,$B15&lt;=0),0,(1/$B$4)*(PI()*$B15^2/4)*(($B15/4)^(2/3))*SQRT(AG$7))</f>
        <v/>
      </c>
      <c r="AH15" s="23">
        <f>IF(OR($B$4&lt;=0,$B15&lt;=0),0,(1/$B$4)*(PI()*$B15^2/4)*(($B15/4)^(2/3))*SQRT(AH$7))</f>
        <v/>
      </c>
      <c r="AI15" s="23">
        <f>IF(OR($B$4&lt;=0,$B15&lt;=0),0,(1/$B$4)*(PI()*$B15^2/4)*(($B15/4)^(2/3))*SQRT(AI$7))</f>
        <v/>
      </c>
      <c r="AJ15" s="23">
        <f>IF(OR($B$4&lt;=0,$B15&lt;=0),0,(1/$B$4)*(PI()*$B15^2/4)*(($B15/4)^(2/3))*SQRT(AJ$7))</f>
        <v/>
      </c>
      <c r="AK15" s="23">
        <f>IF(OR($B$4&lt;=0,$B15&lt;=0),0,(1/$B$4)*(PI()*$B15^2/4)*(($B15/4)^(2/3))*SQRT(AK$7))</f>
        <v/>
      </c>
      <c r="AL15" s="23">
        <f>IF(OR($B$4&lt;=0,$B15&lt;=0),0,(1/$B$4)*(PI()*$B15^2/4)*(($B15/4)^(2/3))*SQRT(AL$7))</f>
        <v/>
      </c>
      <c r="AM15" s="23">
        <f>IF(OR($B$4&lt;=0,$B15&lt;=0),0,(1/$B$4)*(PI()*$B15^2/4)*(($B15/4)^(2/3))*SQRT(AM$7))</f>
        <v/>
      </c>
      <c r="AN15" s="23">
        <f>IF(OR($B$4&lt;=0,$B15&lt;=0),0,(1/$B$4)*(PI()*$B15^2/4)*(($B15/4)^(2/3))*SQRT(AN$7))</f>
        <v/>
      </c>
      <c r="AO15" s="23">
        <f>IF(OR($B$4&lt;=0,$B15&lt;=0),0,(1/$B$4)*(PI()*$B15^2/4)*(($B15/4)^(2/3))*SQRT(AO$7))</f>
        <v/>
      </c>
      <c r="AP15" s="23">
        <f>IF(OR($B$4&lt;=0,$B15&lt;=0),0,(1/$B$4)*(PI()*$B15^2/4)*(($B15/4)^(2/3))*SQRT(AP$7))</f>
        <v/>
      </c>
      <c r="AQ15" s="23">
        <f>IF(OR($B$4&lt;=0,$B15&lt;=0),0,(1/$B$4)*(PI()*$B15^2/4)*(($B15/4)^(2/3))*SQRT(AQ$7))</f>
        <v/>
      </c>
      <c r="AR15" s="23">
        <f>IF(OR($B$4&lt;=0,$B15&lt;=0),0,(1/$B$4)*(PI()*$B15^2/4)*(($B15/4)^(2/3))*SQRT(AR$7))</f>
        <v/>
      </c>
      <c r="AS15" s="23">
        <f>IF(OR($B$4&lt;=0,$B15&lt;=0),0,(1/$B$4)*(PI()*$B15^2/4)*(($B15/4)^(2/3))*SQRT(AS$7))</f>
        <v/>
      </c>
      <c r="AT15" s="23">
        <f>IF(OR($B$4&lt;=0,$B15&lt;=0),0,(1/$B$4)*(PI()*$B15^2/4)*(($B15/4)^(2/3))*SQRT(AT$7))</f>
        <v/>
      </c>
      <c r="AU15" s="23">
        <f>IF(OR($B$4&lt;=0,$B15&lt;=0),0,(1/$B$4)*(PI()*$B15^2/4)*(($B15/4)^(2/3))*SQRT(AU$7))</f>
        <v/>
      </c>
      <c r="AV15" s="23">
        <f>IF(OR($B$4&lt;=0,$B15&lt;=0),0,(1/$B$4)*(PI()*$B15^2/4)*(($B15/4)^(2/3))*SQRT(AV$7))</f>
        <v/>
      </c>
      <c r="AW15" s="23">
        <f>IF(OR($B$4&lt;=0,$B15&lt;=0),0,(1/$B$4)*(PI()*$B15^2/4)*(($B15/4)^(2/3))*SQRT(AW$7))</f>
        <v/>
      </c>
      <c r="AX15" s="23">
        <f>IF(OR($B$4&lt;=0,$B15&lt;=0),0,(1/$B$4)*(PI()*$B15^2/4)*(($B15/4)^(2/3))*SQRT(AX$7))</f>
        <v/>
      </c>
      <c r="AY15" s="23">
        <f>IF(OR($B$4&lt;=0,$B15&lt;=0),0,(1/$B$4)*(PI()*$B15^2/4)*(($B15/4)^(2/3))*SQRT(AY$7))</f>
        <v/>
      </c>
      <c r="AZ15" s="23">
        <f>IF(OR($B$4&lt;=0,$B15&lt;=0),0,(1/$B$4)*(PI()*$B15^2/4)*(($B15/4)^(2/3))*SQRT(AZ$7))</f>
        <v/>
      </c>
      <c r="BA15" s="23">
        <f>IF(OR($B$4&lt;=0,$B15&lt;=0),0,(1/$B$4)*(PI()*$B15^2/4)*(($B15/4)^(2/3))*SQRT(BA$7))</f>
        <v/>
      </c>
      <c r="BB15" s="23">
        <f>IF(OR($B$4&lt;=0,$B15&lt;=0),0,(1/$B$4)*(PI()*$B15^2/4)*(($B15/4)^(2/3))*SQRT(BB$7))</f>
        <v/>
      </c>
      <c r="BC15" s="23">
        <f>IF(OR($B$4&lt;=0,$B15&lt;=0),0,(1/$B$4)*(PI()*$B15^2/4)*(($B15/4)^(2/3))*SQRT(BC$7))</f>
        <v/>
      </c>
      <c r="BD15" s="23">
        <f>IF(OR($B$4&lt;=0,$B15&lt;=0),0,(1/$B$4)*(PI()*$B15^2/4)*(($B15/4)^(2/3))*SQRT(BD$7))</f>
        <v/>
      </c>
      <c r="BE15" s="23">
        <f>IF(OR($B$4&lt;=0,$B15&lt;=0),0,(1/$B$4)*(PI()*$B15^2/4)*(($B15/4)^(2/3))*SQRT(BE$7))</f>
        <v/>
      </c>
      <c r="BF15" s="23">
        <f>IF(OR($B$4&lt;=0,$B15&lt;=0),0,(1/$B$4)*(PI()*$B15^2/4)*(($B15/4)^(2/3))*SQRT(BF$7))</f>
        <v/>
      </c>
      <c r="BG15" s="23">
        <f>IF(OR($B$4&lt;=0,$B15&lt;=0),0,(1/$B$4)*(PI()*$B15^2/4)*(($B15/4)^(2/3))*SQRT(BG$7))</f>
        <v/>
      </c>
      <c r="BH15" s="23">
        <f>IF(OR($B$4&lt;=0,$B15&lt;=0),0,(1/$B$4)*(PI()*$B15^2/4)*(($B15/4)^(2/3))*SQRT(BH$7))</f>
        <v/>
      </c>
      <c r="BI15" s="23">
        <f>IF(OR($B$4&lt;=0,$B15&lt;=0),0,(1/$B$4)*(PI()*$B15^2/4)*(($B15/4)^(2/3))*SQRT(BI$7))</f>
        <v/>
      </c>
      <c r="BJ15" s="23">
        <f>IF(OR($B$4&lt;=0,$B15&lt;=0),0,(1/$B$4)*(PI()*$B15^2/4)*(($B15/4)^(2/3))*SQRT(BJ$7))</f>
        <v/>
      </c>
      <c r="BK15" s="23">
        <f>IF(OR($B$4&lt;=0,$B15&lt;=0),0,(1/$B$4)*(PI()*$B15^2/4)*(($B15/4)^(2/3))*SQRT(BK$7))</f>
        <v/>
      </c>
      <c r="BL15" s="23">
        <f>IF(OR($B$4&lt;=0,$B15&lt;=0),0,(1/$B$4)*(PI()*$B15^2/4)*(($B15/4)^(2/3))*SQRT(BL$7))</f>
        <v/>
      </c>
      <c r="BM15" s="23">
        <f>IF(OR($B$4&lt;=0,$B15&lt;=0),0,(1/$B$4)*(PI()*$B15^2/4)*(($B15/4)^(2/3))*SQRT(BM$7))</f>
        <v/>
      </c>
      <c r="BN15" s="23">
        <f>IF(OR($B$4&lt;=0,$B15&lt;=0),0,(1/$B$4)*(PI()*$B15^2/4)*(($B15/4)^(2/3))*SQRT(BN$7))</f>
        <v/>
      </c>
      <c r="BO15" s="23">
        <f>IF(OR($B$4&lt;=0,$B15&lt;=0),0,(1/$B$4)*(PI()*$B15^2/4)*(($B15/4)^(2/3))*SQRT(BO$7))</f>
        <v/>
      </c>
      <c r="BP15" s="23">
        <f>IF(OR($B$4&lt;=0,$B15&lt;=0),0,(1/$B$4)*(PI()*$B15^2/4)*(($B15/4)^(2/3))*SQRT(BP$7))</f>
        <v/>
      </c>
      <c r="BQ15" s="23">
        <f>IF(OR($B$4&lt;=0,$B15&lt;=0),0,(1/$B$4)*(PI()*$B15^2/4)*(($B15/4)^(2/3))*SQRT(BQ$7))</f>
        <v/>
      </c>
      <c r="BR15" s="23">
        <f>IF(OR($B$4&lt;=0,$B15&lt;=0),0,(1/$B$4)*(PI()*$B15^2/4)*(($B15/4)^(2/3))*SQRT(BR$7))</f>
        <v/>
      </c>
      <c r="BS15" s="23">
        <f>IF(OR($B$4&lt;=0,$B15&lt;=0),0,(1/$B$4)*(PI()*$B15^2/4)*(($B15/4)^(2/3))*SQRT(BS$7))</f>
        <v/>
      </c>
      <c r="BT15" s="23">
        <f>IF(OR($B$4&lt;=0,$B15&lt;=0),0,(1/$B$4)*(PI()*$B15^2/4)*(($B15/4)^(2/3))*SQRT(BT$7))</f>
        <v/>
      </c>
      <c r="BU15" s="23">
        <f>IF(OR($B$4&lt;=0,$B15&lt;=0),0,(1/$B$4)*(PI()*$B15^2/4)*(($B15/4)^(2/3))*SQRT(BU$7))</f>
        <v/>
      </c>
      <c r="BV15" s="23">
        <f>IF(OR($B$4&lt;=0,$B15&lt;=0),0,(1/$B$4)*(PI()*$B15^2/4)*(($B15/4)^(2/3))*SQRT(BV$7))</f>
        <v/>
      </c>
      <c r="BW15" s="23">
        <f>IF(OR($B$4&lt;=0,$B15&lt;=0),0,(1/$B$4)*(PI()*$B15^2/4)*(($B15/4)^(2/3))*SQRT(BW$7))</f>
        <v/>
      </c>
      <c r="BX15" s="23">
        <f>IF(OR($B$4&lt;=0,$B15&lt;=0),0,(1/$B$4)*(PI()*$B15^2/4)*(($B15/4)^(2/3))*SQRT(BX$7))</f>
        <v/>
      </c>
      <c r="BY15" s="23">
        <f>IF(OR($B$4&lt;=0,$B15&lt;=0),0,(1/$B$4)*(PI()*$B15^2/4)*(($B15/4)^(2/3))*SQRT(BY$7))</f>
        <v/>
      </c>
      <c r="BZ15" s="23">
        <f>IF(OR($B$4&lt;=0,$B15&lt;=0),0,(1/$B$4)*(PI()*$B15^2/4)*(($B15/4)^(2/3))*SQRT(BZ$7))</f>
        <v/>
      </c>
      <c r="CA15" s="23">
        <f>IF(OR($B$4&lt;=0,$B15&lt;=0),0,(1/$B$4)*(PI()*$B15^2/4)*(($B15/4)^(2/3))*SQRT(CA$7))</f>
        <v/>
      </c>
      <c r="CB15" s="23">
        <f>IF(OR($B$4&lt;=0,$B15&lt;=0),0,(1/$B$4)*(PI()*$B15^2/4)*(($B15/4)^(2/3))*SQRT(CB$7))</f>
        <v/>
      </c>
    </row>
    <row r="17">
      <c r="A17" s="2" t="inlineStr">
        <is>
          <t>How to use</t>
        </is>
      </c>
    </row>
    <row r="18">
      <c r="A18" t="inlineStr">
        <is>
          <t>1) Read your pipe diameter in column A.</t>
        </is>
      </c>
    </row>
    <row r="19">
      <c r="A19" t="inlineStr">
        <is>
          <t>2) Find the design slope column (e.g. 0.005).</t>
        </is>
      </c>
    </row>
    <row r="20">
      <c r="A20" t="inlineStr">
        <is>
          <t>3) Cell value = full-pipe flow capacity Q (m³/s).</t>
        </is>
      </c>
    </row>
    <row r="21">
      <c r="A21" t="inlineStr">
        <is>
          <t>Assumes full flow. For partially full gravity flow, capacity is lower.</t>
        </is>
      </c>
    </row>
    <row r="22">
      <c r="A22" t="inlineStr">
        <is>
          <t>Slope range: 0.003 to 0.08 by 0.001 (78 columns).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2" t="inlineStr">
        <is>
          <t>Capacity for each pipe in Volume sheet</t>
        </is>
      </c>
    </row>
    <row r="3">
      <c r="A3" t="inlineStr">
        <is>
          <t>Manning n</t>
        </is>
      </c>
      <c r="B3" s="22">
        <f>Flow_capacity!B4</f>
        <v/>
      </c>
    </row>
    <row r="4">
      <c r="A4" t="inlineStr">
        <is>
          <t>Design slope S (choose one)</t>
        </is>
      </c>
      <c r="B4" s="18" t="n">
        <v>0.005</v>
      </c>
      <c r="C4" t="inlineStr">
        <is>
          <t>m/m — change this; Qp updates for all pipes</t>
        </is>
      </c>
    </row>
    <row r="6" ht="32" customHeight="1">
      <c r="A6" s="5" t="inlineStr">
        <is>
          <t>Pipe ID</t>
        </is>
      </c>
      <c r="B6" s="5" t="inlineStr">
        <is>
          <t>Material</t>
        </is>
      </c>
      <c r="C6" s="5" t="inlineStr">
        <is>
          <t>Diameter (mm)</t>
        </is>
      </c>
      <c r="D6" s="5" t="inlineStr">
        <is>
          <t>Length (m)</t>
        </is>
      </c>
      <c r="E6" s="5" t="inlineStr">
        <is>
          <t>Volume (m³)</t>
        </is>
      </c>
      <c r="F6" s="5" t="inlineStr">
        <is>
          <t>Qp at S design (m³/s)</t>
        </is>
      </c>
      <c r="G6" s="5" t="inlineStr">
        <is>
          <t>Vp full (m/s)</t>
        </is>
      </c>
    </row>
    <row r="7">
      <c r="A7" s="6">
        <f>Volume!A5</f>
        <v/>
      </c>
      <c r="B7" s="6">
        <f>Volume!B5</f>
        <v/>
      </c>
      <c r="C7" s="24">
        <f>Volume!C5</f>
        <v/>
      </c>
      <c r="D7" s="24">
        <f>Volume!D5</f>
        <v/>
      </c>
      <c r="E7" s="25">
        <f>Volume!E5</f>
        <v/>
      </c>
      <c r="F7" s="25">
        <f>IF(OR(C7="",C7&lt;=0,$B$3&lt;=0,$B$4&lt;=0),0,(1/$B$3)*(PI()*(C7/1000)^2/4)*(((C7/1000)/4)^(2/3))*SQRT($B$4))</f>
        <v/>
      </c>
      <c r="G7" s="22">
        <f>IF(OR(C7="",C7&lt;=0),0,F7/(PI()*(C7/1000)^2/4))</f>
        <v/>
      </c>
    </row>
    <row r="8">
      <c r="A8" s="6">
        <f>Volume!A6</f>
        <v/>
      </c>
      <c r="B8" s="6">
        <f>Volume!B6</f>
        <v/>
      </c>
      <c r="C8" s="24">
        <f>Volume!C6</f>
        <v/>
      </c>
      <c r="D8" s="24">
        <f>Volume!D6</f>
        <v/>
      </c>
      <c r="E8" s="25">
        <f>Volume!E6</f>
        <v/>
      </c>
      <c r="F8" s="25">
        <f>IF(OR(C8="",C8&lt;=0,$B$3&lt;=0,$B$4&lt;=0),0,(1/$B$3)*(PI()*(C8/1000)^2/4)*(((C8/1000)/4)^(2/3))*SQRT($B$4))</f>
        <v/>
      </c>
      <c r="G8" s="22">
        <f>IF(OR(C8="",C8&lt;=0),0,F8/(PI()*(C8/1000)^2/4))</f>
        <v/>
      </c>
    </row>
    <row r="9">
      <c r="A9" s="6">
        <f>Volume!A7</f>
        <v/>
      </c>
      <c r="B9" s="6">
        <f>Volume!B7</f>
        <v/>
      </c>
      <c r="C9" s="24">
        <f>Volume!C7</f>
        <v/>
      </c>
      <c r="D9" s="24">
        <f>Volume!D7</f>
        <v/>
      </c>
      <c r="E9" s="25">
        <f>Volume!E7</f>
        <v/>
      </c>
      <c r="F9" s="25">
        <f>IF(OR(C9="",C9&lt;=0,$B$3&lt;=0,$B$4&lt;=0),0,(1/$B$3)*(PI()*(C9/1000)^2/4)*(((C9/1000)/4)^(2/3))*SQRT($B$4))</f>
        <v/>
      </c>
      <c r="G9" s="22">
        <f>IF(OR(C9="",C9&lt;=0),0,F9/(PI()*(C9/1000)^2/4))</f>
        <v/>
      </c>
    </row>
    <row r="10">
      <c r="A10" s="6">
        <f>Volume!A8</f>
        <v/>
      </c>
      <c r="B10" s="6">
        <f>Volume!B8</f>
        <v/>
      </c>
      <c r="C10" s="24">
        <f>Volume!C8</f>
        <v/>
      </c>
      <c r="D10" s="24">
        <f>Volume!D8</f>
        <v/>
      </c>
      <c r="E10" s="25">
        <f>Volume!E8</f>
        <v/>
      </c>
      <c r="F10" s="25">
        <f>IF(OR(C10="",C10&lt;=0,$B$3&lt;=0,$B$4&lt;=0),0,(1/$B$3)*(PI()*(C10/1000)^2/4)*(((C10/1000)/4)^(2/3))*SQRT($B$4))</f>
        <v/>
      </c>
      <c r="G10" s="22">
        <f>IF(OR(C10="",C10&lt;=0),0,F10/(PI()*(C10/1000)^2/4))</f>
        <v/>
      </c>
    </row>
    <row r="11">
      <c r="A11" s="6">
        <f>Volume!A9</f>
        <v/>
      </c>
      <c r="B11" s="6">
        <f>Volume!B9</f>
        <v/>
      </c>
      <c r="C11" s="24">
        <f>Volume!C9</f>
        <v/>
      </c>
      <c r="D11" s="24">
        <f>Volume!D9</f>
        <v/>
      </c>
      <c r="E11" s="25">
        <f>Volume!E9</f>
        <v/>
      </c>
      <c r="F11" s="25">
        <f>IF(OR(C11="",C11&lt;=0,$B$3&lt;=0,$B$4&lt;=0),0,(1/$B$3)*(PI()*(C11/1000)^2/4)*(((C11/1000)/4)^(2/3))*SQRT($B$4))</f>
        <v/>
      </c>
      <c r="G11" s="22">
        <f>IF(OR(C11="",C11&lt;=0),0,F11/(PI()*(C11/1000)^2/4))</f>
        <v/>
      </c>
    </row>
    <row r="12">
      <c r="A12" s="6">
        <f>Volume!A10</f>
        <v/>
      </c>
      <c r="B12" s="6">
        <f>Volume!B10</f>
        <v/>
      </c>
      <c r="C12" s="24">
        <f>Volume!C10</f>
        <v/>
      </c>
      <c r="D12" s="24">
        <f>Volume!D10</f>
        <v/>
      </c>
      <c r="E12" s="25">
        <f>Volume!E10</f>
        <v/>
      </c>
      <c r="F12" s="25">
        <f>IF(OR(C12="",C12&lt;=0,$B$3&lt;=0,$B$4&lt;=0),0,(1/$B$3)*(PI()*(C12/1000)^2/4)*(((C12/1000)/4)^(2/3))*SQRT($B$4))</f>
        <v/>
      </c>
      <c r="G12" s="22">
        <f>IF(OR(C12="",C12&lt;=0),0,F12/(PI()*(C12/1000)^2/4))</f>
        <v/>
      </c>
    </row>
    <row r="13">
      <c r="A13" s="6">
        <f>Volume!A11</f>
        <v/>
      </c>
      <c r="B13" s="6">
        <f>Volume!B11</f>
        <v/>
      </c>
      <c r="C13" s="24">
        <f>Volume!C11</f>
        <v/>
      </c>
      <c r="D13" s="24">
        <f>Volume!D11</f>
        <v/>
      </c>
      <c r="E13" s="25">
        <f>Volume!E11</f>
        <v/>
      </c>
      <c r="F13" s="25">
        <f>IF(OR(C13="",C13&lt;=0,$B$3&lt;=0,$B$4&lt;=0),0,(1/$B$3)*(PI()*(C13/1000)^2/4)*(((C13/1000)/4)^(2/3))*SQRT($B$4))</f>
        <v/>
      </c>
      <c r="G13" s="22">
        <f>IF(OR(C13="",C13&lt;=0),0,F13/(PI()*(C13/1000)^2/4))</f>
        <v/>
      </c>
    </row>
    <row r="14">
      <c r="A14" s="6">
        <f>Volume!A12</f>
        <v/>
      </c>
      <c r="B14" s="6">
        <f>Volume!B12</f>
        <v/>
      </c>
      <c r="C14" s="24">
        <f>Volume!C12</f>
        <v/>
      </c>
      <c r="D14" s="24">
        <f>Volume!D12</f>
        <v/>
      </c>
      <c r="E14" s="25">
        <f>Volume!E12</f>
        <v/>
      </c>
      <c r="F14" s="25">
        <f>IF(OR(C14="",C14&lt;=0,$B$3&lt;=0,$B$4&lt;=0),0,(1/$B$3)*(PI()*(C14/1000)^2/4)*(((C14/1000)/4)^(2/3))*SQRT($B$4))</f>
        <v/>
      </c>
      <c r="G14" s="22">
        <f>IF(OR(C14="",C14&lt;=0),0,F14/(PI()*(C14/1000)^2/4))</f>
        <v/>
      </c>
    </row>
    <row r="17">
      <c r="A17" s="2" t="inlineStr">
        <is>
          <t>Quick matrix for diameters used in this project (same n)</t>
        </is>
      </c>
    </row>
    <row r="18">
      <c r="A18" s="20" t="inlineStr">
        <is>
          <t>Diameter (mm)</t>
        </is>
      </c>
      <c r="B18" s="26" t="n">
        <v>0.003</v>
      </c>
      <c r="C18" s="26" t="n">
        <v>0.004</v>
      </c>
      <c r="D18" s="26" t="n">
        <v>0.005</v>
      </c>
      <c r="E18" s="26" t="n">
        <v>0.006</v>
      </c>
      <c r="F18" s="26" t="n">
        <v>0.008</v>
      </c>
      <c r="G18" s="26" t="n">
        <v>0.01</v>
      </c>
      <c r="H18" s="26" t="n">
        <v>0.012</v>
      </c>
      <c r="I18" s="26" t="n">
        <v>0.015</v>
      </c>
      <c r="J18" s="26" t="n">
        <v>0.02</v>
      </c>
      <c r="K18" s="26" t="n">
        <v>0.025</v>
      </c>
      <c r="L18" s="26" t="n">
        <v>0.03</v>
      </c>
      <c r="M18" s="26" t="n">
        <v>0.04</v>
      </c>
      <c r="N18" s="26" t="n">
        <v>0.05</v>
      </c>
      <c r="O18" s="26" t="n">
        <v>0.06</v>
      </c>
      <c r="P18" s="26" t="n">
        <v>0.08</v>
      </c>
    </row>
    <row r="19">
      <c r="A19" s="7" t="n">
        <v>150</v>
      </c>
      <c r="B19" s="22">
        <f>IF($B$3&lt;=0,0,(1/$B$3)*(PI()*(150/1000)^2/4)*(((150/1000)/4)^(2/3))*SQRT(0.003))</f>
        <v/>
      </c>
      <c r="C19" s="22">
        <f>IF($B$3&lt;=0,0,(1/$B$3)*(PI()*(150/1000)^2/4)*(((150/1000)/4)^(2/3))*SQRT(0.004))</f>
        <v/>
      </c>
      <c r="D19" s="22">
        <f>IF($B$3&lt;=0,0,(1/$B$3)*(PI()*(150/1000)^2/4)*(((150/1000)/4)^(2/3))*SQRT(0.005))</f>
        <v/>
      </c>
      <c r="E19" s="22">
        <f>IF($B$3&lt;=0,0,(1/$B$3)*(PI()*(150/1000)^2/4)*(((150/1000)/4)^(2/3))*SQRT(0.006))</f>
        <v/>
      </c>
      <c r="F19" s="22">
        <f>IF($B$3&lt;=0,0,(1/$B$3)*(PI()*(150/1000)^2/4)*(((150/1000)/4)^(2/3))*SQRT(0.008))</f>
        <v/>
      </c>
      <c r="G19" s="22">
        <f>IF($B$3&lt;=0,0,(1/$B$3)*(PI()*(150/1000)^2/4)*(((150/1000)/4)^(2/3))*SQRT(0.01))</f>
        <v/>
      </c>
      <c r="H19" s="22">
        <f>IF($B$3&lt;=0,0,(1/$B$3)*(PI()*(150/1000)^2/4)*(((150/1000)/4)^(2/3))*SQRT(0.012))</f>
        <v/>
      </c>
      <c r="I19" s="22">
        <f>IF($B$3&lt;=0,0,(1/$B$3)*(PI()*(150/1000)^2/4)*(((150/1000)/4)^(2/3))*SQRT(0.015))</f>
        <v/>
      </c>
      <c r="J19" s="22">
        <f>IF($B$3&lt;=0,0,(1/$B$3)*(PI()*(150/1000)^2/4)*(((150/1000)/4)^(2/3))*SQRT(0.02))</f>
        <v/>
      </c>
      <c r="K19" s="22">
        <f>IF($B$3&lt;=0,0,(1/$B$3)*(PI()*(150/1000)^2/4)*(((150/1000)/4)^(2/3))*SQRT(0.025))</f>
        <v/>
      </c>
      <c r="L19" s="22">
        <f>IF($B$3&lt;=0,0,(1/$B$3)*(PI()*(150/1000)^2/4)*(((150/1000)/4)^(2/3))*SQRT(0.03))</f>
        <v/>
      </c>
      <c r="M19" s="22">
        <f>IF($B$3&lt;=0,0,(1/$B$3)*(PI()*(150/1000)^2/4)*(((150/1000)/4)^(2/3))*SQRT(0.04))</f>
        <v/>
      </c>
      <c r="N19" s="22">
        <f>IF($B$3&lt;=0,0,(1/$B$3)*(PI()*(150/1000)^2/4)*(((150/1000)/4)^(2/3))*SQRT(0.05))</f>
        <v/>
      </c>
      <c r="O19" s="22">
        <f>IF($B$3&lt;=0,0,(1/$B$3)*(PI()*(150/1000)^2/4)*(((150/1000)/4)^(2/3))*SQRT(0.06))</f>
        <v/>
      </c>
      <c r="P19" s="22">
        <f>IF($B$3&lt;=0,0,(1/$B$3)*(PI()*(150/1000)^2/4)*(((150/1000)/4)^(2/3))*SQRT(0.08))</f>
        <v/>
      </c>
    </row>
    <row r="20">
      <c r="A20" s="7" t="n">
        <v>200</v>
      </c>
      <c r="B20" s="22">
        <f>IF($B$3&lt;=0,0,(1/$B$3)*(PI()*(200/1000)^2/4)*(((200/1000)/4)^(2/3))*SQRT(0.003))</f>
        <v/>
      </c>
      <c r="C20" s="22">
        <f>IF($B$3&lt;=0,0,(1/$B$3)*(PI()*(200/1000)^2/4)*(((200/1000)/4)^(2/3))*SQRT(0.004))</f>
        <v/>
      </c>
      <c r="D20" s="22">
        <f>IF($B$3&lt;=0,0,(1/$B$3)*(PI()*(200/1000)^2/4)*(((200/1000)/4)^(2/3))*SQRT(0.005))</f>
        <v/>
      </c>
      <c r="E20" s="22">
        <f>IF($B$3&lt;=0,0,(1/$B$3)*(PI()*(200/1000)^2/4)*(((200/1000)/4)^(2/3))*SQRT(0.006))</f>
        <v/>
      </c>
      <c r="F20" s="22">
        <f>IF($B$3&lt;=0,0,(1/$B$3)*(PI()*(200/1000)^2/4)*(((200/1000)/4)^(2/3))*SQRT(0.008))</f>
        <v/>
      </c>
      <c r="G20" s="22">
        <f>IF($B$3&lt;=0,0,(1/$B$3)*(PI()*(200/1000)^2/4)*(((200/1000)/4)^(2/3))*SQRT(0.01))</f>
        <v/>
      </c>
      <c r="H20" s="22">
        <f>IF($B$3&lt;=0,0,(1/$B$3)*(PI()*(200/1000)^2/4)*(((200/1000)/4)^(2/3))*SQRT(0.012))</f>
        <v/>
      </c>
      <c r="I20" s="22">
        <f>IF($B$3&lt;=0,0,(1/$B$3)*(PI()*(200/1000)^2/4)*(((200/1000)/4)^(2/3))*SQRT(0.015))</f>
        <v/>
      </c>
      <c r="J20" s="22">
        <f>IF($B$3&lt;=0,0,(1/$B$3)*(PI()*(200/1000)^2/4)*(((200/1000)/4)^(2/3))*SQRT(0.02))</f>
        <v/>
      </c>
      <c r="K20" s="22">
        <f>IF($B$3&lt;=0,0,(1/$B$3)*(PI()*(200/1000)^2/4)*(((200/1000)/4)^(2/3))*SQRT(0.025))</f>
        <v/>
      </c>
      <c r="L20" s="22">
        <f>IF($B$3&lt;=0,0,(1/$B$3)*(PI()*(200/1000)^2/4)*(((200/1000)/4)^(2/3))*SQRT(0.03))</f>
        <v/>
      </c>
      <c r="M20" s="22">
        <f>IF($B$3&lt;=0,0,(1/$B$3)*(PI()*(200/1000)^2/4)*(((200/1000)/4)^(2/3))*SQRT(0.04))</f>
        <v/>
      </c>
      <c r="N20" s="22">
        <f>IF($B$3&lt;=0,0,(1/$B$3)*(PI()*(200/1000)^2/4)*(((200/1000)/4)^(2/3))*SQRT(0.05))</f>
        <v/>
      </c>
      <c r="O20" s="22">
        <f>IF($B$3&lt;=0,0,(1/$B$3)*(PI()*(200/1000)^2/4)*(((200/1000)/4)^(2/3))*SQRT(0.06))</f>
        <v/>
      </c>
      <c r="P20" s="22">
        <f>IF($B$3&lt;=0,0,(1/$B$3)*(PI()*(200/1000)^2/4)*(((200/1000)/4)^(2/3))*SQRT(0.08))</f>
        <v/>
      </c>
    </row>
    <row r="21">
      <c r="A21" s="7" t="n">
        <v>300</v>
      </c>
      <c r="B21" s="22">
        <f>IF($B$3&lt;=0,0,(1/$B$3)*(PI()*(300/1000)^2/4)*(((300/1000)/4)^(2/3))*SQRT(0.003))</f>
        <v/>
      </c>
      <c r="C21" s="22">
        <f>IF($B$3&lt;=0,0,(1/$B$3)*(PI()*(300/1000)^2/4)*(((300/1000)/4)^(2/3))*SQRT(0.004))</f>
        <v/>
      </c>
      <c r="D21" s="22">
        <f>IF($B$3&lt;=0,0,(1/$B$3)*(PI()*(300/1000)^2/4)*(((300/1000)/4)^(2/3))*SQRT(0.005))</f>
        <v/>
      </c>
      <c r="E21" s="22">
        <f>IF($B$3&lt;=0,0,(1/$B$3)*(PI()*(300/1000)^2/4)*(((300/1000)/4)^(2/3))*SQRT(0.006))</f>
        <v/>
      </c>
      <c r="F21" s="22">
        <f>IF($B$3&lt;=0,0,(1/$B$3)*(PI()*(300/1000)^2/4)*(((300/1000)/4)^(2/3))*SQRT(0.008))</f>
        <v/>
      </c>
      <c r="G21" s="22">
        <f>IF($B$3&lt;=0,0,(1/$B$3)*(PI()*(300/1000)^2/4)*(((300/1000)/4)^(2/3))*SQRT(0.01))</f>
        <v/>
      </c>
      <c r="H21" s="22">
        <f>IF($B$3&lt;=0,0,(1/$B$3)*(PI()*(300/1000)^2/4)*(((300/1000)/4)^(2/3))*SQRT(0.012))</f>
        <v/>
      </c>
      <c r="I21" s="22">
        <f>IF($B$3&lt;=0,0,(1/$B$3)*(PI()*(300/1000)^2/4)*(((300/1000)/4)^(2/3))*SQRT(0.015))</f>
        <v/>
      </c>
      <c r="J21" s="22">
        <f>IF($B$3&lt;=0,0,(1/$B$3)*(PI()*(300/1000)^2/4)*(((300/1000)/4)^(2/3))*SQRT(0.02))</f>
        <v/>
      </c>
      <c r="K21" s="22">
        <f>IF($B$3&lt;=0,0,(1/$B$3)*(PI()*(300/1000)^2/4)*(((300/1000)/4)^(2/3))*SQRT(0.025))</f>
        <v/>
      </c>
      <c r="L21" s="22">
        <f>IF($B$3&lt;=0,0,(1/$B$3)*(PI()*(300/1000)^2/4)*(((300/1000)/4)^(2/3))*SQRT(0.03))</f>
        <v/>
      </c>
      <c r="M21" s="22">
        <f>IF($B$3&lt;=0,0,(1/$B$3)*(PI()*(300/1000)^2/4)*(((300/1000)/4)^(2/3))*SQRT(0.04))</f>
        <v/>
      </c>
      <c r="N21" s="22">
        <f>IF($B$3&lt;=0,0,(1/$B$3)*(PI()*(300/1000)^2/4)*(((300/1000)/4)^(2/3))*SQRT(0.05))</f>
        <v/>
      </c>
      <c r="O21" s="22">
        <f>IF($B$3&lt;=0,0,(1/$B$3)*(PI()*(300/1000)^2/4)*(((300/1000)/4)^(2/3))*SQRT(0.06))</f>
        <v/>
      </c>
      <c r="P21" s="22">
        <f>IF($B$3&lt;=0,0,(1/$B$3)*(PI()*(300/1000)^2/4)*(((300/1000)/4)^(2/3))*SQRT(0.08))</f>
        <v/>
      </c>
    </row>
    <row r="22">
      <c r="A22" s="7" t="n">
        <v>450</v>
      </c>
      <c r="B22" s="22">
        <f>IF($B$3&lt;=0,0,(1/$B$3)*(PI()*(450/1000)^2/4)*(((450/1000)/4)^(2/3))*SQRT(0.003))</f>
        <v/>
      </c>
      <c r="C22" s="22">
        <f>IF($B$3&lt;=0,0,(1/$B$3)*(PI()*(450/1000)^2/4)*(((450/1000)/4)^(2/3))*SQRT(0.004))</f>
        <v/>
      </c>
      <c r="D22" s="22">
        <f>IF($B$3&lt;=0,0,(1/$B$3)*(PI()*(450/1000)^2/4)*(((450/1000)/4)^(2/3))*SQRT(0.005))</f>
        <v/>
      </c>
      <c r="E22" s="22">
        <f>IF($B$3&lt;=0,0,(1/$B$3)*(PI()*(450/1000)^2/4)*(((450/1000)/4)^(2/3))*SQRT(0.006))</f>
        <v/>
      </c>
      <c r="F22" s="22">
        <f>IF($B$3&lt;=0,0,(1/$B$3)*(PI()*(450/1000)^2/4)*(((450/1000)/4)^(2/3))*SQRT(0.008))</f>
        <v/>
      </c>
      <c r="G22" s="22">
        <f>IF($B$3&lt;=0,0,(1/$B$3)*(PI()*(450/1000)^2/4)*(((450/1000)/4)^(2/3))*SQRT(0.01))</f>
        <v/>
      </c>
      <c r="H22" s="22">
        <f>IF($B$3&lt;=0,0,(1/$B$3)*(PI()*(450/1000)^2/4)*(((450/1000)/4)^(2/3))*SQRT(0.012))</f>
        <v/>
      </c>
      <c r="I22" s="22">
        <f>IF($B$3&lt;=0,0,(1/$B$3)*(PI()*(450/1000)^2/4)*(((450/1000)/4)^(2/3))*SQRT(0.015))</f>
        <v/>
      </c>
      <c r="J22" s="22">
        <f>IF($B$3&lt;=0,0,(1/$B$3)*(PI()*(450/1000)^2/4)*(((450/1000)/4)^(2/3))*SQRT(0.02))</f>
        <v/>
      </c>
      <c r="K22" s="22">
        <f>IF($B$3&lt;=0,0,(1/$B$3)*(PI()*(450/1000)^2/4)*(((450/1000)/4)^(2/3))*SQRT(0.025))</f>
        <v/>
      </c>
      <c r="L22" s="22">
        <f>IF($B$3&lt;=0,0,(1/$B$3)*(PI()*(450/1000)^2/4)*(((450/1000)/4)^(2/3))*SQRT(0.03))</f>
        <v/>
      </c>
      <c r="M22" s="22">
        <f>IF($B$3&lt;=0,0,(1/$B$3)*(PI()*(450/1000)^2/4)*(((450/1000)/4)^(2/3))*SQRT(0.04))</f>
        <v/>
      </c>
      <c r="N22" s="22">
        <f>IF($B$3&lt;=0,0,(1/$B$3)*(PI()*(450/1000)^2/4)*(((450/1000)/4)^(2/3))*SQRT(0.05))</f>
        <v/>
      </c>
      <c r="O22" s="22">
        <f>IF($B$3&lt;=0,0,(1/$B$3)*(PI()*(450/1000)^2/4)*(((450/1000)/4)^(2/3))*SQRT(0.06))</f>
        <v/>
      </c>
      <c r="P22" s="22">
        <f>IF($B$3&lt;=0,0,(1/$B$3)*(PI()*(450/1000)^2/4)*(((450/1000)/4)^(2/3))*SQRT(0.08))</f>
        <v/>
      </c>
    </row>
    <row r="24">
      <c r="A24" t="inlineStr">
        <is>
          <t>Note: Qp = full-section Manning capacity. Volume sheet unchanged.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2026-08-05T11:50:54Z</dcterms:created>
  <dcterms:modified xsi:type="dcterms:W3CDTF">2026-08-05T11:50:54Z</dcterms:modified>
</cp:coreProperties>
</file>