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ats_Q736" sheetId="1" state="visible" r:id="rId1"/>
    <sheet name="Formules_Aire" sheetId="2" state="visible" r:id="rId2"/>
    <sheet name="Methode" sheetId="3" state="visible" r:id="rId3"/>
    <sheet name="Longitudinal" sheetId="4" state="visible" r:id="rId4"/>
    <sheet name="Aire_1000" sheetId="5" state="visible" r:id="rId5"/>
    <sheet name="Aire_2000" sheetId="6" state="visible" r:id="rId6"/>
    <sheet name="Aire_3000" sheetId="7" state="visible" r:id="rId7"/>
    <sheet name="Aire_4000" sheetId="8" state="visible" r:id="rId8"/>
    <sheet name="Aire_5000" sheetId="9" state="visible" r:id="rId9"/>
    <sheet name="Aire_6000" sheetId="10" state="visible" r:id="rId10"/>
    <sheet name="Aire_7000" sheetId="11" state="visible" r:id="rId11"/>
    <sheet name="Aire_8000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b val="1"/>
    </font>
    <font>
      <b val="1"/>
      <sz val="13"/>
    </font>
    <font>
      <b val="1"/>
      <color rgb="000F5C5C"/>
      <sz val="13"/>
    </font>
    <font>
      <b val="1"/>
      <color rgb="000F5C5C"/>
      <sz val="12"/>
    </font>
  </fonts>
  <fills count="6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0" fillId="0" borderId="1" pivotButton="0" quotePrefix="0" xfId="0"/>
    <xf numFmtId="164" fontId="0" fillId="4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5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0" fillId="2" borderId="1" pivotButton="0" quotePrefix="0" xfId="0"/>
    <xf numFmtId="0" fontId="0" fillId="4" borderId="0" pivotButton="0" quotePrefix="0" xfId="0"/>
    <xf numFmtId="165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48" customWidth="1" min="13" max="13"/>
  </cols>
  <sheetData>
    <row r="1">
      <c r="A1" s="1" t="inlineStr">
        <is>
          <t>Fossé Ste-Thérèse — vitesse aux sections réelles (survey)</t>
        </is>
      </c>
    </row>
    <row r="2">
      <c r="A2" s="2" t="inlineStr">
        <is>
          <t>Q = 7.36 m³/s ; n = 0.035 ; Manning profondeur normale si S0 &gt; 0. Pentes adverses: S0 réel affiché, V non calculée (pas de |S0|).</t>
        </is>
      </c>
    </row>
    <row r="3"/>
    <row r="4">
      <c r="A4" t="inlineStr">
        <is>
          <t>Q (m³/s)</t>
        </is>
      </c>
      <c r="B4" s="3" t="n">
        <v>7.36</v>
      </c>
    </row>
    <row r="5">
      <c r="A5" t="inlineStr">
        <is>
          <t>n Manning</t>
        </is>
      </c>
      <c r="B5" s="3" t="n">
        <v>0.035</v>
      </c>
      <c r="C5" t="inlineStr">
        <is>
          <t>Pour recalculer: éditer build_st_therese_velocity.py puis python build_st_therese_velocity.py</t>
        </is>
      </c>
    </row>
    <row r="6"/>
    <row r="7">
      <c r="A7" s="4" t="inlineStr">
        <is>
          <t>Section</t>
        </is>
      </c>
      <c r="B7" s="4" t="inlineStr">
        <is>
          <t>Station cum. (m)</t>
        </is>
      </c>
      <c r="C7" s="4" t="inlineStr">
        <is>
          <t>S0 réel (signé)</t>
        </is>
      </c>
      <c r="D7" s="4" t="inlineStr">
        <is>
          <t>y (m)</t>
        </is>
      </c>
      <c r="E7" s="4" t="inlineStr">
        <is>
          <t>WSE (m)</t>
        </is>
      </c>
      <c r="F7" s="4" t="inlineStr">
        <is>
          <t>Fond min (m)</t>
        </is>
      </c>
      <c r="G7" s="4" t="inlineStr">
        <is>
          <t>A (m²)</t>
        </is>
      </c>
      <c r="H7" s="4" t="inlineStr">
        <is>
          <t>P (m)</t>
        </is>
      </c>
      <c r="I7" s="4" t="inlineStr">
        <is>
          <t>R (m)</t>
        </is>
      </c>
      <c r="J7" s="4" t="inlineStr">
        <is>
          <t>V (m/s)</t>
        </is>
      </c>
      <c r="K7" s="4" t="inlineStr">
        <is>
          <t>Fr</t>
        </is>
      </c>
      <c r="L7" s="4" t="inlineStr">
        <is>
          <t>OK?</t>
        </is>
      </c>
      <c r="M7" s="4" t="inlineStr">
        <is>
          <t>Note S0 / capacité</t>
        </is>
      </c>
    </row>
    <row r="8">
      <c r="A8" s="5" t="inlineStr">
        <is>
          <t>1+000</t>
        </is>
      </c>
      <c r="B8" s="5" t="n">
        <v>0</v>
      </c>
      <c r="C8" s="6" t="n">
        <v>-0.03175</v>
      </c>
      <c r="D8" s="7" t="n"/>
      <c r="E8" s="7" t="n"/>
      <c r="F8" s="5" t="n">
        <v>34.47</v>
      </c>
      <c r="G8" s="7" t="n"/>
      <c r="H8" s="7" t="n"/>
      <c r="I8" s="7" t="n"/>
      <c r="J8" s="7" t="n"/>
      <c r="K8" s="7" t="n"/>
      <c r="L8" s="5" t="inlineStr">
        <is>
          <t>—</t>
        </is>
      </c>
      <c r="M8" s="5" t="inlineStr">
        <is>
          <t>S0 réel adverse = -0.03175 — V non calculée</t>
        </is>
      </c>
    </row>
    <row r="9">
      <c r="A9" s="5" t="inlineStr">
        <is>
          <t>2+000</t>
        </is>
      </c>
      <c r="B9" s="5" t="n">
        <v>13.783</v>
      </c>
      <c r="C9" s="5" t="n">
        <v>0.02011</v>
      </c>
      <c r="D9" s="5" t="n">
        <v>0.944</v>
      </c>
      <c r="E9" s="5" t="n">
        <v>35.514</v>
      </c>
      <c r="F9" s="5" t="n">
        <v>34.57</v>
      </c>
      <c r="G9" s="5" t="n">
        <v>2.92</v>
      </c>
      <c r="H9" s="5" t="n">
        <v>5.95</v>
      </c>
      <c r="I9" s="5" t="n">
        <v>0.491</v>
      </c>
      <c r="J9" s="8" t="n">
        <v>2.521</v>
      </c>
      <c r="K9" s="5" t="n">
        <v>1.12</v>
      </c>
      <c r="L9" s="5" t="inlineStr">
        <is>
          <t>Oui</t>
        </is>
      </c>
      <c r="M9" s="5" t="inlineStr">
        <is>
          <t>S0 réel (table long.)</t>
        </is>
      </c>
    </row>
    <row r="10">
      <c r="A10" s="5" t="inlineStr">
        <is>
          <t>3+000</t>
        </is>
      </c>
      <c r="B10" s="5" t="n">
        <v>23.663</v>
      </c>
      <c r="C10" s="6" t="n">
        <v>-0.0025</v>
      </c>
      <c r="D10" s="7" t="n"/>
      <c r="E10" s="7" t="n"/>
      <c r="F10" s="5" t="n">
        <v>34.42</v>
      </c>
      <c r="G10" s="7" t="n"/>
      <c r="H10" s="7" t="n"/>
      <c r="I10" s="7" t="n"/>
      <c r="J10" s="7" t="n"/>
      <c r="K10" s="7" t="n"/>
      <c r="L10" s="5" t="inlineStr">
        <is>
          <t>—</t>
        </is>
      </c>
      <c r="M10" s="5" t="inlineStr">
        <is>
          <t>S0 réel adverse = -0.00250 — V non calculée</t>
        </is>
      </c>
    </row>
    <row r="11">
      <c r="A11" s="5" t="inlineStr">
        <is>
          <t>4+000</t>
        </is>
      </c>
      <c r="B11" s="5" t="n">
        <v>35.641</v>
      </c>
      <c r="C11" s="5" t="n">
        <v>0.02032</v>
      </c>
      <c r="D11" s="5" t="n">
        <v>0.5649999999999999</v>
      </c>
      <c r="E11" s="5" t="n">
        <v>34.995</v>
      </c>
      <c r="F11" s="5" t="n">
        <v>34.43</v>
      </c>
      <c r="G11" s="5" t="n">
        <v>3.294</v>
      </c>
      <c r="H11" s="5" t="n">
        <v>8.105</v>
      </c>
      <c r="I11" s="5" t="n">
        <v>0.406</v>
      </c>
      <c r="J11" s="8" t="n">
        <v>2.235</v>
      </c>
      <c r="K11" s="5" t="n">
        <v>1.1</v>
      </c>
      <c r="L11" s="5" t="inlineStr">
        <is>
          <t>Oui</t>
        </is>
      </c>
      <c r="M11" s="5" t="inlineStr">
        <is>
          <t>S0 réel (table long.)</t>
        </is>
      </c>
    </row>
    <row r="12">
      <c r="A12" s="5" t="inlineStr">
        <is>
          <t>5+000</t>
        </is>
      </c>
      <c r="B12" s="5" t="n">
        <v>45.838</v>
      </c>
      <c r="C12" s="5" t="n">
        <v>0.0315</v>
      </c>
      <c r="D12" s="5" t="n">
        <v>0.51</v>
      </c>
      <c r="E12" s="5" t="n">
        <v>34.806</v>
      </c>
      <c r="F12" s="5" t="n">
        <v>34.296</v>
      </c>
      <c r="G12" s="5" t="n">
        <v>3.062</v>
      </c>
      <c r="H12" s="5" t="n">
        <v>9.382</v>
      </c>
      <c r="I12" s="5" t="n">
        <v>0.326</v>
      </c>
      <c r="J12" s="8" t="n">
        <v>2.404</v>
      </c>
      <c r="K12" s="5" t="n">
        <v>1.33</v>
      </c>
      <c r="L12" s="5" t="inlineStr">
        <is>
          <t>Oui</t>
        </is>
      </c>
      <c r="M12" s="5" t="inlineStr">
        <is>
          <t>S0 réel (table long.)</t>
        </is>
      </c>
    </row>
    <row r="13">
      <c r="A13" s="5" t="inlineStr">
        <is>
          <t>6+000</t>
        </is>
      </c>
      <c r="B13" s="5" t="n">
        <v>59.435</v>
      </c>
      <c r="C13" s="5" t="n">
        <v>0.00535</v>
      </c>
      <c r="D13" s="5" t="n">
        <v>0.774</v>
      </c>
      <c r="E13" s="5" t="n">
        <v>34.984</v>
      </c>
      <c r="F13" s="5" t="n">
        <v>34.21</v>
      </c>
      <c r="G13" s="5" t="n">
        <v>6.683</v>
      </c>
      <c r="H13" s="5" t="n">
        <v>17.467</v>
      </c>
      <c r="I13" s="5" t="n">
        <v>0.383</v>
      </c>
      <c r="J13" s="8" t="n">
        <v>1.101</v>
      </c>
      <c r="K13" s="5" t="n">
        <v>0.57</v>
      </c>
      <c r="L13" s="5" t="inlineStr">
        <is>
          <t>Oui</t>
        </is>
      </c>
      <c r="M13" s="5" t="inlineStr">
        <is>
          <t>S0 réel (table long.)</t>
        </is>
      </c>
    </row>
    <row r="14">
      <c r="A14" s="5" t="inlineStr">
        <is>
          <t>7+000</t>
        </is>
      </c>
      <c r="B14" s="5" t="n">
        <v>71.973</v>
      </c>
      <c r="C14" s="5" t="n">
        <v>0.01742</v>
      </c>
      <c r="D14" s="5" t="n">
        <v>0.465</v>
      </c>
      <c r="E14" s="5" t="n">
        <v>34.521</v>
      </c>
      <c r="F14" s="5" t="n">
        <v>34.056</v>
      </c>
      <c r="G14" s="5" t="n">
        <v>4.892</v>
      </c>
      <c r="H14" s="5" t="n">
        <v>19.417</v>
      </c>
      <c r="I14" s="5" t="n">
        <v>0.252</v>
      </c>
      <c r="J14" s="8" t="n">
        <v>1.504</v>
      </c>
      <c r="K14" s="5" t="n">
        <v>0.95</v>
      </c>
      <c r="L14" s="5" t="inlineStr">
        <is>
          <t>Oui</t>
        </is>
      </c>
      <c r="M14" s="5" t="inlineStr">
        <is>
          <t>S0 réel (table long.)</t>
        </is>
      </c>
    </row>
    <row r="15">
      <c r="A15" s="5" t="inlineStr">
        <is>
          <t>8+000</t>
        </is>
      </c>
      <c r="B15" s="5" t="n">
        <v>89.361</v>
      </c>
      <c r="C15" s="5" t="n">
        <v>0.00175</v>
      </c>
      <c r="D15" s="5" t="n">
        <v>1.606</v>
      </c>
      <c r="E15" s="5" t="n">
        <v>35.326</v>
      </c>
      <c r="F15" s="5" t="n">
        <v>33.72</v>
      </c>
      <c r="G15" s="5" t="n">
        <v>7.533</v>
      </c>
      <c r="H15" s="5" t="n">
        <v>10.191</v>
      </c>
      <c r="I15" s="5" t="n">
        <v>0.739</v>
      </c>
      <c r="J15" s="8" t="n">
        <v>0.977</v>
      </c>
      <c r="K15" s="5" t="n">
        <v>0.31</v>
      </c>
      <c r="L15" s="5" t="inlineStr">
        <is>
          <t>Oui</t>
        </is>
      </c>
      <c r="M15" s="5" t="inlineStr">
        <is>
          <t>S0 réel nearest @ 77.94 m = 0.00175</t>
        </is>
      </c>
    </row>
    <row r="16"/>
    <row r="17">
      <c r="A17" t="inlineStr">
        <is>
          <t>V max (S0&gt;0 seulement)</t>
        </is>
      </c>
      <c r="B17" s="9" t="n">
        <v>2.521</v>
      </c>
      <c r="C17" t="inlineStr">
        <is>
          <t>m/s</t>
        </is>
      </c>
    </row>
    <row r="18">
      <c r="A18" t="inlineStr">
        <is>
          <t>V min (S0&gt;0 seulement)</t>
        </is>
      </c>
      <c r="B18" t="n">
        <v>0.977</v>
      </c>
      <c r="C18" t="inlineStr">
        <is>
          <t>m/s</t>
        </is>
      </c>
    </row>
    <row r="19">
      <c r="A19" t="inlineStr">
        <is>
          <t>y max (S0&gt;0 seulement)</t>
        </is>
      </c>
      <c r="B19" t="n">
        <v>1.606</v>
      </c>
      <c r="C19" t="inlineStr">
        <is>
          <t>m</t>
        </is>
      </c>
    </row>
    <row r="20"/>
    <row r="21">
      <c r="A21" s="10" t="inlineStr">
        <is>
          <t>Notes</t>
        </is>
      </c>
    </row>
    <row r="22">
      <c r="A22" t="inlineStr">
        <is>
          <t>• Coupes réelles (Distance vs Elev), pas un trapèze constant.</t>
        </is>
      </c>
    </row>
    <row r="23">
      <c r="A23" t="inlineStr">
        <is>
          <t>• S0 = pente longitudinale RÉELLE signée du survey (adverse reste négative).</t>
        </is>
      </c>
    </row>
    <row r="24">
      <c r="A24" t="inlineStr">
        <is>
          <t>• Si S0 ≤ 0 : pas de calcul Manning → y / WSE / V vides. Pas de |S0|.</t>
        </is>
      </c>
    </row>
    <row r="25">
      <c r="A25" t="inlineStr">
        <is>
          <t>• Si S0 &gt; 0 : V = Q / A à la profondeur normale.</t>
        </is>
      </c>
    </row>
    <row r="26">
      <c r="A26" t="inlineStr">
        <is>
          <t>• Fr &gt; 1 ≈ régime torrentiel local.</t>
        </is>
      </c>
    </row>
    <row r="27">
      <c r="A27" t="inlineStr">
        <is>
          <t>• Voir onglets Formules_Aire et Aire_* : formules Excel live pour A et P.</t>
        </is>
      </c>
    </row>
    <row r="28">
      <c r="A28" t="inlineStr">
        <is>
          <t>• CSV nettoyés dans st_therese_data/ pour relecture.</t>
        </is>
      </c>
    </row>
    <row r="29">
      <c r="A29" t="inlineStr">
        <is>
          <t>• Lignes orange = pente adverse/nulle. Lignes vertes = Manning OK.</t>
        </is>
      </c>
    </row>
  </sheetData>
  <mergeCells count="9">
    <mergeCell ref="A2:L2"/>
    <mergeCell ref="A26:H26"/>
    <mergeCell ref="A29:H29"/>
    <mergeCell ref="A25:H25"/>
    <mergeCell ref="A24:H24"/>
    <mergeCell ref="A28:H28"/>
    <mergeCell ref="A23:H23"/>
    <mergeCell ref="A27:H27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Comment l'aire A est calculée (formules Excel actives dans les onglets Aire_*)</t>
        </is>
      </c>
    </row>
    <row r="2">
      <c r="A2" t="inlineStr"/>
    </row>
    <row r="3">
      <c r="A3" t="inlineStr">
        <is>
          <t>Géométrie: chaque coupe = polyligne Distance (x) vs Elev (z) du fichier sections.</t>
        </is>
      </c>
    </row>
    <row r="4">
      <c r="A4" t="inlineStr">
        <is>
          <t>On fixe une cote d'eau WSE. Pour chaque segment [i → i+1]:</t>
        </is>
      </c>
    </row>
    <row r="5">
      <c r="A5" t="inlineStr"/>
    </row>
    <row r="6">
      <c r="A6" t="inlineStr">
        <is>
          <t xml:space="preserve">  d0 = WSE − z_i     d1 = WSE − z_{i+1}</t>
        </is>
      </c>
    </row>
    <row r="7">
      <c r="A7" t="inlineStr"/>
    </row>
    <row r="8">
      <c r="A8" t="inlineStr">
        <is>
          <t xml:space="preserve">  1) Segment totalement sec (d0≤0 et d1≤0):     Ai = 0 ,  Pi = 0</t>
        </is>
      </c>
    </row>
    <row r="9">
      <c r="A9" t="inlineStr">
        <is>
          <t xml:space="preserve">  2) Segment totalement mouillé (d0≥0 et d1≥0):</t>
        </is>
      </c>
    </row>
    <row r="10">
      <c r="A10" t="inlineStr">
        <is>
          <t xml:space="preserve">        Ai = ½ · (d0 + d1) · |x_{i+1} − x_i|     (trapèze)</t>
        </is>
      </c>
    </row>
    <row r="11">
      <c r="A11" t="inlineStr">
        <is>
          <t xml:space="preserve">        Pi = √[(x_{i+1}−x_i)² + (z_{i+1}−z_i)²]  (longueur du fond)</t>
        </is>
      </c>
    </row>
    <row r="12">
      <c r="A12" t="inlineStr">
        <is>
          <t xml:space="preserve">  3) Un bout sec / un bout mouillé: intersection avec WSE en xi,</t>
        </is>
      </c>
    </row>
    <row r="13">
      <c r="A13" t="inlineStr">
        <is>
          <t xml:space="preserve">        Ai = ½ · d_wet · |xi − x_wet|            (triangle)</t>
        </is>
      </c>
    </row>
    <row r="14">
      <c r="A14" t="inlineStr">
        <is>
          <t xml:space="preserve">        Pi = longueur du bout mouillé jusqu'à xi</t>
        </is>
      </c>
    </row>
    <row r="15">
      <c r="A15" t="inlineStr"/>
    </row>
    <row r="16">
      <c r="A16" t="inlineStr">
        <is>
          <t xml:space="preserve">  A = Σ Ai     P = Σ Pi     R = A/P</t>
        </is>
      </c>
    </row>
    <row r="17">
      <c r="A17" t="inlineStr">
        <is>
          <t xml:space="preserve">  Si S0 &gt; 0:  Q_manning = (1/n)·A·R^(2/3)·√S0     V = Q / A</t>
        </is>
      </c>
    </row>
    <row r="18">
      <c r="A18" t="inlineStr"/>
    </row>
    <row r="19">
      <c r="A19" t="inlineStr">
        <is>
          <t>Onglets Aire_1+000 … Aire_8+000: cellule WSE jaune éditable → A et P se recalculent.</t>
        </is>
      </c>
    </row>
    <row r="20">
      <c r="A20" t="inlineStr">
        <is>
          <t>La WSE initiale est celle de la profondeur normale (si S0&gt;0), sinon fond+1 m.</t>
        </is>
      </c>
    </row>
    <row r="21">
      <c r="A21" t="inlineStr">
        <is>
          <t>Les résultats Resultats_Q736 restent les valeurs Manning résolues par Python.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2" t="inlineStr">
        <is>
          <t>Méthode</t>
        </is>
      </c>
    </row>
    <row r="2">
      <c r="A2" t="inlineStr"/>
    </row>
    <row r="3">
      <c r="A3" t="inlineStr">
        <is>
          <t>À chaque section transversale surveyée:</t>
        </is>
      </c>
    </row>
    <row r="4">
      <c r="A4" t="inlineStr">
        <is>
          <t xml:space="preserve">  1) Lire S0 réel (signé) sur le profil longitudinal à la station de la coupe</t>
        </is>
      </c>
    </row>
    <row r="5">
      <c r="A5" t="inlineStr">
        <is>
          <t xml:space="preserve">  2) Si S0 ≤ 0 → arrêter : afficher S0 réel, laisser V / y / WSE vides</t>
        </is>
      </c>
    </row>
    <row r="6">
      <c r="A6" t="inlineStr">
        <is>
          <t xml:space="preserve">  3) Si S0 &gt; 0 → construire A(WSE), P(WSE) sur la polyligne Distance–Elev</t>
        </is>
      </c>
    </row>
    <row r="7">
      <c r="A7" t="inlineStr">
        <is>
          <t xml:space="preserve">  4) Chercher WSE tel que (1/n)·A·R^(2/3)·√S0 = Q</t>
        </is>
      </c>
    </row>
    <row r="8">
      <c r="A8" t="inlineStr">
        <is>
          <t xml:space="preserve">  5) V = Q / A</t>
        </is>
      </c>
    </row>
    <row r="9">
      <c r="A9" t="inlineStr"/>
    </row>
    <row r="10">
      <c r="A10" t="inlineStr">
        <is>
          <t>Aire mouillée (détail dans Formules_Aire + onglets Aire_*):</t>
        </is>
      </c>
    </row>
    <row r="11">
      <c r="A11" t="inlineStr">
        <is>
          <t xml:space="preserve">  Ai = ½(d0+d1)|Δx| si segment mouillé; triangle si partiellement mouillé; 0 si sec</t>
        </is>
      </c>
    </row>
    <row r="12">
      <c r="A12" t="inlineStr">
        <is>
          <t xml:space="preserve">  A = Σ Ai ; P = Σ Pi ; R = A/P</t>
        </is>
      </c>
    </row>
    <row r="13">
      <c r="A13" t="inlineStr"/>
    </row>
    <row r="14">
      <c r="A14" t="inlineStr">
        <is>
          <t>Q = 7.36 m³/s, n = 0.035</t>
        </is>
      </c>
    </row>
    <row r="15">
      <c r="A15" t="inlineStr">
        <is>
          <t>Correspondance section → station: 1+000@0, 2+000@13.78, 3+000@23.66, 4+000@35.64,</t>
        </is>
      </c>
    </row>
    <row r="16">
      <c r="A16" t="inlineStr">
        <is>
          <t xml:space="preserve">  5+000@45.84, 6+000@59.44, 7+000@71.97, 8+000@89.36 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 longitudinal (données fournies) — S0 signé tel quel</t>
        </is>
      </c>
    </row>
    <row r="3">
      <c r="A3" s="4" t="inlineStr">
        <is>
          <t>Point</t>
        </is>
      </c>
      <c r="B3" s="4" t="inlineStr">
        <is>
          <t>Z fond</t>
        </is>
      </c>
      <c r="C3" s="4" t="inlineStr">
        <is>
          <t>ΔL</t>
        </is>
      </c>
      <c r="D3" s="4" t="inlineStr">
        <is>
          <t>S0 réel</t>
        </is>
      </c>
      <c r="E3" s="4" t="inlineStr">
        <is>
          <t>Station cum.</t>
        </is>
      </c>
    </row>
    <row r="4">
      <c r="A4" s="5" t="inlineStr">
        <is>
          <t>112</t>
        </is>
      </c>
      <c r="B4" s="5" t="n">
        <v>34.47</v>
      </c>
      <c r="C4" s="5" t="n">
        <v>9.763</v>
      </c>
      <c r="D4" s="7" t="n">
        <v>-0.03175</v>
      </c>
      <c r="E4" s="5" t="n">
        <v>0</v>
      </c>
    </row>
    <row r="5">
      <c r="A5" s="5" t="inlineStr">
        <is>
          <t>122</t>
        </is>
      </c>
      <c r="B5" s="5" t="n">
        <v>34.78</v>
      </c>
      <c r="C5" s="5" t="n">
        <v>4.02</v>
      </c>
      <c r="D5" s="5" t="n">
        <v>0.05224</v>
      </c>
      <c r="E5" s="5" t="n">
        <v>9.763</v>
      </c>
    </row>
    <row r="6">
      <c r="A6" s="5" t="inlineStr">
        <is>
          <t>125</t>
        </is>
      </c>
      <c r="B6" s="5" t="n">
        <v>34.57</v>
      </c>
      <c r="C6" s="5" t="n">
        <v>3.481</v>
      </c>
      <c r="D6" s="5" t="n">
        <v>0.02011</v>
      </c>
      <c r="E6" s="5" t="n">
        <v>13.783</v>
      </c>
    </row>
    <row r="7">
      <c r="A7" s="5" t="inlineStr">
        <is>
          <t>128</t>
        </is>
      </c>
      <c r="B7" s="5" t="n">
        <v>34.5</v>
      </c>
      <c r="C7" s="5" t="n">
        <v>6.399</v>
      </c>
      <c r="D7" s="5" t="n">
        <v>0.0125</v>
      </c>
      <c r="E7" s="5" t="n">
        <v>17.264</v>
      </c>
    </row>
    <row r="8">
      <c r="A8" s="5" t="inlineStr">
        <is>
          <t>131</t>
        </is>
      </c>
      <c r="B8" s="5" t="n">
        <v>34.42</v>
      </c>
      <c r="C8" s="5" t="n">
        <v>11.978</v>
      </c>
      <c r="D8" s="7" t="n">
        <v>-0.0025</v>
      </c>
      <c r="E8" s="5" t="n">
        <v>23.663</v>
      </c>
    </row>
    <row r="9">
      <c r="A9" s="5" t="inlineStr">
        <is>
          <t>173</t>
        </is>
      </c>
      <c r="B9" s="5" t="n">
        <v>34.45</v>
      </c>
      <c r="C9" s="5" t="n">
        <v>3.937</v>
      </c>
      <c r="D9" s="5" t="n">
        <v>0.02032</v>
      </c>
      <c r="E9" s="5" t="n">
        <v>35.641</v>
      </c>
    </row>
    <row r="10">
      <c r="A10" s="5" t="inlineStr">
        <is>
          <t>149</t>
        </is>
      </c>
      <c r="B10" s="5" t="n">
        <v>34.37</v>
      </c>
      <c r="C10" s="5" t="n">
        <v>6.26</v>
      </c>
      <c r="D10" s="7" t="n">
        <v>-0.01278</v>
      </c>
      <c r="E10" s="5" t="n">
        <v>39.578</v>
      </c>
    </row>
    <row r="11">
      <c r="A11" s="5" t="inlineStr">
        <is>
          <t>5+000</t>
        </is>
      </c>
      <c r="B11" s="5" t="n">
        <v>34.45</v>
      </c>
      <c r="C11" s="5" t="n">
        <v>5.08</v>
      </c>
      <c r="D11" s="5" t="n">
        <v>0.0315</v>
      </c>
      <c r="E11" s="5" t="n">
        <v>45.838</v>
      </c>
    </row>
    <row r="12">
      <c r="A12" s="5" t="inlineStr">
        <is>
          <t>503</t>
        </is>
      </c>
      <c r="B12" s="5" t="n">
        <v>34.29</v>
      </c>
      <c r="C12" s="5" t="n">
        <v>8.516999999999999</v>
      </c>
      <c r="D12" s="5" t="n">
        <v>0.009390000000000001</v>
      </c>
      <c r="E12" s="5" t="n">
        <v>50.918</v>
      </c>
    </row>
    <row r="13">
      <c r="A13" s="5" t="inlineStr">
        <is>
          <t>511</t>
        </is>
      </c>
      <c r="B13" s="5" t="n">
        <v>34.21</v>
      </c>
      <c r="C13" s="5" t="n">
        <v>9.35</v>
      </c>
      <c r="D13" s="5" t="n">
        <v>0.00535</v>
      </c>
      <c r="E13" s="5" t="n">
        <v>59.435</v>
      </c>
    </row>
    <row r="14">
      <c r="A14" s="5" t="inlineStr">
        <is>
          <t>515</t>
        </is>
      </c>
      <c r="B14" s="5" t="n">
        <v>34.16</v>
      </c>
      <c r="C14" s="5" t="n">
        <v>3.188</v>
      </c>
      <c r="D14" s="5" t="n">
        <v>0.03241</v>
      </c>
      <c r="E14" s="5" t="n">
        <v>68.785</v>
      </c>
    </row>
    <row r="15">
      <c r="A15" s="5" t="inlineStr">
        <is>
          <t>7+000</t>
        </is>
      </c>
      <c r="B15" s="5" t="n">
        <v>34.056</v>
      </c>
      <c r="C15" s="5" t="n">
        <v>5.968</v>
      </c>
      <c r="D15" s="5" t="n">
        <v>0.01742</v>
      </c>
      <c r="E15" s="5" t="n">
        <v>71.973</v>
      </c>
    </row>
    <row r="16">
      <c r="A16" s="5" t="inlineStr">
        <is>
          <t>520</t>
        </is>
      </c>
      <c r="B16" s="5" t="n">
        <v>33.91</v>
      </c>
      <c r="C16" s="5" t="n">
        <v>11.42</v>
      </c>
      <c r="D16" s="5" t="n">
        <v>0.00175</v>
      </c>
      <c r="E16" s="5" t="n">
        <v>77.941</v>
      </c>
    </row>
    <row r="17">
      <c r="A17" s="5" t="inlineStr">
        <is>
          <t>527</t>
        </is>
      </c>
      <c r="B17" s="5" t="n">
        <v>33.89</v>
      </c>
      <c r="C17" s="5" t="inlineStr">
        <is>
          <t>—</t>
        </is>
      </c>
      <c r="D17" s="5" t="inlineStr">
        <is>
          <t>—</t>
        </is>
      </c>
      <c r="E17" s="5" t="n">
        <v>89.361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6" customWidth="1" min="6" max="6"/>
    <col width="16" customWidth="1" min="7" max="7"/>
  </cols>
  <sheetData>
    <row r="1">
      <c r="A1" s="13" t="inlineStr">
        <is>
          <t>Section 1+000 — aire / périmètre mouillés (formules Excel)</t>
        </is>
      </c>
    </row>
    <row r="2">
      <c r="A2" t="inlineStr">
        <is>
          <t>WSE (m)</t>
        </is>
      </c>
      <c r="B2" s="14" t="n">
        <v>35.47</v>
      </c>
      <c r="C2" s="2" t="inlineStr">
        <is>
          <t>← éditer (jaune) : A et P se recalculent</t>
        </is>
      </c>
    </row>
    <row r="3">
      <c r="A3" t="inlineStr">
        <is>
          <t>Station cum. (m)</t>
        </is>
      </c>
      <c r="B3" t="n">
        <v>0</v>
      </c>
    </row>
    <row r="4">
      <c r="A4" t="inlineStr">
        <is>
          <t>S0 réel</t>
        </is>
      </c>
      <c r="B4" s="15" t="n">
        <v>-0.03175</v>
      </c>
      <c r="C4" t="inlineStr">
        <is>
          <t>adverse/nulle — Manning non applicable</t>
        </is>
      </c>
    </row>
    <row r="5">
      <c r="A5" t="inlineStr">
        <is>
          <t>Q (m³/s)</t>
        </is>
      </c>
      <c r="B5" s="3" t="n">
        <v>7.36</v>
      </c>
    </row>
    <row r="6">
      <c r="A6" t="inlineStr">
        <is>
          <t>n Manning</t>
        </is>
      </c>
      <c r="B6" s="3" t="n">
        <v>0.035</v>
      </c>
    </row>
    <row r="8">
      <c r="A8" s="4" t="inlineStr">
        <is>
          <t>#</t>
        </is>
      </c>
      <c r="B8" s="4" t="inlineStr">
        <is>
          <t>Distance x (m)</t>
        </is>
      </c>
      <c r="C8" s="4" t="inlineStr">
        <is>
          <t>Elev z (m)</t>
        </is>
      </c>
      <c r="D8" s="4" t="inlineStr">
        <is>
          <t>Desc</t>
        </is>
      </c>
      <c r="E8" s="4" t="inlineStr">
        <is>
          <t>d=WSE−z</t>
        </is>
      </c>
      <c r="F8" s="4" t="inlineStr">
        <is>
          <t>Ai segment (m²)</t>
        </is>
      </c>
      <c r="G8" s="4" t="inlineStr">
        <is>
          <t>Pi segment (m)</t>
        </is>
      </c>
    </row>
    <row r="9">
      <c r="A9" s="5" t="n">
        <v>1</v>
      </c>
      <c r="B9" s="5" t="n">
        <v>0</v>
      </c>
      <c r="C9" s="5" t="n">
        <v>41.31</v>
      </c>
      <c r="D9" s="5" t="inlineStr">
        <is>
          <t>TN</t>
        </is>
      </c>
      <c r="E9" s="5">
        <f>$B$2-C9</f>
        <v/>
      </c>
      <c r="F9" s="5">
        <f>IF(AND(($B$2-C9)&lt;=0,($B$2-C10)&lt;=0),0,IF(AND(($B$2-C9)&gt;=0,($B$2-C10)&gt;=0),0.5*(($B$2-C9)+($B$2-C10))*ABS(B10-B9),IF(($B$2-C9)&gt;0,0.5*($B$2-C9)*ABS((B9+(($B$2-C9)/(($B$2-C9)-($B$2-C10)))*(B10-B9))-B9),0.5*($B$2-C10)*ABS(B10-(B9+(($B$2-C9)/(($B$2-C9)-($B$2-C10)))*(B10-B9))))))</f>
        <v/>
      </c>
      <c r="G9" s="5">
        <f>IF(AND(($B$2-C9)&lt;=0,($B$2-C10)&lt;=0),0,IF(AND(($B$2-C9)&gt;=0,($B$2-C10)&gt;=0),SQRT((B10-B9)^2+(C10-C9)^2),IF(($B$2-C9)&gt;0,SQRT(((B9+(($B$2-C9)/(($B$2-C9)-($B$2-C10)))*(B10-B9))-B9)^2+($B$2-C9)^2),SQRT((B10-(B9+(($B$2-C9)/(($B$2-C9)-($B$2-C10)))*(B10-B9)))^2+($B$2-C10)^2))))</f>
        <v/>
      </c>
    </row>
    <row r="10">
      <c r="A10" s="5" t="n">
        <v>2</v>
      </c>
      <c r="B10" s="5" t="n">
        <v>9.98</v>
      </c>
      <c r="C10" s="5" t="n">
        <v>41.33</v>
      </c>
      <c r="D10" s="5" t="inlineStr">
        <is>
          <t>TN</t>
        </is>
      </c>
      <c r="E10" s="5">
        <f>$B$2-C10</f>
        <v/>
      </c>
      <c r="F10" s="5">
        <f>IF(AND(($B$2-C10)&lt;=0,($B$2-C11)&lt;=0),0,IF(AND(($B$2-C10)&gt;=0,($B$2-C11)&gt;=0),0.5*(($B$2-C10)+($B$2-C11))*ABS(B11-B10),IF(($B$2-C10)&gt;0,0.5*($B$2-C10)*ABS((B10+(($B$2-C10)/(($B$2-C10)-($B$2-C11)))*(B11-B10))-B10),0.5*($B$2-C11)*ABS(B11-(B10+(($B$2-C10)/(($B$2-C10)-($B$2-C11)))*(B11-B10))))))</f>
        <v/>
      </c>
      <c r="G10" s="5">
        <f>IF(AND(($B$2-C10)&lt;=0,($B$2-C11)&lt;=0),0,IF(AND(($B$2-C10)&gt;=0,($B$2-C11)&gt;=0),SQRT((B11-B10)^2+(C11-C10)^2),IF(($B$2-C10)&gt;0,SQRT(((B10+(($B$2-C10)/(($B$2-C10)-($B$2-C11)))*(B11-B10))-B10)^2+($B$2-C10)^2),SQRT((B11-(B10+(($B$2-C10)/(($B$2-C10)-($B$2-C11)))*(B11-B10)))^2+($B$2-C11)^2))))</f>
        <v/>
      </c>
    </row>
    <row r="11">
      <c r="A11" s="5" t="n">
        <v>3</v>
      </c>
      <c r="B11" s="5" t="n">
        <v>17.43</v>
      </c>
      <c r="C11" s="5" t="n">
        <v>40.92</v>
      </c>
      <c r="D11" s="5" t="inlineStr">
        <is>
          <t>TN</t>
        </is>
      </c>
      <c r="E11" s="5">
        <f>$B$2-C11</f>
        <v/>
      </c>
      <c r="F11" s="5">
        <f>IF(AND(($B$2-C11)&lt;=0,($B$2-C12)&lt;=0),0,IF(AND(($B$2-C11)&gt;=0,($B$2-C12)&gt;=0),0.5*(($B$2-C11)+($B$2-C12))*ABS(B12-B11),IF(($B$2-C11)&gt;0,0.5*($B$2-C11)*ABS((B11+(($B$2-C11)/(($B$2-C11)-($B$2-C12)))*(B12-B11))-B11),0.5*($B$2-C12)*ABS(B12-(B11+(($B$2-C11)/(($B$2-C11)-($B$2-C12)))*(B12-B11))))))</f>
        <v/>
      </c>
      <c r="G11" s="5">
        <f>IF(AND(($B$2-C11)&lt;=0,($B$2-C12)&lt;=0),0,IF(AND(($B$2-C11)&gt;=0,($B$2-C12)&gt;=0),SQRT((B12-B11)^2+(C12-C11)^2),IF(($B$2-C11)&gt;0,SQRT(((B11+(($B$2-C11)/(($B$2-C11)-($B$2-C12)))*(B12-B11))-B11)^2+($B$2-C11)^2),SQRT((B12-(B11+(($B$2-C11)/(($B$2-C11)-($B$2-C12)))*(B12-B11)))^2+($B$2-C12)^2))))</f>
        <v/>
      </c>
    </row>
    <row r="12">
      <c r="A12" s="5" t="n">
        <v>4</v>
      </c>
      <c r="B12" s="5" t="n">
        <v>22.7</v>
      </c>
      <c r="C12" s="5" t="n">
        <v>39</v>
      </c>
      <c r="D12" s="5" t="inlineStr">
        <is>
          <t>TN</t>
        </is>
      </c>
      <c r="E12" s="5">
        <f>$B$2-C12</f>
        <v/>
      </c>
      <c r="F12" s="5">
        <f>IF(AND(($B$2-C12)&lt;=0,($B$2-C13)&lt;=0),0,IF(AND(($B$2-C12)&gt;=0,($B$2-C13)&gt;=0),0.5*(($B$2-C12)+($B$2-C13))*ABS(B13-B12),IF(($B$2-C12)&gt;0,0.5*($B$2-C12)*ABS((B12+(($B$2-C12)/(($B$2-C12)-($B$2-C13)))*(B13-B12))-B12),0.5*($B$2-C13)*ABS(B13-(B12+(($B$2-C12)/(($B$2-C12)-($B$2-C13)))*(B13-B12))))))</f>
        <v/>
      </c>
      <c r="G12" s="5">
        <f>IF(AND(($B$2-C12)&lt;=0,($B$2-C13)&lt;=0),0,IF(AND(($B$2-C12)&gt;=0,($B$2-C13)&gt;=0),SQRT((B13-B12)^2+(C13-C12)^2),IF(($B$2-C12)&gt;0,SQRT(((B12+(($B$2-C12)/(($B$2-C12)-($B$2-C13)))*(B13-B12))-B12)^2+($B$2-C12)^2),SQRT((B13-(B12+(($B$2-C12)/(($B$2-C12)-($B$2-C13)))*(B13-B12)))^2+($B$2-C13)^2))))</f>
        <v/>
      </c>
    </row>
    <row r="13">
      <c r="A13" s="5" t="n">
        <v>5</v>
      </c>
      <c r="B13" s="5" t="n">
        <v>26.86</v>
      </c>
      <c r="C13" s="5" t="n">
        <v>36.55</v>
      </c>
      <c r="D13" s="5" t="inlineStr">
        <is>
          <t>TN</t>
        </is>
      </c>
      <c r="E13" s="5">
        <f>$B$2-C13</f>
        <v/>
      </c>
      <c r="F13" s="5">
        <f>IF(AND(($B$2-C13)&lt;=0,($B$2-C14)&lt;=0),0,IF(AND(($B$2-C13)&gt;=0,($B$2-C14)&gt;=0),0.5*(($B$2-C13)+($B$2-C14))*ABS(B14-B13),IF(($B$2-C13)&gt;0,0.5*($B$2-C13)*ABS((B13+(($B$2-C13)/(($B$2-C13)-($B$2-C14)))*(B14-B13))-B13),0.5*($B$2-C14)*ABS(B14-(B13+(($B$2-C13)/(($B$2-C13)-($B$2-C14)))*(B14-B13))))))</f>
        <v/>
      </c>
      <c r="G13" s="5">
        <f>IF(AND(($B$2-C13)&lt;=0,($B$2-C14)&lt;=0),0,IF(AND(($B$2-C13)&gt;=0,($B$2-C14)&gt;=0),SQRT((B14-B13)^2+(C14-C13)^2),IF(($B$2-C13)&gt;0,SQRT(((B13+(($B$2-C13)/(($B$2-C13)-($B$2-C14)))*(B14-B13))-B13)^2+($B$2-C13)^2),SQRT((B14-(B13+(($B$2-C13)/(($B$2-C13)-($B$2-C14)))*(B14-B13)))^2+($B$2-C14)^2))))</f>
        <v/>
      </c>
    </row>
    <row r="14">
      <c r="A14" s="5" t="n">
        <v>6</v>
      </c>
      <c r="B14" s="5" t="n">
        <v>31.63</v>
      </c>
      <c r="C14" s="5" t="n">
        <v>34.47</v>
      </c>
      <c r="D14" s="5" t="inlineStr">
        <is>
          <t>FOND</t>
        </is>
      </c>
      <c r="E14" s="5">
        <f>$B$2-C14</f>
        <v/>
      </c>
      <c r="F14" s="5">
        <f>IF(AND(($B$2-C14)&lt;=0,($B$2-C15)&lt;=0),0,IF(AND(($B$2-C14)&gt;=0,($B$2-C15)&gt;=0),0.5*(($B$2-C14)+($B$2-C15))*ABS(B15-B14),IF(($B$2-C14)&gt;0,0.5*($B$2-C14)*ABS((B14+(($B$2-C14)/(($B$2-C14)-($B$2-C15)))*(B15-B14))-B14),0.5*($B$2-C15)*ABS(B15-(B14+(($B$2-C14)/(($B$2-C14)-($B$2-C15)))*(B15-B14))))))</f>
        <v/>
      </c>
      <c r="G14" s="5">
        <f>IF(AND(($B$2-C14)&lt;=0,($B$2-C15)&lt;=0),0,IF(AND(($B$2-C14)&gt;=0,($B$2-C15)&gt;=0),SQRT((B15-B14)^2+(C15-C14)^2),IF(($B$2-C14)&gt;0,SQRT(((B14+(($B$2-C14)/(($B$2-C14)-($B$2-C15)))*(B15-B14))-B14)^2+($B$2-C14)^2),SQRT((B15-(B14+(($B$2-C14)/(($B$2-C14)-($B$2-C15)))*(B15-B14)))^2+($B$2-C15)^2))))</f>
        <v/>
      </c>
    </row>
    <row r="15">
      <c r="A15" s="5" t="n">
        <v>7</v>
      </c>
      <c r="B15" s="5" t="n">
        <v>33.084</v>
      </c>
      <c r="C15" s="5" t="n">
        <v>34.93</v>
      </c>
      <c r="D15" s="5" t="inlineStr">
        <is>
          <t>TN</t>
        </is>
      </c>
      <c r="E15" s="5">
        <f>$B$2-C15</f>
        <v/>
      </c>
      <c r="F15" s="5">
        <f>IF(AND(($B$2-C15)&lt;=0,($B$2-C16)&lt;=0),0,IF(AND(($B$2-C15)&gt;=0,($B$2-C16)&gt;=0),0.5*(($B$2-C15)+($B$2-C16))*ABS(B16-B15),IF(($B$2-C15)&gt;0,0.5*($B$2-C15)*ABS((B15+(($B$2-C15)/(($B$2-C15)-($B$2-C16)))*(B16-B15))-B15),0.5*($B$2-C16)*ABS(B16-(B15+(($B$2-C15)/(($B$2-C15)-($B$2-C16)))*(B16-B15))))))</f>
        <v/>
      </c>
      <c r="G15" s="5">
        <f>IF(AND(($B$2-C15)&lt;=0,($B$2-C16)&lt;=0),0,IF(AND(($B$2-C15)&gt;=0,($B$2-C16)&gt;=0),SQRT((B16-B15)^2+(C16-C15)^2),IF(($B$2-C15)&gt;0,SQRT(((B15+(($B$2-C15)/(($B$2-C15)-($B$2-C16)))*(B16-B15))-B15)^2+($B$2-C15)^2),SQRT((B16-(B15+(($B$2-C15)/(($B$2-C15)-($B$2-C16)))*(B16-B15)))^2+($B$2-C16)^2))))</f>
        <v/>
      </c>
    </row>
    <row r="16">
      <c r="A16" s="5" t="n">
        <v>8</v>
      </c>
      <c r="B16" s="5" t="n">
        <v>35.476</v>
      </c>
      <c r="C16" s="5" t="n">
        <v>35.8</v>
      </c>
      <c r="D16" s="5" t="inlineStr">
        <is>
          <t>TN</t>
        </is>
      </c>
      <c r="E16" s="5">
        <f>$B$2-C16</f>
        <v/>
      </c>
      <c r="F16" s="5">
        <f>IF(AND(($B$2-C16)&lt;=0,($B$2-C17)&lt;=0),0,IF(AND(($B$2-C16)&gt;=0,($B$2-C17)&gt;=0),0.5*(($B$2-C16)+($B$2-C17))*ABS(B17-B16),IF(($B$2-C16)&gt;0,0.5*($B$2-C16)*ABS((B16+(($B$2-C16)/(($B$2-C16)-($B$2-C17)))*(B17-B16))-B16),0.5*($B$2-C17)*ABS(B17-(B16+(($B$2-C16)/(($B$2-C16)-($B$2-C17)))*(B17-B16))))))</f>
        <v/>
      </c>
      <c r="G16" s="5">
        <f>IF(AND(($B$2-C16)&lt;=0,($B$2-C17)&lt;=0),0,IF(AND(($B$2-C16)&gt;=0,($B$2-C17)&gt;=0),SQRT((B17-B16)^2+(C17-C16)^2),IF(($B$2-C16)&gt;0,SQRT(((B16+(($B$2-C16)/(($B$2-C16)-($B$2-C17)))*(B17-B16))-B16)^2+($B$2-C16)^2),SQRT((B17-(B16+(($B$2-C16)/(($B$2-C16)-($B$2-C17)))*(B17-B16)))^2+($B$2-C17)^2))))</f>
        <v/>
      </c>
    </row>
    <row r="17">
      <c r="A17" s="5" t="n">
        <v>9</v>
      </c>
      <c r="B17" s="5" t="n">
        <v>37.766</v>
      </c>
      <c r="C17" s="5" t="n">
        <v>36.6</v>
      </c>
      <c r="D17" s="5" t="inlineStr">
        <is>
          <t>TN</t>
        </is>
      </c>
      <c r="E17" s="5">
        <f>$B$2-C17</f>
        <v/>
      </c>
      <c r="F17" s="5">
        <f>IF(AND(($B$2-C17)&lt;=0,($B$2-C18)&lt;=0),0,IF(AND(($B$2-C17)&gt;=0,($B$2-C18)&gt;=0),0.5*(($B$2-C17)+($B$2-C18))*ABS(B18-B17),IF(($B$2-C17)&gt;0,0.5*($B$2-C17)*ABS((B17+(($B$2-C17)/(($B$2-C17)-($B$2-C18)))*(B18-B17))-B17),0.5*($B$2-C18)*ABS(B18-(B17+(($B$2-C17)/(($B$2-C17)-($B$2-C18)))*(B18-B17))))))</f>
        <v/>
      </c>
      <c r="G17" s="5">
        <f>IF(AND(($B$2-C17)&lt;=0,($B$2-C18)&lt;=0),0,IF(AND(($B$2-C17)&gt;=0,($B$2-C18)&gt;=0),SQRT((B18-B17)^2+(C18-C17)^2),IF(($B$2-C17)&gt;0,SQRT(((B17+(($B$2-C17)/(($B$2-C17)-($B$2-C18)))*(B18-B17))-B17)^2+($B$2-C17)^2),SQRT((B18-(B17+(($B$2-C17)/(($B$2-C17)-($B$2-C18)))*(B18-B17)))^2+($B$2-C18)^2))))</f>
        <v/>
      </c>
    </row>
    <row r="18">
      <c r="A18" s="5" t="n">
        <v>10</v>
      </c>
      <c r="B18" s="5" t="n">
        <v>40.855</v>
      </c>
      <c r="C18" s="5" t="n">
        <v>37.13</v>
      </c>
      <c r="D18" s="5" t="inlineStr">
        <is>
          <t>TN</t>
        </is>
      </c>
      <c r="E18" s="5">
        <f>$B$2-C18</f>
        <v/>
      </c>
      <c r="F18" s="5">
        <f>IF(AND(($B$2-C18)&lt;=0,($B$2-C19)&lt;=0),0,IF(AND(($B$2-C18)&gt;=0,($B$2-C19)&gt;=0),0.5*(($B$2-C18)+($B$2-C19))*ABS(B19-B18),IF(($B$2-C18)&gt;0,0.5*($B$2-C18)*ABS((B18+(($B$2-C18)/(($B$2-C18)-($B$2-C19)))*(B19-B18))-B18),0.5*($B$2-C19)*ABS(B19-(B18+(($B$2-C18)/(($B$2-C18)-($B$2-C19)))*(B19-B18))))))</f>
        <v/>
      </c>
      <c r="G18" s="5">
        <f>IF(AND(($B$2-C18)&lt;=0,($B$2-C19)&lt;=0),0,IF(AND(($B$2-C18)&gt;=0,($B$2-C19)&gt;=0),SQRT((B19-B18)^2+(C19-C18)^2),IF(($B$2-C18)&gt;0,SQRT(((B18+(($B$2-C18)/(($B$2-C18)-($B$2-C19)))*(B19-B18))-B18)^2+($B$2-C18)^2),SQRT((B19-(B18+(($B$2-C18)/(($B$2-C18)-($B$2-C19)))*(B19-B18)))^2+($B$2-C19)^2))))</f>
        <v/>
      </c>
    </row>
    <row r="19">
      <c r="A19" s="5" t="n">
        <v>11</v>
      </c>
      <c r="B19" s="5" t="n">
        <v>43.953</v>
      </c>
      <c r="C19" s="5" t="n">
        <v>39.98</v>
      </c>
      <c r="D19" s="5" t="inlineStr">
        <is>
          <t>BLOC</t>
        </is>
      </c>
      <c r="E19" s="5">
        <f>$B$2-C19</f>
        <v/>
      </c>
      <c r="F19" s="5" t="n"/>
      <c r="G19" s="5" t="n"/>
    </row>
    <row r="20">
      <c r="G20" t="inlineStr">
        <is>
          <t>P = Σ Pi</t>
        </is>
      </c>
    </row>
    <row r="21">
      <c r="A21" s="10" t="inlineStr">
        <is>
          <t>Totaux</t>
        </is>
      </c>
      <c r="E21" t="inlineStr">
        <is>
          <t>A = Σ Ai</t>
        </is>
      </c>
      <c r="F21" s="16">
        <f>SUM(F9:F18)</f>
        <v/>
      </c>
      <c r="G21" s="16">
        <f>SUM(G9:G18)</f>
        <v/>
      </c>
    </row>
    <row r="23">
      <c r="A23" t="inlineStr">
        <is>
          <t>Fond min (m)</t>
        </is>
      </c>
      <c r="B23">
        <f>MIN(C9:C19)</f>
        <v/>
      </c>
    </row>
    <row r="24">
      <c r="A24" t="inlineStr">
        <is>
          <t>y = WSE − fond (m)</t>
        </is>
      </c>
      <c r="B24">
        <f>B2-B23</f>
        <v/>
      </c>
    </row>
    <row r="25">
      <c r="A25" t="inlineStr">
        <is>
          <t>A (m²)</t>
        </is>
      </c>
      <c r="B25" s="9">
        <f>F21</f>
        <v/>
      </c>
    </row>
    <row r="26">
      <c r="A26" t="inlineStr">
        <is>
          <t>P (m)</t>
        </is>
      </c>
      <c r="B26" s="9">
        <f>G21</f>
        <v/>
      </c>
    </row>
    <row r="27">
      <c r="A27" t="inlineStr">
        <is>
          <t>R = A/P (m)</t>
        </is>
      </c>
      <c r="B27">
        <f>IF(B26&gt;0,B25/B26,0)</f>
        <v/>
      </c>
    </row>
    <row r="28">
      <c r="A28" t="inlineStr">
        <is>
          <t>Q_manning (m³/s)</t>
        </is>
      </c>
      <c r="C28" s="15" t="inlineStr">
        <is>
          <t>S0≤0 → pas de Manning / V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6" customWidth="1" min="6" max="6"/>
    <col width="16" customWidth="1" min="7" max="7"/>
  </cols>
  <sheetData>
    <row r="1">
      <c r="A1" s="13" t="inlineStr">
        <is>
          <t>Section 2+000 — aire / périmètre mouillés (formules Excel)</t>
        </is>
      </c>
    </row>
    <row r="2">
      <c r="A2" t="inlineStr">
        <is>
          <t>WSE (m)</t>
        </is>
      </c>
      <c r="B2" s="14" t="n">
        <v>35.514</v>
      </c>
      <c r="C2" s="2" t="inlineStr">
        <is>
          <t>← éditer (jaune) : A et P se recalculent</t>
        </is>
      </c>
    </row>
    <row r="3">
      <c r="A3" t="inlineStr">
        <is>
          <t>Station cum. (m)</t>
        </is>
      </c>
      <c r="B3" t="n">
        <v>13.783</v>
      </c>
    </row>
    <row r="4">
      <c r="A4" t="inlineStr">
        <is>
          <t>S0 réel</t>
        </is>
      </c>
      <c r="B4" t="n">
        <v>0.02011</v>
      </c>
    </row>
    <row r="5">
      <c r="A5" t="inlineStr">
        <is>
          <t>Q (m³/s)</t>
        </is>
      </c>
      <c r="B5" s="3" t="n">
        <v>7.36</v>
      </c>
    </row>
    <row r="6">
      <c r="A6" t="inlineStr">
        <is>
          <t>n Manning</t>
        </is>
      </c>
      <c r="B6" s="3" t="n">
        <v>0.035</v>
      </c>
    </row>
    <row r="8">
      <c r="A8" s="4" t="inlineStr">
        <is>
          <t>#</t>
        </is>
      </c>
      <c r="B8" s="4" t="inlineStr">
        <is>
          <t>Distance x (m)</t>
        </is>
      </c>
      <c r="C8" s="4" t="inlineStr">
        <is>
          <t>Elev z (m)</t>
        </is>
      </c>
      <c r="D8" s="4" t="inlineStr">
        <is>
          <t>Desc</t>
        </is>
      </c>
      <c r="E8" s="4" t="inlineStr">
        <is>
          <t>d=WSE−z</t>
        </is>
      </c>
      <c r="F8" s="4" t="inlineStr">
        <is>
          <t>Ai segment (m²)</t>
        </is>
      </c>
      <c r="G8" s="4" t="inlineStr">
        <is>
          <t>Pi segment (m)</t>
        </is>
      </c>
    </row>
    <row r="9">
      <c r="A9" s="5" t="n">
        <v>1</v>
      </c>
      <c r="B9" s="5" t="n">
        <v>0</v>
      </c>
      <c r="C9" s="5" t="n">
        <v>40</v>
      </c>
      <c r="D9" s="5" t="inlineStr">
        <is>
          <t>BOR</t>
        </is>
      </c>
      <c r="E9" s="5">
        <f>$B$2-C9</f>
        <v/>
      </c>
      <c r="F9" s="5">
        <f>IF(AND(($B$2-C9)&lt;=0,($B$2-C10)&lt;=0),0,IF(AND(($B$2-C9)&gt;=0,($B$2-C10)&gt;=0),0.5*(($B$2-C9)+($B$2-C10))*ABS(B10-B9),IF(($B$2-C9)&gt;0,0.5*($B$2-C9)*ABS((B9+(($B$2-C9)/(($B$2-C9)-($B$2-C10)))*(B10-B9))-B9),0.5*($B$2-C10)*ABS(B10-(B9+(($B$2-C9)/(($B$2-C9)-($B$2-C10)))*(B10-B9))))))</f>
        <v/>
      </c>
      <c r="G9" s="5">
        <f>IF(AND(($B$2-C9)&lt;=0,($B$2-C10)&lt;=0),0,IF(AND(($B$2-C9)&gt;=0,($B$2-C10)&gt;=0),SQRT((B10-B9)^2+(C10-C9)^2),IF(($B$2-C9)&gt;0,SQRT(((B9+(($B$2-C9)/(($B$2-C9)-($B$2-C10)))*(B10-B9))-B9)^2+($B$2-C9)^2),SQRT((B10-(B9+(($B$2-C9)/(($B$2-C9)-($B$2-C10)))*(B10-B9)))^2+($B$2-C10)^2))))</f>
        <v/>
      </c>
    </row>
    <row r="10">
      <c r="A10" s="5" t="n">
        <v>2</v>
      </c>
      <c r="B10" s="5" t="n">
        <v>4.8</v>
      </c>
      <c r="C10" s="5" t="n">
        <v>39.5</v>
      </c>
      <c r="D10" s="5" t="inlineStr">
        <is>
          <t>TN</t>
        </is>
      </c>
      <c r="E10" s="5">
        <f>$B$2-C10</f>
        <v/>
      </c>
      <c r="F10" s="5">
        <f>IF(AND(($B$2-C10)&lt;=0,($B$2-C11)&lt;=0),0,IF(AND(($B$2-C10)&gt;=0,($B$2-C11)&gt;=0),0.5*(($B$2-C10)+($B$2-C11))*ABS(B11-B10),IF(($B$2-C10)&gt;0,0.5*($B$2-C10)*ABS((B10+(($B$2-C10)/(($B$2-C10)-($B$2-C11)))*(B11-B10))-B10),0.5*($B$2-C11)*ABS(B11-(B10+(($B$2-C10)/(($B$2-C10)-($B$2-C11)))*(B11-B10))))))</f>
        <v/>
      </c>
      <c r="G10" s="5">
        <f>IF(AND(($B$2-C10)&lt;=0,($B$2-C11)&lt;=0),0,IF(AND(($B$2-C10)&gt;=0,($B$2-C11)&gt;=0),SQRT((B11-B10)^2+(C11-C10)^2),IF(($B$2-C10)&gt;0,SQRT(((B10+(($B$2-C10)/(($B$2-C10)-($B$2-C11)))*(B11-B10))-B10)^2+($B$2-C10)^2),SQRT((B11-(B10+(($B$2-C10)/(($B$2-C10)-($B$2-C11)))*(B11-B10)))^2+($B$2-C11)^2))))</f>
        <v/>
      </c>
    </row>
    <row r="11">
      <c r="A11" s="5" t="n">
        <v>3</v>
      </c>
      <c r="B11" s="5" t="n">
        <v>7.05</v>
      </c>
      <c r="C11" s="5" t="n">
        <v>38.65</v>
      </c>
      <c r="D11" s="5" t="inlineStr">
        <is>
          <t>TN</t>
        </is>
      </c>
      <c r="E11" s="5">
        <f>$B$2-C11</f>
        <v/>
      </c>
      <c r="F11" s="5">
        <f>IF(AND(($B$2-C11)&lt;=0,($B$2-C12)&lt;=0),0,IF(AND(($B$2-C11)&gt;=0,($B$2-C12)&gt;=0),0.5*(($B$2-C11)+($B$2-C12))*ABS(B12-B11),IF(($B$2-C11)&gt;0,0.5*($B$2-C11)*ABS((B11+(($B$2-C11)/(($B$2-C11)-($B$2-C12)))*(B12-B11))-B11),0.5*($B$2-C12)*ABS(B12-(B11+(($B$2-C11)/(($B$2-C11)-($B$2-C12)))*(B12-B11))))))</f>
        <v/>
      </c>
      <c r="G11" s="5">
        <f>IF(AND(($B$2-C11)&lt;=0,($B$2-C12)&lt;=0),0,IF(AND(($B$2-C11)&gt;=0,($B$2-C12)&gt;=0),SQRT((B12-B11)^2+(C12-C11)^2),IF(($B$2-C11)&gt;0,SQRT(((B11+(($B$2-C11)/(($B$2-C11)-($B$2-C12)))*(B12-B11))-B11)^2+($B$2-C11)^2),SQRT((B12-(B11+(($B$2-C11)/(($B$2-C11)-($B$2-C12)))*(B12-B11)))^2+($B$2-C12)^2))))</f>
        <v/>
      </c>
    </row>
    <row r="12">
      <c r="A12" s="5" t="n">
        <v>4</v>
      </c>
      <c r="B12" s="5" t="n">
        <v>9.797000000000001</v>
      </c>
      <c r="C12" s="5" t="n">
        <v>37</v>
      </c>
      <c r="D12" s="5" t="inlineStr">
        <is>
          <t>TN</t>
        </is>
      </c>
      <c r="E12" s="5">
        <f>$B$2-C12</f>
        <v/>
      </c>
      <c r="F12" s="5">
        <f>IF(AND(($B$2-C12)&lt;=0,($B$2-C13)&lt;=0),0,IF(AND(($B$2-C12)&gt;=0,($B$2-C13)&gt;=0),0.5*(($B$2-C12)+($B$2-C13))*ABS(B13-B12),IF(($B$2-C12)&gt;0,0.5*($B$2-C12)*ABS((B12+(($B$2-C12)/(($B$2-C12)-($B$2-C13)))*(B13-B12))-B12),0.5*($B$2-C13)*ABS(B13-(B12+(($B$2-C12)/(($B$2-C12)-($B$2-C13)))*(B13-B12))))))</f>
        <v/>
      </c>
      <c r="G12" s="5">
        <f>IF(AND(($B$2-C12)&lt;=0,($B$2-C13)&lt;=0),0,IF(AND(($B$2-C12)&gt;=0,($B$2-C13)&gt;=0),SQRT((B13-B12)^2+(C13-C12)^2),IF(($B$2-C12)&gt;0,SQRT(((B12+(($B$2-C12)/(($B$2-C12)-($B$2-C13)))*(B13-B12))-B12)^2+($B$2-C12)^2),SQRT((B13-(B12+(($B$2-C12)/(($B$2-C12)-($B$2-C13)))*(B13-B12)))^2+($B$2-C13)^2))))</f>
        <v/>
      </c>
    </row>
    <row r="13">
      <c r="A13" s="5" t="n">
        <v>5</v>
      </c>
      <c r="B13" s="5" t="n">
        <v>15.147</v>
      </c>
      <c r="C13" s="5" t="n">
        <v>34.93</v>
      </c>
      <c r="D13" s="5" t="inlineStr">
        <is>
          <t>TAB</t>
        </is>
      </c>
      <c r="E13" s="5">
        <f>$B$2-C13</f>
        <v/>
      </c>
      <c r="F13" s="5">
        <f>IF(AND(($B$2-C13)&lt;=0,($B$2-C14)&lt;=0),0,IF(AND(($B$2-C13)&gt;=0,($B$2-C14)&gt;=0),0.5*(($B$2-C13)+($B$2-C14))*ABS(B14-B13),IF(($B$2-C13)&gt;0,0.5*($B$2-C13)*ABS((B13+(($B$2-C13)/(($B$2-C13)-($B$2-C14)))*(B14-B13))-B13),0.5*($B$2-C14)*ABS(B14-(B13+(($B$2-C13)/(($B$2-C13)-($B$2-C14)))*(B14-B13))))))</f>
        <v/>
      </c>
      <c r="G13" s="5">
        <f>IF(AND(($B$2-C13)&lt;=0,($B$2-C14)&lt;=0),0,IF(AND(($B$2-C13)&gt;=0,($B$2-C14)&gt;=0),SQRT((B14-B13)^2+(C14-C13)^2),IF(($B$2-C13)&gt;0,SQRT(((B13+(($B$2-C13)/(($B$2-C13)-($B$2-C14)))*(B14-B13))-B13)^2+($B$2-C13)^2),SQRT((B14-(B13+(($B$2-C13)/(($B$2-C13)-($B$2-C14)))*(B14-B13)))^2+($B$2-C14)^2))))</f>
        <v/>
      </c>
    </row>
    <row r="14">
      <c r="A14" s="5" t="n">
        <v>6</v>
      </c>
      <c r="B14" s="5" t="n">
        <v>16.46</v>
      </c>
      <c r="C14" s="5" t="n">
        <v>34.57</v>
      </c>
      <c r="D14" s="5" t="inlineStr">
        <is>
          <t>FOND</t>
        </is>
      </c>
      <c r="E14" s="5">
        <f>$B$2-C14</f>
        <v/>
      </c>
      <c r="F14" s="5">
        <f>IF(AND(($B$2-C14)&lt;=0,($B$2-C15)&lt;=0),0,IF(AND(($B$2-C14)&gt;=0,($B$2-C15)&gt;=0),0.5*(($B$2-C14)+($B$2-C15))*ABS(B15-B14),IF(($B$2-C14)&gt;0,0.5*($B$2-C14)*ABS((B14+(($B$2-C14)/(($B$2-C14)-($B$2-C15)))*(B15-B14))-B14),0.5*($B$2-C15)*ABS(B15-(B14+(($B$2-C14)/(($B$2-C14)-($B$2-C15)))*(B15-B14))))))</f>
        <v/>
      </c>
      <c r="G14" s="5">
        <f>IF(AND(($B$2-C14)&lt;=0,($B$2-C15)&lt;=0),0,IF(AND(($B$2-C14)&gt;=0,($B$2-C15)&gt;=0),SQRT((B15-B14)^2+(C15-C14)^2),IF(($B$2-C14)&gt;0,SQRT(((B14+(($B$2-C14)/(($B$2-C14)-($B$2-C15)))*(B15-B14))-B14)^2+($B$2-C14)^2),SQRT((B15-(B14+(($B$2-C14)/(($B$2-C14)-($B$2-C15)))*(B15-B14)))^2+($B$2-C15)^2))))</f>
        <v/>
      </c>
    </row>
    <row r="15">
      <c r="A15" s="5" t="n">
        <v>7</v>
      </c>
      <c r="B15" s="5" t="n">
        <v>17.76</v>
      </c>
      <c r="C15" s="5" t="n">
        <v>34.9</v>
      </c>
      <c r="D15" s="5" t="inlineStr">
        <is>
          <t>TAB</t>
        </is>
      </c>
      <c r="E15" s="5">
        <f>$B$2-C15</f>
        <v/>
      </c>
      <c r="F15" s="5">
        <f>IF(AND(($B$2-C15)&lt;=0,($B$2-C16)&lt;=0),0,IF(AND(($B$2-C15)&gt;=0,($B$2-C16)&gt;=0),0.5*(($B$2-C15)+($B$2-C16))*ABS(B16-B15),IF(($B$2-C15)&gt;0,0.5*($B$2-C15)*ABS((B15+(($B$2-C15)/(($B$2-C15)-($B$2-C16)))*(B16-B15))-B15),0.5*($B$2-C16)*ABS(B16-(B15+(($B$2-C15)/(($B$2-C15)-($B$2-C16)))*(B16-B15))))))</f>
        <v/>
      </c>
      <c r="G15" s="5">
        <f>IF(AND(($B$2-C15)&lt;=0,($B$2-C16)&lt;=0),0,IF(AND(($B$2-C15)&gt;=0,($B$2-C16)&gt;=0),SQRT((B16-B15)^2+(C16-C15)^2),IF(($B$2-C15)&gt;0,SQRT(((B15+(($B$2-C15)/(($B$2-C15)-($B$2-C16)))*(B16-B15))-B15)^2+($B$2-C15)^2),SQRT((B16-(B15+(($B$2-C15)/(($B$2-C15)-($B$2-C16)))*(B16-B15)))^2+($B$2-C16)^2))))</f>
        <v/>
      </c>
    </row>
    <row r="16">
      <c r="A16" s="5" t="n">
        <v>8</v>
      </c>
      <c r="B16" s="5" t="n">
        <v>21.518</v>
      </c>
      <c r="C16" s="5" t="n">
        <v>36.43</v>
      </c>
      <c r="D16" s="5" t="inlineStr">
        <is>
          <t>TN</t>
        </is>
      </c>
      <c r="E16" s="5">
        <f>$B$2-C16</f>
        <v/>
      </c>
      <c r="F16" s="5">
        <f>IF(AND(($B$2-C16)&lt;=0,($B$2-C17)&lt;=0),0,IF(AND(($B$2-C16)&gt;=0,($B$2-C17)&gt;=0),0.5*(($B$2-C16)+($B$2-C17))*ABS(B17-B16),IF(($B$2-C16)&gt;0,0.5*($B$2-C16)*ABS((B16+(($B$2-C16)/(($B$2-C16)-($B$2-C17)))*(B17-B16))-B16),0.5*($B$2-C17)*ABS(B17-(B16+(($B$2-C16)/(($B$2-C16)-($B$2-C17)))*(B17-B16))))))</f>
        <v/>
      </c>
      <c r="G16" s="5">
        <f>IF(AND(($B$2-C16)&lt;=0,($B$2-C17)&lt;=0),0,IF(AND(($B$2-C16)&gt;=0,($B$2-C17)&gt;=0),SQRT((B17-B16)^2+(C17-C16)^2),IF(($B$2-C16)&gt;0,SQRT(((B16+(($B$2-C16)/(($B$2-C16)-($B$2-C17)))*(B17-B16))-B16)^2+($B$2-C16)^2),SQRT((B17-(B16+(($B$2-C16)/(($B$2-C16)-($B$2-C17)))*(B17-B16)))^2+($B$2-C17)^2))))</f>
        <v/>
      </c>
    </row>
    <row r="17">
      <c r="A17" s="5" t="n">
        <v>9</v>
      </c>
      <c r="B17" s="5" t="n">
        <v>25.675</v>
      </c>
      <c r="C17" s="5" t="n">
        <v>36.64</v>
      </c>
      <c r="D17" s="5" t="inlineStr">
        <is>
          <t>TN</t>
        </is>
      </c>
      <c r="E17" s="5">
        <f>$B$2-C17</f>
        <v/>
      </c>
      <c r="F17" s="5">
        <f>IF(AND(($B$2-C17)&lt;=0,($B$2-C18)&lt;=0),0,IF(AND(($B$2-C17)&gt;=0,($B$2-C18)&gt;=0),0.5*(($B$2-C17)+($B$2-C18))*ABS(B18-B17),IF(($B$2-C17)&gt;0,0.5*($B$2-C17)*ABS((B17+(($B$2-C17)/(($B$2-C17)-($B$2-C18)))*(B18-B17))-B17),0.5*($B$2-C18)*ABS(B18-(B17+(($B$2-C17)/(($B$2-C17)-($B$2-C18)))*(B18-B17))))))</f>
        <v/>
      </c>
      <c r="G17" s="5">
        <f>IF(AND(($B$2-C17)&lt;=0,($B$2-C18)&lt;=0),0,IF(AND(($B$2-C17)&gt;=0,($B$2-C18)&gt;=0),SQRT((B18-B17)^2+(C18-C17)^2),IF(($B$2-C17)&gt;0,SQRT(((B17+(($B$2-C17)/(($B$2-C17)-($B$2-C18)))*(B18-B17))-B17)^2+($B$2-C17)^2),SQRT((B18-(B17+(($B$2-C17)/(($B$2-C17)-($B$2-C18)))*(B18-B17)))^2+($B$2-C18)^2))))</f>
        <v/>
      </c>
    </row>
    <row r="18">
      <c r="A18" s="5" t="n">
        <v>10</v>
      </c>
      <c r="B18" s="5" t="n">
        <v>30.665</v>
      </c>
      <c r="C18" s="5" t="n">
        <v>39.69</v>
      </c>
      <c r="D18" s="5" t="inlineStr">
        <is>
          <t>BLOC</t>
        </is>
      </c>
      <c r="E18" s="5">
        <f>$B$2-C18</f>
        <v/>
      </c>
      <c r="F18" s="5" t="n"/>
      <c r="G18" s="5" t="n"/>
    </row>
    <row r="19">
      <c r="G19" t="inlineStr">
        <is>
          <t>P = Σ Pi</t>
        </is>
      </c>
    </row>
    <row r="20">
      <c r="A20" s="10" t="inlineStr">
        <is>
          <t>Totaux</t>
        </is>
      </c>
      <c r="E20" t="inlineStr">
        <is>
          <t>A = Σ Ai</t>
        </is>
      </c>
      <c r="F20" s="16">
        <f>SUM(F9:F17)</f>
        <v/>
      </c>
      <c r="G20" s="16">
        <f>SUM(G9:G17)</f>
        <v/>
      </c>
    </row>
    <row r="22">
      <c r="A22" t="inlineStr">
        <is>
          <t>Fond min (m)</t>
        </is>
      </c>
      <c r="B22">
        <f>MIN(C9:C18)</f>
        <v/>
      </c>
    </row>
    <row r="23">
      <c r="A23" t="inlineStr">
        <is>
          <t>y = WSE − fond (m)</t>
        </is>
      </c>
      <c r="B23">
        <f>B2-B22</f>
        <v/>
      </c>
    </row>
    <row r="24">
      <c r="A24" t="inlineStr">
        <is>
          <t>A (m²)</t>
        </is>
      </c>
      <c r="B24" s="9">
        <f>F20</f>
        <v/>
      </c>
    </row>
    <row r="25">
      <c r="A25" t="inlineStr">
        <is>
          <t>P (m)</t>
        </is>
      </c>
      <c r="B25" s="9">
        <f>G20</f>
        <v/>
      </c>
    </row>
    <row r="26">
      <c r="A26" t="inlineStr">
        <is>
          <t>R = A/P (m)</t>
        </is>
      </c>
      <c r="B26">
        <f>IF(B25&gt;0,B24/B25,0)</f>
        <v/>
      </c>
    </row>
    <row r="27">
      <c r="A27" t="inlineStr">
        <is>
          <t>Q_manning (m³/s)</t>
        </is>
      </c>
      <c r="B27">
        <f>IF(OR(B6&lt;=0,B24&lt;=0,B4&lt;=0),0,(1/B6)*B24*(B26^(2/3))*SQRT(B4))</f>
        <v/>
      </c>
    </row>
    <row r="28">
      <c r="A28" t="inlineStr">
        <is>
          <t>V = Q/A (m/s)</t>
        </is>
      </c>
      <c r="B28" s="9">
        <f>IF(B24&gt;0,B5/B24,0)</f>
        <v/>
      </c>
    </row>
    <row r="29">
      <c r="A29" t="inlineStr">
        <is>
          <t>Note</t>
        </is>
      </c>
      <c r="B29" t="inlineStr">
        <is>
          <t>V utilise Q de B5 (débit de projet). Pour la profondeur normale, ajuster WSE jusqu'à Q_manning ≈ Q.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6" customWidth="1" min="6" max="6"/>
    <col width="16" customWidth="1" min="7" max="7"/>
  </cols>
  <sheetData>
    <row r="1">
      <c r="A1" s="13" t="inlineStr">
        <is>
          <t>Section 3+000 — aire / périmètre mouillés (formules Excel)</t>
        </is>
      </c>
    </row>
    <row r="2">
      <c r="A2" t="inlineStr">
        <is>
          <t>WSE (m)</t>
        </is>
      </c>
      <c r="B2" s="14" t="n">
        <v>35.42</v>
      </c>
      <c r="C2" s="2" t="inlineStr">
        <is>
          <t>← éditer (jaune) : A et P se recalculent</t>
        </is>
      </c>
    </row>
    <row r="3">
      <c r="A3" t="inlineStr">
        <is>
          <t>Station cum. (m)</t>
        </is>
      </c>
      <c r="B3" t="n">
        <v>23.663</v>
      </c>
    </row>
    <row r="4">
      <c r="A4" t="inlineStr">
        <is>
          <t>S0 réel</t>
        </is>
      </c>
      <c r="B4" s="15" t="n">
        <v>-0.0025</v>
      </c>
      <c r="C4" t="inlineStr">
        <is>
          <t>adverse/nulle — Manning non applicable</t>
        </is>
      </c>
    </row>
    <row r="5">
      <c r="A5" t="inlineStr">
        <is>
          <t>Q (m³/s)</t>
        </is>
      </c>
      <c r="B5" s="3" t="n">
        <v>7.36</v>
      </c>
    </row>
    <row r="6">
      <c r="A6" t="inlineStr">
        <is>
          <t>n Manning</t>
        </is>
      </c>
      <c r="B6" s="3" t="n">
        <v>0.035</v>
      </c>
    </row>
    <row r="8">
      <c r="A8" s="4" t="inlineStr">
        <is>
          <t>#</t>
        </is>
      </c>
      <c r="B8" s="4" t="inlineStr">
        <is>
          <t>Distance x (m)</t>
        </is>
      </c>
      <c r="C8" s="4" t="inlineStr">
        <is>
          <t>Elev z (m)</t>
        </is>
      </c>
      <c r="D8" s="4" t="inlineStr">
        <is>
          <t>Desc</t>
        </is>
      </c>
      <c r="E8" s="4" t="inlineStr">
        <is>
          <t>d=WSE−z</t>
        </is>
      </c>
      <c r="F8" s="4" t="inlineStr">
        <is>
          <t>Ai segment (m²)</t>
        </is>
      </c>
      <c r="G8" s="4" t="inlineStr">
        <is>
          <t>Pi segment (m)</t>
        </is>
      </c>
    </row>
    <row r="9">
      <c r="A9" s="5" t="n">
        <v>1</v>
      </c>
      <c r="B9" s="5" t="n">
        <v>0</v>
      </c>
      <c r="C9" s="5" t="n">
        <v>39.84</v>
      </c>
      <c r="D9" s="5" t="inlineStr">
        <is>
          <t>TN</t>
        </is>
      </c>
      <c r="E9" s="5">
        <f>$B$2-C9</f>
        <v/>
      </c>
      <c r="F9" s="5">
        <f>IF(AND(($B$2-C9)&lt;=0,($B$2-C10)&lt;=0),0,IF(AND(($B$2-C9)&gt;=0,($B$2-C10)&gt;=0),0.5*(($B$2-C9)+($B$2-C10))*ABS(B10-B9),IF(($B$2-C9)&gt;0,0.5*($B$2-C9)*ABS((B9+(($B$2-C9)/(($B$2-C9)-($B$2-C10)))*(B10-B9))-B9),0.5*($B$2-C10)*ABS(B10-(B9+(($B$2-C9)/(($B$2-C9)-($B$2-C10)))*(B10-B9))))))</f>
        <v/>
      </c>
      <c r="G9" s="5">
        <f>IF(AND(($B$2-C9)&lt;=0,($B$2-C10)&lt;=0),0,IF(AND(($B$2-C9)&gt;=0,($B$2-C10)&gt;=0),SQRT((B10-B9)^2+(C10-C9)^2),IF(($B$2-C9)&gt;0,SQRT(((B9+(($B$2-C9)/(($B$2-C9)-($B$2-C10)))*(B10-B9))-B9)^2+($B$2-C9)^2),SQRT((B10-(B9+(($B$2-C9)/(($B$2-C9)-($B$2-C10)))*(B10-B9)))^2+($B$2-C10)^2))))</f>
        <v/>
      </c>
    </row>
    <row r="10">
      <c r="A10" s="5" t="n">
        <v>2</v>
      </c>
      <c r="B10" s="5" t="n">
        <v>5.187</v>
      </c>
      <c r="C10" s="5" t="n">
        <v>38.8</v>
      </c>
      <c r="D10" s="5" t="inlineStr">
        <is>
          <t>TN</t>
        </is>
      </c>
      <c r="E10" s="5">
        <f>$B$2-C10</f>
        <v/>
      </c>
      <c r="F10" s="5">
        <f>IF(AND(($B$2-C10)&lt;=0,($B$2-C11)&lt;=0),0,IF(AND(($B$2-C10)&gt;=0,($B$2-C11)&gt;=0),0.5*(($B$2-C10)+($B$2-C11))*ABS(B11-B10),IF(($B$2-C10)&gt;0,0.5*($B$2-C10)*ABS((B10+(($B$2-C10)/(($B$2-C10)-($B$2-C11)))*(B11-B10))-B10),0.5*($B$2-C11)*ABS(B11-(B10+(($B$2-C10)/(($B$2-C10)-($B$2-C11)))*(B11-B10))))))</f>
        <v/>
      </c>
      <c r="G10" s="5">
        <f>IF(AND(($B$2-C10)&lt;=0,($B$2-C11)&lt;=0),0,IF(AND(($B$2-C10)&gt;=0,($B$2-C11)&gt;=0),SQRT((B11-B10)^2+(C11-C10)^2),IF(($B$2-C10)&gt;0,SQRT(((B10+(($B$2-C10)/(($B$2-C10)-($B$2-C11)))*(B11-B10))-B10)^2+($B$2-C10)^2),SQRT((B11-(B10+(($B$2-C10)/(($B$2-C10)-($B$2-C11)))*(B11-B10)))^2+($B$2-C11)^2))))</f>
        <v/>
      </c>
    </row>
    <row r="11">
      <c r="A11" s="5" t="n">
        <v>3</v>
      </c>
      <c r="B11" s="5" t="n">
        <v>8.771000000000001</v>
      </c>
      <c r="C11" s="5" t="n">
        <v>36.81</v>
      </c>
      <c r="D11" s="5" t="inlineStr">
        <is>
          <t>TN</t>
        </is>
      </c>
      <c r="E11" s="5">
        <f>$B$2-C11</f>
        <v/>
      </c>
      <c r="F11" s="5">
        <f>IF(AND(($B$2-C11)&lt;=0,($B$2-C12)&lt;=0),0,IF(AND(($B$2-C11)&gt;=0,($B$2-C12)&gt;=0),0.5*(($B$2-C11)+($B$2-C12))*ABS(B12-B11),IF(($B$2-C11)&gt;0,0.5*($B$2-C11)*ABS((B11+(($B$2-C11)/(($B$2-C11)-($B$2-C12)))*(B12-B11))-B11),0.5*($B$2-C12)*ABS(B12-(B11+(($B$2-C11)/(($B$2-C11)-($B$2-C12)))*(B12-B11))))))</f>
        <v/>
      </c>
      <c r="G11" s="5">
        <f>IF(AND(($B$2-C11)&lt;=0,($B$2-C12)&lt;=0),0,IF(AND(($B$2-C11)&gt;=0,($B$2-C12)&gt;=0),SQRT((B12-B11)^2+(C12-C11)^2),IF(($B$2-C11)&gt;0,SQRT(((B11+(($B$2-C11)/(($B$2-C11)-($B$2-C12)))*(B12-B11))-B11)^2+($B$2-C11)^2),SQRT((B12-(B11+(($B$2-C11)/(($B$2-C11)-($B$2-C12)))*(B12-B11)))^2+($B$2-C12)^2))))</f>
        <v/>
      </c>
    </row>
    <row r="12">
      <c r="A12" s="5" t="n">
        <v>4</v>
      </c>
      <c r="B12" s="5" t="n">
        <v>11.741</v>
      </c>
      <c r="C12" s="5" t="n">
        <v>35.92</v>
      </c>
      <c r="D12" s="5" t="inlineStr">
        <is>
          <t>TN</t>
        </is>
      </c>
      <c r="E12" s="5">
        <f>$B$2-C12</f>
        <v/>
      </c>
      <c r="F12" s="5">
        <f>IF(AND(($B$2-C12)&lt;=0,($B$2-C13)&lt;=0),0,IF(AND(($B$2-C12)&gt;=0,($B$2-C13)&gt;=0),0.5*(($B$2-C12)+($B$2-C13))*ABS(B13-B12),IF(($B$2-C12)&gt;0,0.5*($B$2-C12)*ABS((B12+(($B$2-C12)/(($B$2-C12)-($B$2-C13)))*(B13-B12))-B12),0.5*($B$2-C13)*ABS(B13-(B12+(($B$2-C12)/(($B$2-C12)-($B$2-C13)))*(B13-B12))))))</f>
        <v/>
      </c>
      <c r="G12" s="5">
        <f>IF(AND(($B$2-C12)&lt;=0,($B$2-C13)&lt;=0),0,IF(AND(($B$2-C12)&gt;=0,($B$2-C13)&gt;=0),SQRT((B13-B12)^2+(C13-C12)^2),IF(($B$2-C12)&gt;0,SQRT(((B12+(($B$2-C12)/(($B$2-C12)-($B$2-C13)))*(B13-B12))-B12)^2+($B$2-C12)^2),SQRT((B13-(B12+(($B$2-C12)/(($B$2-C12)-($B$2-C13)))*(B13-B12)))^2+($B$2-C13)^2))))</f>
        <v/>
      </c>
    </row>
    <row r="13">
      <c r="A13" s="5" t="n">
        <v>5</v>
      </c>
      <c r="B13" s="5" t="n">
        <v>13.106</v>
      </c>
      <c r="C13" s="5" t="n">
        <v>34.94</v>
      </c>
      <c r="D13" s="5" t="inlineStr">
        <is>
          <t>TAB</t>
        </is>
      </c>
      <c r="E13" s="5">
        <f>$B$2-C13</f>
        <v/>
      </c>
      <c r="F13" s="5">
        <f>IF(AND(($B$2-C13)&lt;=0,($B$2-C14)&lt;=0),0,IF(AND(($B$2-C13)&gt;=0,($B$2-C14)&gt;=0),0.5*(($B$2-C13)+($B$2-C14))*ABS(B14-B13),IF(($B$2-C13)&gt;0,0.5*($B$2-C13)*ABS((B13+(($B$2-C13)/(($B$2-C13)-($B$2-C14)))*(B14-B13))-B13),0.5*($B$2-C14)*ABS(B14-(B13+(($B$2-C13)/(($B$2-C13)-($B$2-C14)))*(B14-B13))))))</f>
        <v/>
      </c>
      <c r="G13" s="5">
        <f>IF(AND(($B$2-C13)&lt;=0,($B$2-C14)&lt;=0),0,IF(AND(($B$2-C13)&gt;=0,($B$2-C14)&gt;=0),SQRT((B14-B13)^2+(C14-C13)^2),IF(($B$2-C13)&gt;0,SQRT(((B13+(($B$2-C13)/(($B$2-C13)-($B$2-C14)))*(B14-B13))-B13)^2+($B$2-C13)^2),SQRT((B14-(B13+(($B$2-C13)/(($B$2-C13)-($B$2-C14)))*(B14-B13)))^2+($B$2-C14)^2))))</f>
        <v/>
      </c>
    </row>
    <row r="14">
      <c r="A14" s="5" t="n">
        <v>6</v>
      </c>
      <c r="B14" s="5" t="n">
        <v>13.616</v>
      </c>
      <c r="C14" s="5" t="n">
        <v>34.93</v>
      </c>
      <c r="D14" s="5" t="inlineStr">
        <is>
          <t>TN</t>
        </is>
      </c>
      <c r="E14" s="5">
        <f>$B$2-C14</f>
        <v/>
      </c>
      <c r="F14" s="5">
        <f>IF(AND(($B$2-C14)&lt;=0,($B$2-C15)&lt;=0),0,IF(AND(($B$2-C14)&gt;=0,($B$2-C15)&gt;=0),0.5*(($B$2-C14)+($B$2-C15))*ABS(B15-B14),IF(($B$2-C14)&gt;0,0.5*($B$2-C14)*ABS((B14+(($B$2-C14)/(($B$2-C14)-($B$2-C15)))*(B15-B14))-B14),0.5*($B$2-C15)*ABS(B15-(B14+(($B$2-C14)/(($B$2-C14)-($B$2-C15)))*(B15-B14))))))</f>
        <v/>
      </c>
      <c r="G14" s="5">
        <f>IF(AND(($B$2-C14)&lt;=0,($B$2-C15)&lt;=0),0,IF(AND(($B$2-C14)&gt;=0,($B$2-C15)&gt;=0),SQRT((B15-B14)^2+(C15-C14)^2),IF(($B$2-C14)&gt;0,SQRT(((B14+(($B$2-C14)/(($B$2-C14)-($B$2-C15)))*(B15-B14))-B14)^2+($B$2-C14)^2),SQRT((B15-(B14+(($B$2-C14)/(($B$2-C14)-($B$2-C15)))*(B15-B14)))^2+($B$2-C15)^2))))</f>
        <v/>
      </c>
    </row>
    <row r="15">
      <c r="A15" s="5" t="n">
        <v>7</v>
      </c>
      <c r="B15" s="5" t="n">
        <v>14.646</v>
      </c>
      <c r="C15" s="5" t="n">
        <v>34.42</v>
      </c>
      <c r="D15" s="5" t="inlineStr">
        <is>
          <t>FOND</t>
        </is>
      </c>
      <c r="E15" s="5">
        <f>$B$2-C15</f>
        <v/>
      </c>
      <c r="F15" s="5">
        <f>IF(AND(($B$2-C15)&lt;=0,($B$2-C16)&lt;=0),0,IF(AND(($B$2-C15)&gt;=0,($B$2-C16)&gt;=0),0.5*(($B$2-C15)+($B$2-C16))*ABS(B16-B15),IF(($B$2-C15)&gt;0,0.5*($B$2-C15)*ABS((B15+(($B$2-C15)/(($B$2-C15)-($B$2-C16)))*(B16-B15))-B15),0.5*($B$2-C16)*ABS(B16-(B15+(($B$2-C15)/(($B$2-C15)-($B$2-C16)))*(B16-B15))))))</f>
        <v/>
      </c>
      <c r="G15" s="5">
        <f>IF(AND(($B$2-C15)&lt;=0,($B$2-C16)&lt;=0),0,IF(AND(($B$2-C15)&gt;=0,($B$2-C16)&gt;=0),SQRT((B16-B15)^2+(C16-C15)^2),IF(($B$2-C15)&gt;0,SQRT(((B15+(($B$2-C15)/(($B$2-C15)-($B$2-C16)))*(B16-B15))-B15)^2+($B$2-C15)^2),SQRT((B16-(B15+(($B$2-C15)/(($B$2-C15)-($B$2-C16)))*(B16-B15)))^2+($B$2-C16)^2))))</f>
        <v/>
      </c>
    </row>
    <row r="16">
      <c r="A16" s="5" t="n">
        <v>8</v>
      </c>
      <c r="B16" s="5" t="n">
        <v>16.266</v>
      </c>
      <c r="C16" s="5" t="n">
        <v>34.89</v>
      </c>
      <c r="D16" s="5" t="inlineStr">
        <is>
          <t>TN</t>
        </is>
      </c>
      <c r="E16" s="5">
        <f>$B$2-C16</f>
        <v/>
      </c>
      <c r="F16" s="5">
        <f>IF(AND(($B$2-C16)&lt;=0,($B$2-C17)&lt;=0),0,IF(AND(($B$2-C16)&gt;=0,($B$2-C17)&gt;=0),0.5*(($B$2-C16)+($B$2-C17))*ABS(B17-B16),IF(($B$2-C16)&gt;0,0.5*($B$2-C16)*ABS((B16+(($B$2-C16)/(($B$2-C16)-($B$2-C17)))*(B17-B16))-B16),0.5*($B$2-C17)*ABS(B17-(B16+(($B$2-C16)/(($B$2-C16)-($B$2-C17)))*(B17-B16))))))</f>
        <v/>
      </c>
      <c r="G16" s="5">
        <f>IF(AND(($B$2-C16)&lt;=0,($B$2-C17)&lt;=0),0,IF(AND(($B$2-C16)&gt;=0,($B$2-C17)&gt;=0),SQRT((B17-B16)^2+(C17-C16)^2),IF(($B$2-C16)&gt;0,SQRT(((B16+(($B$2-C16)/(($B$2-C16)-($B$2-C17)))*(B17-B16))-B16)^2+($B$2-C16)^2),SQRT((B17-(B16+(($B$2-C16)/(($B$2-C16)-($B$2-C17)))*(B17-B16)))^2+($B$2-C17)^2))))</f>
        <v/>
      </c>
    </row>
    <row r="17">
      <c r="A17" s="5" t="n">
        <v>9</v>
      </c>
      <c r="B17" s="5" t="n">
        <v>20.406</v>
      </c>
      <c r="C17" s="5" t="n">
        <v>35.05</v>
      </c>
      <c r="D17" s="5" t="inlineStr">
        <is>
          <t>TN</t>
        </is>
      </c>
      <c r="E17" s="5">
        <f>$B$2-C17</f>
        <v/>
      </c>
      <c r="F17" s="5">
        <f>IF(AND(($B$2-C17)&lt;=0,($B$2-C18)&lt;=0),0,IF(AND(($B$2-C17)&gt;=0,($B$2-C18)&gt;=0),0.5*(($B$2-C17)+($B$2-C18))*ABS(B18-B17),IF(($B$2-C17)&gt;0,0.5*($B$2-C17)*ABS((B17+(($B$2-C17)/(($B$2-C17)-($B$2-C18)))*(B18-B17))-B17),0.5*($B$2-C18)*ABS(B18-(B17+(($B$2-C17)/(($B$2-C17)-($B$2-C18)))*(B18-B17))))))</f>
        <v/>
      </c>
      <c r="G17" s="5">
        <f>IF(AND(($B$2-C17)&lt;=0,($B$2-C18)&lt;=0),0,IF(AND(($B$2-C17)&gt;=0,($B$2-C18)&gt;=0),SQRT((B18-B17)^2+(C18-C17)^2),IF(($B$2-C17)&gt;0,SQRT(((B17+(($B$2-C17)/(($B$2-C17)-($B$2-C18)))*(B18-B17))-B17)^2+($B$2-C17)^2),SQRT((B18-(B17+(($B$2-C17)/(($B$2-C17)-($B$2-C18)))*(B18-B17)))^2+($B$2-C18)^2))))</f>
        <v/>
      </c>
    </row>
    <row r="18">
      <c r="A18" s="5" t="n">
        <v>10</v>
      </c>
      <c r="B18" s="5" t="n">
        <v>23.631</v>
      </c>
      <c r="C18" s="5" t="n">
        <v>37.16</v>
      </c>
      <c r="D18" s="5" t="inlineStr">
        <is>
          <t>TN</t>
        </is>
      </c>
      <c r="E18" s="5">
        <f>$B$2-C18</f>
        <v/>
      </c>
      <c r="F18" s="5">
        <f>IF(AND(($B$2-C18)&lt;=0,($B$2-C19)&lt;=0),0,IF(AND(($B$2-C18)&gt;=0,($B$2-C19)&gt;=0),0.5*(($B$2-C18)+($B$2-C19))*ABS(B19-B18),IF(($B$2-C18)&gt;0,0.5*($B$2-C18)*ABS((B18+(($B$2-C18)/(($B$2-C18)-($B$2-C19)))*(B19-B18))-B18),0.5*($B$2-C19)*ABS(B19-(B18+(($B$2-C18)/(($B$2-C18)-($B$2-C19)))*(B19-B18))))))</f>
        <v/>
      </c>
      <c r="G18" s="5">
        <f>IF(AND(($B$2-C18)&lt;=0,($B$2-C19)&lt;=0),0,IF(AND(($B$2-C18)&gt;=0,($B$2-C19)&gt;=0),SQRT((B19-B18)^2+(C19-C18)^2),IF(($B$2-C18)&gt;0,SQRT(((B18+(($B$2-C18)/(($B$2-C18)-($B$2-C19)))*(B19-B18))-B18)^2+($B$2-C18)^2),SQRT((B19-(B18+(($B$2-C18)/(($B$2-C18)-($B$2-C19)))*(B19-B18)))^2+($B$2-C19)^2))))</f>
        <v/>
      </c>
    </row>
    <row r="19">
      <c r="A19" s="5" t="n">
        <v>11</v>
      </c>
      <c r="B19" s="5" t="n">
        <v>25.653</v>
      </c>
      <c r="C19" s="5" t="n">
        <v>38.39</v>
      </c>
      <c r="D19" s="5" t="inlineStr">
        <is>
          <t>TN</t>
        </is>
      </c>
      <c r="E19" s="5">
        <f>$B$2-C19</f>
        <v/>
      </c>
      <c r="F19" s="5">
        <f>IF(AND(($B$2-C19)&lt;=0,($B$2-C20)&lt;=0),0,IF(AND(($B$2-C19)&gt;=0,($B$2-C20)&gt;=0),0.5*(($B$2-C19)+($B$2-C20))*ABS(B20-B19),IF(($B$2-C19)&gt;0,0.5*($B$2-C19)*ABS((B19+(($B$2-C19)/(($B$2-C19)-($B$2-C20)))*(B20-B19))-B19),0.5*($B$2-C20)*ABS(B20-(B19+(($B$2-C19)/(($B$2-C19)-($B$2-C20)))*(B20-B19))))))</f>
        <v/>
      </c>
      <c r="G19" s="5">
        <f>IF(AND(($B$2-C19)&lt;=0,($B$2-C20)&lt;=0),0,IF(AND(($B$2-C19)&gt;=0,($B$2-C20)&gt;=0),SQRT((B20-B19)^2+(C20-C19)^2),IF(($B$2-C19)&gt;0,SQRT(((B19+(($B$2-C19)/(($B$2-C19)-($B$2-C20)))*(B20-B19))-B19)^2+($B$2-C19)^2),SQRT((B20-(B19+(($B$2-C19)/(($B$2-C19)-($B$2-C20)))*(B20-B19)))^2+($B$2-C20)^2))))</f>
        <v/>
      </c>
    </row>
    <row r="20">
      <c r="A20" s="5" t="n">
        <v>12</v>
      </c>
      <c r="B20" s="5" t="n">
        <v>27.412</v>
      </c>
      <c r="C20" s="5" t="n">
        <v>39.62</v>
      </c>
      <c r="D20" s="5" t="inlineStr">
        <is>
          <t>BLOC</t>
        </is>
      </c>
      <c r="E20" s="5">
        <f>$B$2-C20</f>
        <v/>
      </c>
      <c r="F20" s="5" t="n"/>
      <c r="G20" s="5" t="n"/>
    </row>
    <row r="21">
      <c r="G21" t="inlineStr">
        <is>
          <t>P = Σ Pi</t>
        </is>
      </c>
    </row>
    <row r="22">
      <c r="A22" s="10" t="inlineStr">
        <is>
          <t>Totaux</t>
        </is>
      </c>
      <c r="E22" t="inlineStr">
        <is>
          <t>A = Σ Ai</t>
        </is>
      </c>
      <c r="F22" s="16">
        <f>SUM(F9:F19)</f>
        <v/>
      </c>
      <c r="G22" s="16">
        <f>SUM(G9:G19)</f>
        <v/>
      </c>
    </row>
    <row r="24">
      <c r="A24" t="inlineStr">
        <is>
          <t>Fond min (m)</t>
        </is>
      </c>
      <c r="B24">
        <f>MIN(C9:C20)</f>
        <v/>
      </c>
    </row>
    <row r="25">
      <c r="A25" t="inlineStr">
        <is>
          <t>y = WSE − fond (m)</t>
        </is>
      </c>
      <c r="B25">
        <f>B2-B24</f>
        <v/>
      </c>
    </row>
    <row r="26">
      <c r="A26" t="inlineStr">
        <is>
          <t>A (m²)</t>
        </is>
      </c>
      <c r="B26" s="9">
        <f>F22</f>
        <v/>
      </c>
    </row>
    <row r="27">
      <c r="A27" t="inlineStr">
        <is>
          <t>P (m)</t>
        </is>
      </c>
      <c r="B27" s="9">
        <f>G22</f>
        <v/>
      </c>
    </row>
    <row r="28">
      <c r="A28" t="inlineStr">
        <is>
          <t>R = A/P (m)</t>
        </is>
      </c>
      <c r="B28">
        <f>IF(B27&gt;0,B26/B27,0)</f>
        <v/>
      </c>
    </row>
    <row r="29">
      <c r="A29" t="inlineStr">
        <is>
          <t>Q_manning (m³/s)</t>
        </is>
      </c>
      <c r="C29" s="15" t="inlineStr">
        <is>
          <t>S0≤0 → pas de Manning / V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6" customWidth="1" min="6" max="6"/>
    <col width="16" customWidth="1" min="7" max="7"/>
  </cols>
  <sheetData>
    <row r="1">
      <c r="A1" s="13" t="inlineStr">
        <is>
          <t>Section 4+000 — aire / périmètre mouillés (formules Excel)</t>
        </is>
      </c>
    </row>
    <row r="2">
      <c r="A2" t="inlineStr">
        <is>
          <t>WSE (m)</t>
        </is>
      </c>
      <c r="B2" s="14" t="n">
        <v>34.9954</v>
      </c>
      <c r="C2" s="2" t="inlineStr">
        <is>
          <t>← éditer (jaune) : A et P se recalculent</t>
        </is>
      </c>
    </row>
    <row r="3">
      <c r="A3" t="inlineStr">
        <is>
          <t>Station cum. (m)</t>
        </is>
      </c>
      <c r="B3" t="n">
        <v>35.641</v>
      </c>
    </row>
    <row r="4">
      <c r="A4" t="inlineStr">
        <is>
          <t>S0 réel</t>
        </is>
      </c>
      <c r="B4" t="n">
        <v>0.02032</v>
      </c>
    </row>
    <row r="5">
      <c r="A5" t="inlineStr">
        <is>
          <t>Q (m³/s)</t>
        </is>
      </c>
      <c r="B5" s="3" t="n">
        <v>7.36</v>
      </c>
    </row>
    <row r="6">
      <c r="A6" t="inlineStr">
        <is>
          <t>n Manning</t>
        </is>
      </c>
      <c r="B6" s="3" t="n">
        <v>0.035</v>
      </c>
    </row>
    <row r="8">
      <c r="A8" s="4" t="inlineStr">
        <is>
          <t>#</t>
        </is>
      </c>
      <c r="B8" s="4" t="inlineStr">
        <is>
          <t>Distance x (m)</t>
        </is>
      </c>
      <c r="C8" s="4" t="inlineStr">
        <is>
          <t>Elev z (m)</t>
        </is>
      </c>
      <c r="D8" s="4" t="inlineStr">
        <is>
          <t>Desc</t>
        </is>
      </c>
      <c r="E8" s="4" t="inlineStr">
        <is>
          <t>d=WSE−z</t>
        </is>
      </c>
      <c r="F8" s="4" t="inlineStr">
        <is>
          <t>Ai segment (m²)</t>
        </is>
      </c>
      <c r="G8" s="4" t="inlineStr">
        <is>
          <t>Pi segment (m)</t>
        </is>
      </c>
    </row>
    <row r="9">
      <c r="A9" s="5" t="n">
        <v>1</v>
      </c>
      <c r="B9" s="5" t="n">
        <v>0</v>
      </c>
      <c r="C9" s="5" t="n">
        <v>39.53</v>
      </c>
      <c r="D9" s="5" t="inlineStr">
        <is>
          <t>BOR</t>
        </is>
      </c>
      <c r="E9" s="5">
        <f>$B$2-C9</f>
        <v/>
      </c>
      <c r="F9" s="5">
        <f>IF(AND(($B$2-C9)&lt;=0,($B$2-C10)&lt;=0),0,IF(AND(($B$2-C9)&gt;=0,($B$2-C10)&gt;=0),0.5*(($B$2-C9)+($B$2-C10))*ABS(B10-B9),IF(($B$2-C9)&gt;0,0.5*($B$2-C9)*ABS((B9+(($B$2-C9)/(($B$2-C9)-($B$2-C10)))*(B10-B9))-B9),0.5*($B$2-C10)*ABS(B10-(B9+(($B$2-C9)/(($B$2-C9)-($B$2-C10)))*(B10-B9))))))</f>
        <v/>
      </c>
      <c r="G9" s="5">
        <f>IF(AND(($B$2-C9)&lt;=0,($B$2-C10)&lt;=0),0,IF(AND(($B$2-C9)&gt;=0,($B$2-C10)&gt;=0),SQRT((B10-B9)^2+(C10-C9)^2),IF(($B$2-C9)&gt;0,SQRT(((B9+(($B$2-C9)/(($B$2-C9)-($B$2-C10)))*(B10-B9))-B9)^2+($B$2-C9)^2),SQRT((B10-(B9+(($B$2-C9)/(($B$2-C9)-($B$2-C10)))*(B10-B9)))^2+($B$2-C10)^2))))</f>
        <v/>
      </c>
    </row>
    <row r="10">
      <c r="A10" s="5" t="n">
        <v>2</v>
      </c>
      <c r="B10" s="5" t="n">
        <v>6.395</v>
      </c>
      <c r="C10" s="5" t="n">
        <v>38.9</v>
      </c>
      <c r="D10" s="5" t="inlineStr">
        <is>
          <t>TN</t>
        </is>
      </c>
      <c r="E10" s="5">
        <f>$B$2-C10</f>
        <v/>
      </c>
      <c r="F10" s="5">
        <f>IF(AND(($B$2-C10)&lt;=0,($B$2-C11)&lt;=0),0,IF(AND(($B$2-C10)&gt;=0,($B$2-C11)&gt;=0),0.5*(($B$2-C10)+($B$2-C11))*ABS(B11-B10),IF(($B$2-C10)&gt;0,0.5*($B$2-C10)*ABS((B10+(($B$2-C10)/(($B$2-C10)-($B$2-C11)))*(B11-B10))-B10),0.5*($B$2-C11)*ABS(B11-(B10+(($B$2-C10)/(($B$2-C10)-($B$2-C11)))*(B11-B10))))))</f>
        <v/>
      </c>
      <c r="G10" s="5">
        <f>IF(AND(($B$2-C10)&lt;=0,($B$2-C11)&lt;=0),0,IF(AND(($B$2-C10)&gt;=0,($B$2-C11)&gt;=0),SQRT((B11-B10)^2+(C11-C10)^2),IF(($B$2-C10)&gt;0,SQRT(((B10+(($B$2-C10)/(($B$2-C10)-($B$2-C11)))*(B11-B10))-B10)^2+($B$2-C10)^2),SQRT((B11-(B10+(($B$2-C10)/(($B$2-C10)-($B$2-C11)))*(B11-B10)))^2+($B$2-C11)^2))))</f>
        <v/>
      </c>
    </row>
    <row r="11">
      <c r="A11" s="5" t="n">
        <v>3</v>
      </c>
      <c r="B11" s="5" t="n">
        <v>8.019</v>
      </c>
      <c r="C11" s="5" t="n">
        <v>38.22</v>
      </c>
      <c r="D11" s="5" t="inlineStr">
        <is>
          <t>TN</t>
        </is>
      </c>
      <c r="E11" s="5">
        <f>$B$2-C11</f>
        <v/>
      </c>
      <c r="F11" s="5">
        <f>IF(AND(($B$2-C11)&lt;=0,($B$2-C12)&lt;=0),0,IF(AND(($B$2-C11)&gt;=0,($B$2-C12)&gt;=0),0.5*(($B$2-C11)+($B$2-C12))*ABS(B12-B11),IF(($B$2-C11)&gt;0,0.5*($B$2-C11)*ABS((B11+(($B$2-C11)/(($B$2-C11)-($B$2-C12)))*(B12-B11))-B11),0.5*($B$2-C12)*ABS(B12-(B11+(($B$2-C11)/(($B$2-C11)-($B$2-C12)))*(B12-B11))))))</f>
        <v/>
      </c>
      <c r="G11" s="5">
        <f>IF(AND(($B$2-C11)&lt;=0,($B$2-C12)&lt;=0),0,IF(AND(($B$2-C11)&gt;=0,($B$2-C12)&gt;=0),SQRT((B12-B11)^2+(C12-C11)^2),IF(($B$2-C11)&gt;0,SQRT(((B11+(($B$2-C11)/(($B$2-C11)-($B$2-C12)))*(B12-B11))-B11)^2+($B$2-C11)^2),SQRT((B12-(B11+(($B$2-C11)/(($B$2-C11)-($B$2-C12)))*(B12-B11)))^2+($B$2-C12)^2))))</f>
        <v/>
      </c>
    </row>
    <row r="12">
      <c r="A12" s="5" t="n">
        <v>4</v>
      </c>
      <c r="B12" s="5" t="n">
        <v>12.369</v>
      </c>
      <c r="C12" s="5" t="n">
        <v>35.8</v>
      </c>
      <c r="D12" s="5" t="inlineStr">
        <is>
          <t>TN</t>
        </is>
      </c>
      <c r="E12" s="5">
        <f>$B$2-C12</f>
        <v/>
      </c>
      <c r="F12" s="5">
        <f>IF(AND(($B$2-C12)&lt;=0,($B$2-C13)&lt;=0),0,IF(AND(($B$2-C12)&gt;=0,($B$2-C13)&gt;=0),0.5*(($B$2-C12)+($B$2-C13))*ABS(B13-B12),IF(($B$2-C12)&gt;0,0.5*($B$2-C12)*ABS((B12+(($B$2-C12)/(($B$2-C12)-($B$2-C13)))*(B13-B12))-B12),0.5*($B$2-C13)*ABS(B13-(B12+(($B$2-C12)/(($B$2-C12)-($B$2-C13)))*(B13-B12))))))</f>
        <v/>
      </c>
      <c r="G12" s="5">
        <f>IF(AND(($B$2-C12)&lt;=0,($B$2-C13)&lt;=0),0,IF(AND(($B$2-C12)&gt;=0,($B$2-C13)&gt;=0),SQRT((B13-B12)^2+(C13-C12)^2),IF(($B$2-C12)&gt;0,SQRT(((B12+(($B$2-C12)/(($B$2-C12)-($B$2-C13)))*(B13-B12))-B12)^2+($B$2-C12)^2),SQRT((B13-(B12+(($B$2-C12)/(($B$2-C12)-($B$2-C13)))*(B13-B12)))^2+($B$2-C13)^2))))</f>
        <v/>
      </c>
    </row>
    <row r="13">
      <c r="A13" s="5" t="n">
        <v>5</v>
      </c>
      <c r="B13" s="5" t="n">
        <v>12.964</v>
      </c>
      <c r="C13" s="5" t="n">
        <v>34.74</v>
      </c>
      <c r="D13" s="5" t="inlineStr">
        <is>
          <t>TAB</t>
        </is>
      </c>
      <c r="E13" s="5">
        <f>$B$2-C13</f>
        <v/>
      </c>
      <c r="F13" s="5">
        <f>IF(AND(($B$2-C13)&lt;=0,($B$2-C14)&lt;=0),0,IF(AND(($B$2-C13)&gt;=0,($B$2-C14)&gt;=0),0.5*(($B$2-C13)+($B$2-C14))*ABS(B14-B13),IF(($B$2-C13)&gt;0,0.5*($B$2-C13)*ABS((B13+(($B$2-C13)/(($B$2-C13)-($B$2-C14)))*(B14-B13))-B13),0.5*($B$2-C14)*ABS(B14-(B13+(($B$2-C13)/(($B$2-C13)-($B$2-C14)))*(B14-B13))))))</f>
        <v/>
      </c>
      <c r="G13" s="5">
        <f>IF(AND(($B$2-C13)&lt;=0,($B$2-C14)&lt;=0),0,IF(AND(($B$2-C13)&gt;=0,($B$2-C14)&gt;=0),SQRT((B14-B13)^2+(C14-C13)^2),IF(($B$2-C13)&gt;0,SQRT(((B13+(($B$2-C13)/(($B$2-C13)-($B$2-C14)))*(B14-B13))-B13)^2+($B$2-C13)^2),SQRT((B14-(B13+(($B$2-C13)/(($B$2-C13)-($B$2-C14)))*(B14-B13)))^2+($B$2-C14)^2))))</f>
        <v/>
      </c>
    </row>
    <row r="14">
      <c r="A14" s="5" t="n">
        <v>6</v>
      </c>
      <c r="B14" s="5" t="n">
        <v>14.846</v>
      </c>
      <c r="C14" s="5" t="n">
        <v>34.45</v>
      </c>
      <c r="D14" s="5" t="inlineStr">
        <is>
          <t>FOND</t>
        </is>
      </c>
      <c r="E14" s="5">
        <f>$B$2-C14</f>
        <v/>
      </c>
      <c r="F14" s="5">
        <f>IF(AND(($B$2-C14)&lt;=0,($B$2-C15)&lt;=0),0,IF(AND(($B$2-C14)&gt;=0,($B$2-C15)&gt;=0),0.5*(($B$2-C14)+($B$2-C15))*ABS(B15-B14),IF(($B$2-C14)&gt;0,0.5*($B$2-C14)*ABS((B14+(($B$2-C14)/(($B$2-C14)-($B$2-C15)))*(B15-B14))-B14),0.5*($B$2-C15)*ABS(B15-(B14+(($B$2-C14)/(($B$2-C14)-($B$2-C15)))*(B15-B14))))))</f>
        <v/>
      </c>
      <c r="G14" s="5">
        <f>IF(AND(($B$2-C14)&lt;=0,($B$2-C15)&lt;=0),0,IF(AND(($B$2-C14)&gt;=0,($B$2-C15)&gt;=0),SQRT((B15-B14)^2+(C15-C14)^2),IF(($B$2-C14)&gt;0,SQRT(((B14+(($B$2-C14)/(($B$2-C14)-($B$2-C15)))*(B15-B14))-B14)^2+($B$2-C14)^2),SQRT((B15-(B14+(($B$2-C14)/(($B$2-C14)-($B$2-C15)))*(B15-B14)))^2+($B$2-C15)^2))))</f>
        <v/>
      </c>
    </row>
    <row r="15">
      <c r="A15" s="5" t="n">
        <v>7</v>
      </c>
      <c r="B15" s="5" t="n">
        <v>17.093</v>
      </c>
      <c r="C15" s="5" t="n">
        <v>34.43</v>
      </c>
      <c r="D15" s="5" t="inlineStr">
        <is>
          <t>FOND</t>
        </is>
      </c>
      <c r="E15" s="5">
        <f>$B$2-C15</f>
        <v/>
      </c>
      <c r="F15" s="5">
        <f>IF(AND(($B$2-C15)&lt;=0,($B$2-C16)&lt;=0),0,IF(AND(($B$2-C15)&gt;=0,($B$2-C16)&gt;=0),0.5*(($B$2-C15)+($B$2-C16))*ABS(B16-B15),IF(($B$2-C15)&gt;0,0.5*($B$2-C15)*ABS((B15+(($B$2-C15)/(($B$2-C15)-($B$2-C16)))*(B16-B15))-B15),0.5*($B$2-C16)*ABS(B16-(B15+(($B$2-C15)/(($B$2-C15)-($B$2-C16)))*(B16-B15))))))</f>
        <v/>
      </c>
      <c r="G15" s="5">
        <f>IF(AND(($B$2-C15)&lt;=0,($B$2-C16)&lt;=0),0,IF(AND(($B$2-C15)&gt;=0,($B$2-C16)&gt;=0),SQRT((B16-B15)^2+(C16-C15)^2),IF(($B$2-C15)&gt;0,SQRT(((B15+(($B$2-C15)/(($B$2-C15)-($B$2-C16)))*(B16-B15))-B15)^2+($B$2-C15)^2),SQRT((B16-(B15+(($B$2-C15)/(($B$2-C15)-($B$2-C16)))*(B16-B15)))^2+($B$2-C16)^2))))</f>
        <v/>
      </c>
    </row>
    <row r="16">
      <c r="A16" s="5" t="n">
        <v>8</v>
      </c>
      <c r="B16" s="5" t="n">
        <v>18.878</v>
      </c>
      <c r="C16" s="5" t="n">
        <v>34.59</v>
      </c>
      <c r="D16" s="5" t="inlineStr">
        <is>
          <t>FOND</t>
        </is>
      </c>
      <c r="E16" s="5">
        <f>$B$2-C16</f>
        <v/>
      </c>
      <c r="F16" s="5">
        <f>IF(AND(($B$2-C16)&lt;=0,($B$2-C17)&lt;=0),0,IF(AND(($B$2-C16)&gt;=0,($B$2-C17)&gt;=0),0.5*(($B$2-C16)+($B$2-C17))*ABS(B17-B16),IF(($B$2-C16)&gt;0,0.5*($B$2-C16)*ABS((B16+(($B$2-C16)/(($B$2-C16)-($B$2-C17)))*(B17-B16))-B16),0.5*($B$2-C17)*ABS(B17-(B16+(($B$2-C16)/(($B$2-C16)-($B$2-C17)))*(B17-B16))))))</f>
        <v/>
      </c>
      <c r="G16" s="5">
        <f>IF(AND(($B$2-C16)&lt;=0,($B$2-C17)&lt;=0),0,IF(AND(($B$2-C16)&gt;=0,($B$2-C17)&gt;=0),SQRT((B17-B16)^2+(C17-C16)^2),IF(($B$2-C16)&gt;0,SQRT(((B16+(($B$2-C16)/(($B$2-C16)-($B$2-C17)))*(B17-B16))-B16)^2+($B$2-C16)^2),SQRT((B17-(B16+(($B$2-C16)/(($B$2-C16)-($B$2-C17)))*(B17-B16)))^2+($B$2-C17)^2))))</f>
        <v/>
      </c>
    </row>
    <row r="17">
      <c r="A17" s="5" t="n">
        <v>9</v>
      </c>
      <c r="B17" s="5" t="n">
        <v>20.643</v>
      </c>
      <c r="C17" s="5" t="n">
        <v>34.94</v>
      </c>
      <c r="D17" s="5" t="inlineStr">
        <is>
          <t>TAB</t>
        </is>
      </c>
      <c r="E17" s="5">
        <f>$B$2-C17</f>
        <v/>
      </c>
      <c r="F17" s="5">
        <f>IF(AND(($B$2-C17)&lt;=0,($B$2-C18)&lt;=0),0,IF(AND(($B$2-C17)&gt;=0,($B$2-C18)&gt;=0),0.5*(($B$2-C17)+($B$2-C18))*ABS(B18-B17),IF(($B$2-C17)&gt;0,0.5*($B$2-C17)*ABS((B17+(($B$2-C17)/(($B$2-C17)-($B$2-C18)))*(B18-B17))-B17),0.5*($B$2-C18)*ABS(B18-(B17+(($B$2-C17)/(($B$2-C17)-($B$2-C18)))*(B18-B17))))))</f>
        <v/>
      </c>
      <c r="G17" s="5">
        <f>IF(AND(($B$2-C17)&lt;=0,($B$2-C18)&lt;=0),0,IF(AND(($B$2-C17)&gt;=0,($B$2-C18)&gt;=0),SQRT((B18-B17)^2+(C18-C17)^2),IF(($B$2-C17)&gt;0,SQRT(((B17+(($B$2-C17)/(($B$2-C17)-($B$2-C18)))*(B18-B17))-B17)^2+($B$2-C17)^2),SQRT((B18-(B17+(($B$2-C17)/(($B$2-C17)-($B$2-C18)))*(B18-B17)))^2+($B$2-C18)^2))))</f>
        <v/>
      </c>
    </row>
    <row r="18">
      <c r="A18" s="5" t="n">
        <v>10</v>
      </c>
      <c r="B18" s="5" t="n">
        <v>21.275</v>
      </c>
      <c r="C18" s="5" t="n">
        <v>35.77</v>
      </c>
      <c r="D18" s="5" t="inlineStr">
        <is>
          <t>TN</t>
        </is>
      </c>
      <c r="E18" s="5">
        <f>$B$2-C18</f>
        <v/>
      </c>
      <c r="F18" s="5">
        <f>IF(AND(($B$2-C18)&lt;=0,($B$2-C19)&lt;=0),0,IF(AND(($B$2-C18)&gt;=0,($B$2-C19)&gt;=0),0.5*(($B$2-C18)+($B$2-C19))*ABS(B19-B18),IF(($B$2-C18)&gt;0,0.5*($B$2-C18)*ABS((B18+(($B$2-C18)/(($B$2-C18)-($B$2-C19)))*(B19-B18))-B18),0.5*($B$2-C19)*ABS(B19-(B18+(($B$2-C18)/(($B$2-C18)-($B$2-C19)))*(B19-B18))))))</f>
        <v/>
      </c>
      <c r="G18" s="5">
        <f>IF(AND(($B$2-C18)&lt;=0,($B$2-C19)&lt;=0),0,IF(AND(($B$2-C18)&gt;=0,($B$2-C19)&gt;=0),SQRT((B19-B18)^2+(C19-C18)^2),IF(($B$2-C18)&gt;0,SQRT(((B18+(($B$2-C18)/(($B$2-C18)-($B$2-C19)))*(B19-B18))-B18)^2+($B$2-C18)^2),SQRT((B19-(B18+(($B$2-C18)/(($B$2-C18)-($B$2-C19)))*(B19-B18)))^2+($B$2-C19)^2))))</f>
        <v/>
      </c>
    </row>
    <row r="19">
      <c r="A19" s="5" t="n">
        <v>11</v>
      </c>
      <c r="B19" s="5" t="n">
        <v>24.672</v>
      </c>
      <c r="C19" s="5" t="n">
        <v>37.9</v>
      </c>
      <c r="D19" s="5" t="inlineStr">
        <is>
          <t>TN</t>
        </is>
      </c>
      <c r="E19" s="5">
        <f>$B$2-C19</f>
        <v/>
      </c>
      <c r="F19" s="5">
        <f>IF(AND(($B$2-C19)&lt;=0,($B$2-C20)&lt;=0),0,IF(AND(($B$2-C19)&gt;=0,($B$2-C20)&gt;=0),0.5*(($B$2-C19)+($B$2-C20))*ABS(B20-B19),IF(($B$2-C19)&gt;0,0.5*($B$2-C19)*ABS((B19+(($B$2-C19)/(($B$2-C19)-($B$2-C20)))*(B20-B19))-B19),0.5*($B$2-C20)*ABS(B20-(B19+(($B$2-C19)/(($B$2-C19)-($B$2-C20)))*(B20-B19))))))</f>
        <v/>
      </c>
      <c r="G19" s="5">
        <f>IF(AND(($B$2-C19)&lt;=0,($B$2-C20)&lt;=0),0,IF(AND(($B$2-C19)&gt;=0,($B$2-C20)&gt;=0),SQRT((B20-B19)^2+(C20-C19)^2),IF(($B$2-C19)&gt;0,SQRT(((B19+(($B$2-C19)/(($B$2-C19)-($B$2-C20)))*(B20-B19))-B19)^2+($B$2-C19)^2),SQRT((B20-(B19+(($B$2-C19)/(($B$2-C19)-($B$2-C20)))*(B20-B19)))^2+($B$2-C20)^2))))</f>
        <v/>
      </c>
    </row>
    <row r="20">
      <c r="A20" s="5" t="n">
        <v>12</v>
      </c>
      <c r="B20" s="5" t="n">
        <v>26.991</v>
      </c>
      <c r="C20" s="5" t="n">
        <v>39.53</v>
      </c>
      <c r="D20" s="5" t="inlineStr">
        <is>
          <t>CLO</t>
        </is>
      </c>
      <c r="E20" s="5">
        <f>$B$2-C20</f>
        <v/>
      </c>
      <c r="F20" s="5" t="n"/>
      <c r="G20" s="5" t="n"/>
    </row>
    <row r="21">
      <c r="G21" t="inlineStr">
        <is>
          <t>P = Σ Pi</t>
        </is>
      </c>
    </row>
    <row r="22">
      <c r="A22" s="10" t="inlineStr">
        <is>
          <t>Totaux</t>
        </is>
      </c>
      <c r="E22" t="inlineStr">
        <is>
          <t>A = Σ Ai</t>
        </is>
      </c>
      <c r="F22" s="16">
        <f>SUM(F9:F19)</f>
        <v/>
      </c>
      <c r="G22" s="16">
        <f>SUM(G9:G19)</f>
        <v/>
      </c>
    </row>
    <row r="24">
      <c r="A24" t="inlineStr">
        <is>
          <t>Fond min (m)</t>
        </is>
      </c>
      <c r="B24">
        <f>MIN(C9:C20)</f>
        <v/>
      </c>
    </row>
    <row r="25">
      <c r="A25" t="inlineStr">
        <is>
          <t>y = WSE − fond (m)</t>
        </is>
      </c>
      <c r="B25">
        <f>B2-B24</f>
        <v/>
      </c>
    </row>
    <row r="26">
      <c r="A26" t="inlineStr">
        <is>
          <t>A (m²)</t>
        </is>
      </c>
      <c r="B26" s="9">
        <f>F22</f>
        <v/>
      </c>
    </row>
    <row r="27">
      <c r="A27" t="inlineStr">
        <is>
          <t>P (m)</t>
        </is>
      </c>
      <c r="B27" s="9">
        <f>G22</f>
        <v/>
      </c>
    </row>
    <row r="28">
      <c r="A28" t="inlineStr">
        <is>
          <t>R = A/P (m)</t>
        </is>
      </c>
      <c r="B28">
        <f>IF(B27&gt;0,B26/B27,0)</f>
        <v/>
      </c>
    </row>
    <row r="29">
      <c r="A29" t="inlineStr">
        <is>
          <t>Q_manning (m³/s)</t>
        </is>
      </c>
      <c r="B29">
        <f>IF(OR(B6&lt;=0,B26&lt;=0,B4&lt;=0),0,(1/B6)*B26*(B28^(2/3))*SQRT(B4))</f>
        <v/>
      </c>
    </row>
    <row r="30">
      <c r="A30" t="inlineStr">
        <is>
          <t>V = Q/A (m/s)</t>
        </is>
      </c>
      <c r="B30" s="9">
        <f>IF(B26&gt;0,B5/B26,0)</f>
        <v/>
      </c>
    </row>
    <row r="31">
      <c r="A31" t="inlineStr">
        <is>
          <t>Note</t>
        </is>
      </c>
      <c r="B31" t="inlineStr">
        <is>
          <t>V utilise Q de B5 (débit de projet). Pour la profondeur normale, ajuster WSE jusqu'à Q_manning ≈ Q.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6" customWidth="1" min="6" max="6"/>
    <col width="16" customWidth="1" min="7" max="7"/>
  </cols>
  <sheetData>
    <row r="1">
      <c r="A1" s="13" t="inlineStr">
        <is>
          <t>Section 5+000 — aire / périmètre mouillés (formules Excel)</t>
        </is>
      </c>
    </row>
    <row r="2">
      <c r="A2" t="inlineStr">
        <is>
          <t>WSE (m)</t>
        </is>
      </c>
      <c r="B2" s="14" t="n">
        <v>34.8062</v>
      </c>
      <c r="C2" s="2" t="inlineStr">
        <is>
          <t>← éditer (jaune) : A et P se recalculent</t>
        </is>
      </c>
    </row>
    <row r="3">
      <c r="A3" t="inlineStr">
        <is>
          <t>Station cum. (m)</t>
        </is>
      </c>
      <c r="B3" t="n">
        <v>45.838</v>
      </c>
    </row>
    <row r="4">
      <c r="A4" t="inlineStr">
        <is>
          <t>S0 réel</t>
        </is>
      </c>
      <c r="B4" t="n">
        <v>0.0315</v>
      </c>
    </row>
    <row r="5">
      <c r="A5" t="inlineStr">
        <is>
          <t>Q (m³/s)</t>
        </is>
      </c>
      <c r="B5" s="3" t="n">
        <v>7.36</v>
      </c>
    </row>
    <row r="6">
      <c r="A6" t="inlineStr">
        <is>
          <t>n Manning</t>
        </is>
      </c>
      <c r="B6" s="3" t="n">
        <v>0.035</v>
      </c>
    </row>
    <row r="8">
      <c r="A8" s="4" t="inlineStr">
        <is>
          <t>#</t>
        </is>
      </c>
      <c r="B8" s="4" t="inlineStr">
        <is>
          <t>Distance x (m)</t>
        </is>
      </c>
      <c r="C8" s="4" t="inlineStr">
        <is>
          <t>Elev z (m)</t>
        </is>
      </c>
      <c r="D8" s="4" t="inlineStr">
        <is>
          <t>Desc</t>
        </is>
      </c>
      <c r="E8" s="4" t="inlineStr">
        <is>
          <t>d=WSE−z</t>
        </is>
      </c>
      <c r="F8" s="4" t="inlineStr">
        <is>
          <t>Ai segment (m²)</t>
        </is>
      </c>
      <c r="G8" s="4" t="inlineStr">
        <is>
          <t>Pi segment (m)</t>
        </is>
      </c>
    </row>
    <row r="9">
      <c r="A9" s="5" t="n">
        <v>1</v>
      </c>
      <c r="B9" s="5" t="n">
        <v>0</v>
      </c>
      <c r="C9" s="5" t="n">
        <v>39.53</v>
      </c>
      <c r="D9" s="5" t="inlineStr">
        <is>
          <t>BOR</t>
        </is>
      </c>
      <c r="E9" s="5">
        <f>$B$2-C9</f>
        <v/>
      </c>
      <c r="F9" s="5">
        <f>IF(AND(($B$2-C9)&lt;=0,($B$2-C10)&lt;=0),0,IF(AND(($B$2-C9)&gt;=0,($B$2-C10)&gt;=0),0.5*(($B$2-C9)+($B$2-C10))*ABS(B10-B9),IF(($B$2-C9)&gt;0,0.5*($B$2-C9)*ABS((B9+(($B$2-C9)/(($B$2-C9)-($B$2-C10)))*(B10-B9))-B9),0.5*($B$2-C10)*ABS(B10-(B9+(($B$2-C9)/(($B$2-C9)-($B$2-C10)))*(B10-B9))))))</f>
        <v/>
      </c>
      <c r="G9" s="5">
        <f>IF(AND(($B$2-C9)&lt;=0,($B$2-C10)&lt;=0),0,IF(AND(($B$2-C9)&gt;=0,($B$2-C10)&gt;=0),SQRT((B10-B9)^2+(C10-C9)^2),IF(($B$2-C9)&gt;0,SQRT(((B9+(($B$2-C9)/(($B$2-C9)-($B$2-C10)))*(B10-B9))-B9)^2+($B$2-C9)^2),SQRT((B10-(B9+(($B$2-C9)/(($B$2-C9)-($B$2-C10)))*(B10-B9)))^2+($B$2-C10)^2))))</f>
        <v/>
      </c>
    </row>
    <row r="10">
      <c r="A10" s="5" t="n">
        <v>2</v>
      </c>
      <c r="B10" s="5" t="n">
        <v>10.522</v>
      </c>
      <c r="C10" s="5" t="n">
        <v>39.1</v>
      </c>
      <c r="D10" s="5" t="inlineStr">
        <is>
          <t>TAH</t>
        </is>
      </c>
      <c r="E10" s="5">
        <f>$B$2-C10</f>
        <v/>
      </c>
      <c r="F10" s="5">
        <f>IF(AND(($B$2-C10)&lt;=0,($B$2-C11)&lt;=0),0,IF(AND(($B$2-C10)&gt;=0,($B$2-C11)&gt;=0),0.5*(($B$2-C10)+($B$2-C11))*ABS(B11-B10),IF(($B$2-C10)&gt;0,0.5*($B$2-C10)*ABS((B10+(($B$2-C10)/(($B$2-C10)-($B$2-C11)))*(B11-B10))-B10),0.5*($B$2-C11)*ABS(B11-(B10+(($B$2-C10)/(($B$2-C10)-($B$2-C11)))*(B11-B10))))))</f>
        <v/>
      </c>
      <c r="G10" s="5">
        <f>IF(AND(($B$2-C10)&lt;=0,($B$2-C11)&lt;=0),0,IF(AND(($B$2-C10)&gt;=0,($B$2-C11)&gt;=0),SQRT((B11-B10)^2+(C11-C10)^2),IF(($B$2-C10)&gt;0,SQRT(((B10+(($B$2-C10)/(($B$2-C10)-($B$2-C11)))*(B11-B10))-B10)^2+($B$2-C10)^2),SQRT((B11-(B10+(($B$2-C10)/(($B$2-C10)-($B$2-C11)))*(B11-B10)))^2+($B$2-C11)^2))))</f>
        <v/>
      </c>
    </row>
    <row r="11">
      <c r="A11" s="5" t="n">
        <v>3</v>
      </c>
      <c r="B11" s="5" t="n">
        <v>17.92</v>
      </c>
      <c r="C11" s="5" t="n">
        <v>34.326</v>
      </c>
      <c r="D11" s="5" t="inlineStr">
        <is>
          <t>FOND</t>
        </is>
      </c>
      <c r="E11" s="5">
        <f>$B$2-C11</f>
        <v/>
      </c>
      <c r="F11" s="5">
        <f>IF(AND(($B$2-C11)&lt;=0,($B$2-C12)&lt;=0),0,IF(AND(($B$2-C11)&gt;=0,($B$2-C12)&gt;=0),0.5*(($B$2-C11)+($B$2-C12))*ABS(B12-B11),IF(($B$2-C11)&gt;0,0.5*($B$2-C11)*ABS((B11+(($B$2-C11)/(($B$2-C11)-($B$2-C12)))*(B12-B11))-B11),0.5*($B$2-C12)*ABS(B12-(B11+(($B$2-C11)/(($B$2-C11)-($B$2-C12)))*(B12-B11))))))</f>
        <v/>
      </c>
      <c r="G11" s="5">
        <f>IF(AND(($B$2-C11)&lt;=0,($B$2-C12)&lt;=0),0,IF(AND(($B$2-C11)&gt;=0,($B$2-C12)&gt;=0),SQRT((B12-B11)^2+(C12-C11)^2),IF(($B$2-C11)&gt;0,SQRT(((B11+(($B$2-C11)/(($B$2-C11)-($B$2-C12)))*(B12-B11))-B11)^2+($B$2-C11)^2),SQRT((B12-(B11+(($B$2-C11)/(($B$2-C11)-($B$2-C12)))*(B12-B11)))^2+($B$2-C12)^2))))</f>
        <v/>
      </c>
    </row>
    <row r="12">
      <c r="A12" s="5" t="n">
        <v>4</v>
      </c>
      <c r="B12" s="5" t="n">
        <v>20.216</v>
      </c>
      <c r="C12" s="5" t="n">
        <v>34.45</v>
      </c>
      <c r="D12" s="5" t="inlineStr">
        <is>
          <t>FOND</t>
        </is>
      </c>
      <c r="E12" s="5">
        <f>$B$2-C12</f>
        <v/>
      </c>
      <c r="F12" s="5">
        <f>IF(AND(($B$2-C12)&lt;=0,($B$2-C13)&lt;=0),0,IF(AND(($B$2-C12)&gt;=0,($B$2-C13)&gt;=0),0.5*(($B$2-C12)+($B$2-C13))*ABS(B13-B12),IF(($B$2-C12)&gt;0,0.5*($B$2-C12)*ABS((B12+(($B$2-C12)/(($B$2-C12)-($B$2-C13)))*(B13-B12))-B12),0.5*($B$2-C13)*ABS(B13-(B12+(($B$2-C12)/(($B$2-C12)-($B$2-C13)))*(B13-B12))))))</f>
        <v/>
      </c>
      <c r="G12" s="5">
        <f>IF(AND(($B$2-C12)&lt;=0,($B$2-C13)&lt;=0),0,IF(AND(($B$2-C12)&gt;=0,($B$2-C13)&gt;=0),SQRT((B13-B12)^2+(C13-C12)^2),IF(($B$2-C12)&gt;0,SQRT(((B12+(($B$2-C12)/(($B$2-C12)-($B$2-C13)))*(B13-B12))-B12)^2+($B$2-C12)^2),SQRT((B13-(B12+(($B$2-C12)/(($B$2-C12)-($B$2-C13)))*(B13-B12)))^2+($B$2-C13)^2))))</f>
        <v/>
      </c>
    </row>
    <row r="13">
      <c r="A13" s="5" t="n">
        <v>5</v>
      </c>
      <c r="B13" s="5" t="n">
        <v>22.19</v>
      </c>
      <c r="C13" s="5" t="n">
        <v>34.296</v>
      </c>
      <c r="D13" s="5" t="inlineStr">
        <is>
          <t>FOND</t>
        </is>
      </c>
      <c r="E13" s="5">
        <f>$B$2-C13</f>
        <v/>
      </c>
      <c r="F13" s="5">
        <f>IF(AND(($B$2-C13)&lt;=0,($B$2-C14)&lt;=0),0,IF(AND(($B$2-C13)&gt;=0,($B$2-C14)&gt;=0),0.5*(($B$2-C13)+($B$2-C14))*ABS(B14-B13),IF(($B$2-C13)&gt;0,0.5*($B$2-C13)*ABS((B13+(($B$2-C13)/(($B$2-C13)-($B$2-C14)))*(B14-B13))-B13),0.5*($B$2-C14)*ABS(B14-(B13+(($B$2-C13)/(($B$2-C13)-($B$2-C14)))*(B14-B13))))))</f>
        <v/>
      </c>
      <c r="G13" s="5">
        <f>IF(AND(($B$2-C13)&lt;=0,($B$2-C14)&lt;=0),0,IF(AND(($B$2-C13)&gt;=0,($B$2-C14)&gt;=0),SQRT((B14-B13)^2+(C14-C13)^2),IF(($B$2-C13)&gt;0,SQRT(((B13+(($B$2-C13)/(($B$2-C13)-($B$2-C14)))*(B14-B13))-B13)^2+($B$2-C13)^2),SQRT((B14-(B13+(($B$2-C13)/(($B$2-C13)-($B$2-C14)))*(B14-B13)))^2+($B$2-C14)^2))))</f>
        <v/>
      </c>
    </row>
    <row r="14">
      <c r="A14" s="5" t="n">
        <v>6</v>
      </c>
      <c r="B14" s="5" t="n">
        <v>26.9</v>
      </c>
      <c r="C14" s="5" t="n">
        <v>34.87</v>
      </c>
      <c r="D14" s="5" t="inlineStr">
        <is>
          <t>LHE</t>
        </is>
      </c>
      <c r="E14" s="5">
        <f>$B$2-C14</f>
        <v/>
      </c>
      <c r="F14" s="5">
        <f>IF(AND(($B$2-C14)&lt;=0,($B$2-C15)&lt;=0),0,IF(AND(($B$2-C14)&gt;=0,($B$2-C15)&gt;=0),0.5*(($B$2-C14)+($B$2-C15))*ABS(B15-B14),IF(($B$2-C14)&gt;0,0.5*($B$2-C14)*ABS((B14+(($B$2-C14)/(($B$2-C14)-($B$2-C15)))*(B15-B14))-B14),0.5*($B$2-C15)*ABS(B15-(B14+(($B$2-C14)/(($B$2-C14)-($B$2-C15)))*(B15-B14))))))</f>
        <v/>
      </c>
      <c r="G14" s="5">
        <f>IF(AND(($B$2-C14)&lt;=0,($B$2-C15)&lt;=0),0,IF(AND(($B$2-C14)&gt;=0,($B$2-C15)&gt;=0),SQRT((B15-B14)^2+(C15-C14)^2),IF(($B$2-C14)&gt;0,SQRT(((B14+(($B$2-C14)/(($B$2-C14)-($B$2-C15)))*(B15-B14))-B14)^2+($B$2-C14)^2),SQRT((B15-(B14+(($B$2-C14)/(($B$2-C14)-($B$2-C15)))*(B15-B14)))^2+($B$2-C15)^2))))</f>
        <v/>
      </c>
    </row>
    <row r="15">
      <c r="A15" s="5" t="n">
        <v>7</v>
      </c>
      <c r="B15" s="5" t="n">
        <v>30.703</v>
      </c>
      <c r="C15" s="5" t="n">
        <v>36.55</v>
      </c>
      <c r="D15" s="5" t="inlineStr">
        <is>
          <t>TN</t>
        </is>
      </c>
      <c r="E15" s="5">
        <f>$B$2-C15</f>
        <v/>
      </c>
      <c r="F15" s="5">
        <f>IF(AND(($B$2-C15)&lt;=0,($B$2-C16)&lt;=0),0,IF(AND(($B$2-C15)&gt;=0,($B$2-C16)&gt;=0),0.5*(($B$2-C15)+($B$2-C16))*ABS(B16-B15),IF(($B$2-C15)&gt;0,0.5*($B$2-C15)*ABS((B15+(($B$2-C15)/(($B$2-C15)-($B$2-C16)))*(B16-B15))-B15),0.5*($B$2-C16)*ABS(B16-(B15+(($B$2-C15)/(($B$2-C15)-($B$2-C16)))*(B16-B15))))))</f>
        <v/>
      </c>
      <c r="G15" s="5">
        <f>IF(AND(($B$2-C15)&lt;=0,($B$2-C16)&lt;=0),0,IF(AND(($B$2-C15)&gt;=0,($B$2-C16)&gt;=0),SQRT((B16-B15)^2+(C16-C15)^2),IF(($B$2-C15)&gt;0,SQRT(((B15+(($B$2-C15)/(($B$2-C15)-($B$2-C16)))*(B16-B15))-B15)^2+($B$2-C15)^2),SQRT((B16-(B15+(($B$2-C15)/(($B$2-C15)-($B$2-C16)))*(B16-B15)))^2+($B$2-C16)^2))))</f>
        <v/>
      </c>
    </row>
    <row r="16">
      <c r="A16" s="5" t="n">
        <v>8</v>
      </c>
      <c r="B16" s="5" t="n">
        <v>34.784</v>
      </c>
      <c r="C16" s="5" t="n">
        <v>39.25</v>
      </c>
      <c r="D16" s="5" t="inlineStr">
        <is>
          <t>THA</t>
        </is>
      </c>
      <c r="E16" s="5">
        <f>$B$2-C16</f>
        <v/>
      </c>
      <c r="F16" s="5" t="n"/>
      <c r="G16" s="5" t="n"/>
    </row>
    <row r="17">
      <c r="G17" t="inlineStr">
        <is>
          <t>P = Σ Pi</t>
        </is>
      </c>
    </row>
    <row r="18">
      <c r="A18" s="10" t="inlineStr">
        <is>
          <t>Totaux</t>
        </is>
      </c>
      <c r="E18" t="inlineStr">
        <is>
          <t>A = Σ Ai</t>
        </is>
      </c>
      <c r="F18" s="16">
        <f>SUM(F9:F15)</f>
        <v/>
      </c>
      <c r="G18" s="16">
        <f>SUM(G9:G15)</f>
        <v/>
      </c>
    </row>
    <row r="20">
      <c r="A20" t="inlineStr">
        <is>
          <t>Fond min (m)</t>
        </is>
      </c>
      <c r="B20">
        <f>MIN(C9:C16)</f>
        <v/>
      </c>
    </row>
    <row r="21">
      <c r="A21" t="inlineStr">
        <is>
          <t>y = WSE − fond (m)</t>
        </is>
      </c>
      <c r="B21">
        <f>B2-B20</f>
        <v/>
      </c>
    </row>
    <row r="22">
      <c r="A22" t="inlineStr">
        <is>
          <t>A (m²)</t>
        </is>
      </c>
      <c r="B22" s="9">
        <f>F18</f>
        <v/>
      </c>
    </row>
    <row r="23">
      <c r="A23" t="inlineStr">
        <is>
          <t>P (m)</t>
        </is>
      </c>
      <c r="B23" s="9">
        <f>G18</f>
        <v/>
      </c>
    </row>
    <row r="24">
      <c r="A24" t="inlineStr">
        <is>
          <t>R = A/P (m)</t>
        </is>
      </c>
      <c r="B24">
        <f>IF(B23&gt;0,B22/B23,0)</f>
        <v/>
      </c>
    </row>
    <row r="25">
      <c r="A25" t="inlineStr">
        <is>
          <t>Q_manning (m³/s)</t>
        </is>
      </c>
      <c r="B25">
        <f>IF(OR(B6&lt;=0,B22&lt;=0,B4&lt;=0),0,(1/B6)*B22*(B24^(2/3))*SQRT(B4))</f>
        <v/>
      </c>
    </row>
    <row r="26">
      <c r="A26" t="inlineStr">
        <is>
          <t>V = Q/A (m/s)</t>
        </is>
      </c>
      <c r="B26" s="9">
        <f>IF(B22&gt;0,B5/B22,0)</f>
        <v/>
      </c>
    </row>
    <row r="27">
      <c r="A27" t="inlineStr">
        <is>
          <t>Note</t>
        </is>
      </c>
      <c r="B27" t="inlineStr">
        <is>
          <t>V utilise Q de B5 (débit de projet). Pour la profondeur normale, ajuster WSE jusqu'à Q_manning ≈ Q.</t>
        </is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6" customWidth="1" min="6" max="6"/>
    <col width="16" customWidth="1" min="7" max="7"/>
  </cols>
  <sheetData>
    <row r="1">
      <c r="A1" s="13" t="inlineStr">
        <is>
          <t>Section 6+000 — aire / périmètre mouillés (formules Excel)</t>
        </is>
      </c>
    </row>
    <row r="2">
      <c r="A2" t="inlineStr">
        <is>
          <t>WSE (m)</t>
        </is>
      </c>
      <c r="B2" s="14" t="n">
        <v>34.984</v>
      </c>
      <c r="C2" s="2" t="inlineStr">
        <is>
          <t>← éditer (jaune) : A et P se recalculent</t>
        </is>
      </c>
    </row>
    <row r="3">
      <c r="A3" t="inlineStr">
        <is>
          <t>Station cum. (m)</t>
        </is>
      </c>
      <c r="B3" t="n">
        <v>59.435</v>
      </c>
    </row>
    <row r="4">
      <c r="A4" t="inlineStr">
        <is>
          <t>S0 réel</t>
        </is>
      </c>
      <c r="B4" t="n">
        <v>0.00535</v>
      </c>
    </row>
    <row r="5">
      <c r="A5" t="inlineStr">
        <is>
          <t>Q (m³/s)</t>
        </is>
      </c>
      <c r="B5" s="3" t="n">
        <v>7.36</v>
      </c>
    </row>
    <row r="6">
      <c r="A6" t="inlineStr">
        <is>
          <t>n Manning</t>
        </is>
      </c>
      <c r="B6" s="3" t="n">
        <v>0.035</v>
      </c>
    </row>
    <row r="8">
      <c r="A8" s="4" t="inlineStr">
        <is>
          <t>#</t>
        </is>
      </c>
      <c r="B8" s="4" t="inlineStr">
        <is>
          <t>Distance x (m)</t>
        </is>
      </c>
      <c r="C8" s="4" t="inlineStr">
        <is>
          <t>Elev z (m)</t>
        </is>
      </c>
      <c r="D8" s="4" t="inlineStr">
        <is>
          <t>Desc</t>
        </is>
      </c>
      <c r="E8" s="4" t="inlineStr">
        <is>
          <t>d=WSE−z</t>
        </is>
      </c>
      <c r="F8" s="4" t="inlineStr">
        <is>
          <t>Ai segment (m²)</t>
        </is>
      </c>
      <c r="G8" s="4" t="inlineStr">
        <is>
          <t>Pi segment (m)</t>
        </is>
      </c>
    </row>
    <row r="9">
      <c r="A9" s="5" t="n">
        <v>1</v>
      </c>
      <c r="B9" s="5" t="n">
        <v>0</v>
      </c>
      <c r="C9" s="5" t="n">
        <v>39.414</v>
      </c>
      <c r="D9" s="5" t="inlineStr">
        <is>
          <t>BOR</t>
        </is>
      </c>
      <c r="E9" s="5">
        <f>$B$2-C9</f>
        <v/>
      </c>
      <c r="F9" s="5">
        <f>IF(AND(($B$2-C9)&lt;=0,($B$2-C10)&lt;=0),0,IF(AND(($B$2-C9)&gt;=0,($B$2-C10)&gt;=0),0.5*(($B$2-C9)+($B$2-C10))*ABS(B10-B9),IF(($B$2-C9)&gt;0,0.5*($B$2-C9)*ABS((B9+(($B$2-C9)/(($B$2-C9)-($B$2-C10)))*(B10-B9))-B9),0.5*($B$2-C10)*ABS(B10-(B9+(($B$2-C9)/(($B$2-C9)-($B$2-C10)))*(B10-B9))))))</f>
        <v/>
      </c>
      <c r="G9" s="5">
        <f>IF(AND(($B$2-C9)&lt;=0,($B$2-C10)&lt;=0),0,IF(AND(($B$2-C9)&gt;=0,($B$2-C10)&gt;=0),SQRT((B10-B9)^2+(C10-C9)^2),IF(($B$2-C9)&gt;0,SQRT(((B9+(($B$2-C9)/(($B$2-C9)-($B$2-C10)))*(B10-B9))-B9)^2+($B$2-C9)^2),SQRT((B10-(B9+(($B$2-C9)/(($B$2-C9)-($B$2-C10)))*(B10-B9)))^2+($B$2-C10)^2))))</f>
        <v/>
      </c>
    </row>
    <row r="10">
      <c r="A10" s="5" t="n">
        <v>2</v>
      </c>
      <c r="B10" s="5" t="n">
        <v>12.29</v>
      </c>
      <c r="C10" s="5" t="n">
        <v>38.58</v>
      </c>
      <c r="D10" s="5" t="inlineStr">
        <is>
          <t>THA</t>
        </is>
      </c>
      <c r="E10" s="5">
        <f>$B$2-C10</f>
        <v/>
      </c>
      <c r="F10" s="5">
        <f>IF(AND(($B$2-C10)&lt;=0,($B$2-C11)&lt;=0),0,IF(AND(($B$2-C10)&gt;=0,($B$2-C11)&gt;=0),0.5*(($B$2-C10)+($B$2-C11))*ABS(B11-B10),IF(($B$2-C10)&gt;0,0.5*($B$2-C10)*ABS((B10+(($B$2-C10)/(($B$2-C10)-($B$2-C11)))*(B11-B10))-B10),0.5*($B$2-C11)*ABS(B11-(B10+(($B$2-C10)/(($B$2-C10)-($B$2-C11)))*(B11-B10))))))</f>
        <v/>
      </c>
      <c r="G10" s="5">
        <f>IF(AND(($B$2-C10)&lt;=0,($B$2-C11)&lt;=0),0,IF(AND(($B$2-C10)&gt;=0,($B$2-C11)&gt;=0),SQRT((B11-B10)^2+(C11-C10)^2),IF(($B$2-C10)&gt;0,SQRT(((B10+(($B$2-C10)/(($B$2-C10)-($B$2-C11)))*(B11-B10))-B10)^2+($B$2-C10)^2),SQRT((B11-(B10+(($B$2-C10)/(($B$2-C10)-($B$2-C11)))*(B11-B10)))^2+($B$2-C11)^2))))</f>
        <v/>
      </c>
    </row>
    <row r="11">
      <c r="A11" s="5" t="n">
        <v>3</v>
      </c>
      <c r="B11" s="5" t="n">
        <v>19.598</v>
      </c>
      <c r="C11" s="5" t="n">
        <v>34.92</v>
      </c>
      <c r="D11" s="5" t="inlineStr">
        <is>
          <t>TBA</t>
        </is>
      </c>
      <c r="E11" s="5">
        <f>$B$2-C11</f>
        <v/>
      </c>
      <c r="F11" s="5">
        <f>IF(AND(($B$2-C11)&lt;=0,($B$2-C12)&lt;=0),0,IF(AND(($B$2-C11)&gt;=0,($B$2-C12)&gt;=0),0.5*(($B$2-C11)+($B$2-C12))*ABS(B12-B11),IF(($B$2-C11)&gt;0,0.5*($B$2-C11)*ABS((B11+(($B$2-C11)/(($B$2-C11)-($B$2-C12)))*(B12-B11))-B11),0.5*($B$2-C12)*ABS(B12-(B11+(($B$2-C11)/(($B$2-C11)-($B$2-C12)))*(B12-B11))))))</f>
        <v/>
      </c>
      <c r="G11" s="5">
        <f>IF(AND(($B$2-C11)&lt;=0,($B$2-C12)&lt;=0),0,IF(AND(($B$2-C11)&gt;=0,($B$2-C12)&gt;=0),SQRT((B12-B11)^2+(C12-C11)^2),IF(($B$2-C11)&gt;0,SQRT(((B11+(($B$2-C11)/(($B$2-C11)-($B$2-C12)))*(B12-B11))-B11)^2+($B$2-C11)^2),SQRT((B12-(B11+(($B$2-C11)/(($B$2-C11)-($B$2-C12)))*(B12-B11)))^2+($B$2-C12)^2))))</f>
        <v/>
      </c>
    </row>
    <row r="12">
      <c r="A12" s="5" t="n">
        <v>4</v>
      </c>
      <c r="B12" s="5" t="n">
        <v>31.09</v>
      </c>
      <c r="C12" s="5" t="n">
        <v>34.21</v>
      </c>
      <c r="D12" s="5" t="inlineStr">
        <is>
          <t>FOND</t>
        </is>
      </c>
      <c r="E12" s="5">
        <f>$B$2-C12</f>
        <v/>
      </c>
      <c r="F12" s="5">
        <f>IF(AND(($B$2-C12)&lt;=0,($B$2-C13)&lt;=0),0,IF(AND(($B$2-C12)&gt;=0,($B$2-C13)&gt;=0),0.5*(($B$2-C12)+($B$2-C13))*ABS(B13-B12),IF(($B$2-C12)&gt;0,0.5*($B$2-C12)*ABS((B12+(($B$2-C12)/(($B$2-C12)-($B$2-C13)))*(B13-B12))-B12),0.5*($B$2-C13)*ABS(B13-(B12+(($B$2-C12)/(($B$2-C12)-($B$2-C13)))*(B13-B12))))))</f>
        <v/>
      </c>
      <c r="G12" s="5">
        <f>IF(AND(($B$2-C12)&lt;=0,($B$2-C13)&lt;=0),0,IF(AND(($B$2-C12)&gt;=0,($B$2-C13)&gt;=0),SQRT((B13-B12)^2+(C13-C12)^2),IF(($B$2-C12)&gt;0,SQRT(((B12+(($B$2-C12)/(($B$2-C12)-($B$2-C13)))*(B13-B12))-B12)^2+($B$2-C12)^2),SQRT((B13-(B12+(($B$2-C12)/(($B$2-C12)-($B$2-C13)))*(B13-B12)))^2+($B$2-C13)^2))))</f>
        <v/>
      </c>
    </row>
    <row r="13">
      <c r="A13" s="5" t="n">
        <v>5</v>
      </c>
      <c r="B13" s="5" t="n">
        <v>32.472</v>
      </c>
      <c r="C13" s="5" t="n">
        <v>34.28</v>
      </c>
      <c r="D13" s="5" t="inlineStr">
        <is>
          <t>FOND</t>
        </is>
      </c>
      <c r="E13" s="5">
        <f>$B$2-C13</f>
        <v/>
      </c>
      <c r="F13" s="5">
        <f>IF(AND(($B$2-C13)&lt;=0,($B$2-C14)&lt;=0),0,IF(AND(($B$2-C13)&gt;=0,($B$2-C14)&gt;=0),0.5*(($B$2-C13)+($B$2-C14))*ABS(B14-B13),IF(($B$2-C13)&gt;0,0.5*($B$2-C13)*ABS((B13+(($B$2-C13)/(($B$2-C13)-($B$2-C14)))*(B14-B13))-B13),0.5*($B$2-C14)*ABS(B14-(B13+(($B$2-C13)/(($B$2-C13)-($B$2-C14)))*(B14-B13))))))</f>
        <v/>
      </c>
      <c r="G13" s="5">
        <f>IF(AND(($B$2-C13)&lt;=0,($B$2-C14)&lt;=0),0,IF(AND(($B$2-C13)&gt;=0,($B$2-C14)&gt;=0),SQRT((B14-B13)^2+(C14-C13)^2),IF(($B$2-C13)&gt;0,SQRT(((B13+(($B$2-C13)/(($B$2-C13)-($B$2-C14)))*(B14-B13))-B13)^2+($B$2-C13)^2),SQRT((B14-(B13+(($B$2-C13)/(($B$2-C13)-($B$2-C14)))*(B14-B13)))^2+($B$2-C14)^2))))</f>
        <v/>
      </c>
    </row>
    <row r="14">
      <c r="A14" s="5" t="n">
        <v>6</v>
      </c>
      <c r="B14" s="5" t="n">
        <v>33.532</v>
      </c>
      <c r="C14" s="5" t="n">
        <v>34.78</v>
      </c>
      <c r="D14" s="5" t="inlineStr">
        <is>
          <t>LHE</t>
        </is>
      </c>
      <c r="E14" s="5">
        <f>$B$2-C14</f>
        <v/>
      </c>
      <c r="F14" s="5">
        <f>IF(AND(($B$2-C14)&lt;=0,($B$2-C15)&lt;=0),0,IF(AND(($B$2-C14)&gt;=0,($B$2-C15)&gt;=0),0.5*(($B$2-C14)+($B$2-C15))*ABS(B15-B14),IF(($B$2-C14)&gt;0,0.5*($B$2-C14)*ABS((B14+(($B$2-C14)/(($B$2-C14)-($B$2-C15)))*(B15-B14))-B14),0.5*($B$2-C15)*ABS(B15-(B14+(($B$2-C14)/(($B$2-C14)-($B$2-C15)))*(B15-B14))))))</f>
        <v/>
      </c>
      <c r="G14" s="5">
        <f>IF(AND(($B$2-C14)&lt;=0,($B$2-C15)&lt;=0),0,IF(AND(($B$2-C14)&gt;=0,($B$2-C15)&gt;=0),SQRT((B15-B14)^2+(C15-C14)^2),IF(($B$2-C14)&gt;0,SQRT(((B14+(($B$2-C14)/(($B$2-C14)-($B$2-C15)))*(B15-B14))-B14)^2+($B$2-C14)^2),SQRT((B15-(B14+(($B$2-C14)/(($B$2-C14)-($B$2-C15)))*(B15-B14)))^2+($B$2-C15)^2))))</f>
        <v/>
      </c>
    </row>
    <row r="15">
      <c r="A15" s="5" t="n">
        <v>7</v>
      </c>
      <c r="B15" s="5" t="n">
        <v>36.689</v>
      </c>
      <c r="C15" s="5" t="n">
        <v>34.96</v>
      </c>
      <c r="D15" s="5" t="inlineStr">
        <is>
          <t>LHE</t>
        </is>
      </c>
      <c r="E15" s="5">
        <f>$B$2-C15</f>
        <v/>
      </c>
      <c r="F15" s="5">
        <f>IF(AND(($B$2-C15)&lt;=0,($B$2-C16)&lt;=0),0,IF(AND(($B$2-C15)&gt;=0,($B$2-C16)&gt;=0),0.5*(($B$2-C15)+($B$2-C16))*ABS(B16-B15),IF(($B$2-C15)&gt;0,0.5*($B$2-C15)*ABS((B15+(($B$2-C15)/(($B$2-C15)-($B$2-C16)))*(B16-B15))-B15),0.5*($B$2-C16)*ABS(B16-(B15+(($B$2-C15)/(($B$2-C15)-($B$2-C16)))*(B16-B15))))))</f>
        <v/>
      </c>
      <c r="G15" s="5">
        <f>IF(AND(($B$2-C15)&lt;=0,($B$2-C16)&lt;=0),0,IF(AND(($B$2-C15)&gt;=0,($B$2-C16)&gt;=0),SQRT((B16-B15)^2+(C16-C15)^2),IF(($B$2-C15)&gt;0,SQRT(((B15+(($B$2-C15)/(($B$2-C15)-($B$2-C16)))*(B16-B15))-B15)^2+($B$2-C15)^2),SQRT((B16-(B15+(($B$2-C15)/(($B$2-C15)-($B$2-C16)))*(B16-B15)))^2+($B$2-C16)^2))))</f>
        <v/>
      </c>
    </row>
    <row r="16">
      <c r="A16" s="5" t="n">
        <v>8</v>
      </c>
      <c r="B16" s="5" t="n">
        <v>42.646</v>
      </c>
      <c r="C16" s="5" t="n">
        <v>36.57</v>
      </c>
      <c r="D16" s="5" t="inlineStr">
        <is>
          <t>TN</t>
        </is>
      </c>
      <c r="E16" s="5">
        <f>$B$2-C16</f>
        <v/>
      </c>
      <c r="F16" s="5">
        <f>IF(AND(($B$2-C16)&lt;=0,($B$2-C17)&lt;=0),0,IF(AND(($B$2-C16)&gt;=0,($B$2-C17)&gt;=0),0.5*(($B$2-C16)+($B$2-C17))*ABS(B17-B16),IF(($B$2-C16)&gt;0,0.5*($B$2-C16)*ABS((B16+(($B$2-C16)/(($B$2-C16)-($B$2-C17)))*(B17-B16))-B16),0.5*($B$2-C17)*ABS(B17-(B16+(($B$2-C16)/(($B$2-C16)-($B$2-C17)))*(B17-B16))))))</f>
        <v/>
      </c>
      <c r="G16" s="5">
        <f>IF(AND(($B$2-C16)&lt;=0,($B$2-C17)&lt;=0),0,IF(AND(($B$2-C16)&gt;=0,($B$2-C17)&gt;=0),SQRT((B17-B16)^2+(C17-C16)^2),IF(($B$2-C16)&gt;0,SQRT(((B16+(($B$2-C16)/(($B$2-C16)-($B$2-C17)))*(B17-B16))-B16)^2+($B$2-C16)^2),SQRT((B17-(B16+(($B$2-C16)/(($B$2-C16)-($B$2-C17)))*(B17-B16)))^2+($B$2-C17)^2))))</f>
        <v/>
      </c>
    </row>
    <row r="17">
      <c r="A17" s="5" t="n">
        <v>9</v>
      </c>
      <c r="B17" s="5" t="n">
        <v>51.106</v>
      </c>
      <c r="C17" s="5" t="n">
        <v>39.77</v>
      </c>
      <c r="D17" s="5" t="inlineStr">
        <is>
          <t>THA</t>
        </is>
      </c>
      <c r="E17" s="5">
        <f>$B$2-C17</f>
        <v/>
      </c>
      <c r="F17" s="5" t="n"/>
      <c r="G17" s="5" t="n"/>
    </row>
    <row r="18">
      <c r="G18" t="inlineStr">
        <is>
          <t>P = Σ Pi</t>
        </is>
      </c>
    </row>
    <row r="19">
      <c r="A19" s="10" t="inlineStr">
        <is>
          <t>Totaux</t>
        </is>
      </c>
      <c r="E19" t="inlineStr">
        <is>
          <t>A = Σ Ai</t>
        </is>
      </c>
      <c r="F19" s="16">
        <f>SUM(F9:F16)</f>
        <v/>
      </c>
      <c r="G19" s="16">
        <f>SUM(G9:G16)</f>
        <v/>
      </c>
    </row>
    <row r="21">
      <c r="A21" t="inlineStr">
        <is>
          <t>Fond min (m)</t>
        </is>
      </c>
      <c r="B21">
        <f>MIN(C9:C17)</f>
        <v/>
      </c>
    </row>
    <row r="22">
      <c r="A22" t="inlineStr">
        <is>
          <t>y = WSE − fond (m)</t>
        </is>
      </c>
      <c r="B22">
        <f>B2-B21</f>
        <v/>
      </c>
    </row>
    <row r="23">
      <c r="A23" t="inlineStr">
        <is>
          <t>A (m²)</t>
        </is>
      </c>
      <c r="B23" s="9">
        <f>F19</f>
        <v/>
      </c>
    </row>
    <row r="24">
      <c r="A24" t="inlineStr">
        <is>
          <t>P (m)</t>
        </is>
      </c>
      <c r="B24" s="9">
        <f>G19</f>
        <v/>
      </c>
    </row>
    <row r="25">
      <c r="A25" t="inlineStr">
        <is>
          <t>R = A/P (m)</t>
        </is>
      </c>
      <c r="B25">
        <f>IF(B24&gt;0,B23/B24,0)</f>
        <v/>
      </c>
    </row>
    <row r="26">
      <c r="A26" t="inlineStr">
        <is>
          <t>Q_manning (m³/s)</t>
        </is>
      </c>
      <c r="B26">
        <f>IF(OR(B6&lt;=0,B23&lt;=0,B4&lt;=0),0,(1/B6)*B23*(B25^(2/3))*SQRT(B4))</f>
        <v/>
      </c>
    </row>
    <row r="27">
      <c r="A27" t="inlineStr">
        <is>
          <t>V = Q/A (m/s)</t>
        </is>
      </c>
      <c r="B27" s="9">
        <f>IF(B23&gt;0,B5/B23,0)</f>
        <v/>
      </c>
    </row>
    <row r="28">
      <c r="A28" t="inlineStr">
        <is>
          <t>Note</t>
        </is>
      </c>
      <c r="B28" t="inlineStr">
        <is>
          <t>V utilise Q de B5 (débit de projet). Pour la profondeur normale, ajuster WSE jusqu'à Q_manning ≈ Q.</t>
        </is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6" customWidth="1" min="6" max="6"/>
    <col width="16" customWidth="1" min="7" max="7"/>
  </cols>
  <sheetData>
    <row r="1">
      <c r="A1" s="13" t="inlineStr">
        <is>
          <t>Section 7+000 — aire / périmètre mouillés (formules Excel)</t>
        </is>
      </c>
    </row>
    <row r="2">
      <c r="A2" t="inlineStr">
        <is>
          <t>WSE (m)</t>
        </is>
      </c>
      <c r="B2" s="14" t="n">
        <v>34.5206</v>
      </c>
      <c r="C2" s="2" t="inlineStr">
        <is>
          <t>← éditer (jaune) : A et P se recalculent</t>
        </is>
      </c>
    </row>
    <row r="3">
      <c r="A3" t="inlineStr">
        <is>
          <t>Station cum. (m)</t>
        </is>
      </c>
      <c r="B3" t="n">
        <v>71.973</v>
      </c>
    </row>
    <row r="4">
      <c r="A4" t="inlineStr">
        <is>
          <t>S0 réel</t>
        </is>
      </c>
      <c r="B4" t="n">
        <v>0.01742</v>
      </c>
    </row>
    <row r="5">
      <c r="A5" t="inlineStr">
        <is>
          <t>Q (m³/s)</t>
        </is>
      </c>
      <c r="B5" s="3" t="n">
        <v>7.36</v>
      </c>
    </row>
    <row r="6">
      <c r="A6" t="inlineStr">
        <is>
          <t>n Manning</t>
        </is>
      </c>
      <c r="B6" s="3" t="n">
        <v>0.035</v>
      </c>
    </row>
    <row r="8">
      <c r="A8" s="4" t="inlineStr">
        <is>
          <t>#</t>
        </is>
      </c>
      <c r="B8" s="4" t="inlineStr">
        <is>
          <t>Distance x (m)</t>
        </is>
      </c>
      <c r="C8" s="4" t="inlineStr">
        <is>
          <t>Elev z (m)</t>
        </is>
      </c>
      <c r="D8" s="4" t="inlineStr">
        <is>
          <t>Desc</t>
        </is>
      </c>
      <c r="E8" s="4" t="inlineStr">
        <is>
          <t>d=WSE−z</t>
        </is>
      </c>
      <c r="F8" s="4" t="inlineStr">
        <is>
          <t>Ai segment (m²)</t>
        </is>
      </c>
      <c r="G8" s="4" t="inlineStr">
        <is>
          <t>Pi segment (m)</t>
        </is>
      </c>
    </row>
    <row r="9">
      <c r="A9" s="5" t="n">
        <v>1</v>
      </c>
      <c r="B9" s="5" t="n">
        <v>0</v>
      </c>
      <c r="C9" s="5" t="n">
        <v>39.35</v>
      </c>
      <c r="D9" s="5" t="inlineStr">
        <is>
          <t>BOR</t>
        </is>
      </c>
      <c r="E9" s="5">
        <f>$B$2-C9</f>
        <v/>
      </c>
      <c r="F9" s="5">
        <f>IF(AND(($B$2-C9)&lt;=0,($B$2-C10)&lt;=0),0,IF(AND(($B$2-C9)&gt;=0,($B$2-C10)&gt;=0),0.5*(($B$2-C9)+($B$2-C10))*ABS(B10-B9),IF(($B$2-C9)&gt;0,0.5*($B$2-C9)*ABS((B9+(($B$2-C9)/(($B$2-C9)-($B$2-C10)))*(B10-B9))-B9),0.5*($B$2-C10)*ABS(B10-(B9+(($B$2-C9)/(($B$2-C9)-($B$2-C10)))*(B10-B9))))))</f>
        <v/>
      </c>
      <c r="G9" s="5">
        <f>IF(AND(($B$2-C9)&lt;=0,($B$2-C10)&lt;=0),0,IF(AND(($B$2-C9)&gt;=0,($B$2-C10)&gt;=0),SQRT((B10-B9)^2+(C10-C9)^2),IF(($B$2-C9)&gt;0,SQRT(((B9+(($B$2-C9)/(($B$2-C9)-($B$2-C10)))*(B10-B9))-B9)^2+($B$2-C9)^2),SQRT((B10-(B9+(($B$2-C9)/(($B$2-C9)-($B$2-C10)))*(B10-B9)))^2+($B$2-C10)^2))))</f>
        <v/>
      </c>
    </row>
    <row r="10">
      <c r="A10" s="5" t="n">
        <v>2</v>
      </c>
      <c r="B10" s="5" t="n">
        <v>15.84</v>
      </c>
      <c r="C10" s="5" t="n">
        <v>34.48</v>
      </c>
      <c r="D10" s="5" t="inlineStr">
        <is>
          <t>TN</t>
        </is>
      </c>
      <c r="E10" s="5">
        <f>$B$2-C10</f>
        <v/>
      </c>
      <c r="F10" s="5">
        <f>IF(AND(($B$2-C10)&lt;=0,($B$2-C11)&lt;=0),0,IF(AND(($B$2-C10)&gt;=0,($B$2-C11)&gt;=0),0.5*(($B$2-C10)+($B$2-C11))*ABS(B11-B10),IF(($B$2-C10)&gt;0,0.5*($B$2-C10)*ABS((B10+(($B$2-C10)/(($B$2-C10)-($B$2-C11)))*(B11-B10))-B10),0.5*($B$2-C11)*ABS(B11-(B10+(($B$2-C10)/(($B$2-C10)-($B$2-C11)))*(B11-B10))))))</f>
        <v/>
      </c>
      <c r="G10" s="5">
        <f>IF(AND(($B$2-C10)&lt;=0,($B$2-C11)&lt;=0),0,IF(AND(($B$2-C10)&gt;=0,($B$2-C11)&gt;=0),SQRT((B11-B10)^2+(C11-C10)^2),IF(($B$2-C10)&gt;0,SQRT(((B10+(($B$2-C10)/(($B$2-C10)-($B$2-C11)))*(B11-B10))-B10)^2+($B$2-C10)^2),SQRT((B11-(B10+(($B$2-C10)/(($B$2-C10)-($B$2-C11)))*(B11-B10)))^2+($B$2-C11)^2))))</f>
        <v/>
      </c>
    </row>
    <row r="11">
      <c r="A11" s="5" t="n">
        <v>3</v>
      </c>
      <c r="B11" s="5" t="n">
        <v>23.05</v>
      </c>
      <c r="C11" s="5" t="n">
        <v>34.3</v>
      </c>
      <c r="D11" s="5" t="inlineStr">
        <is>
          <t>TN</t>
        </is>
      </c>
      <c r="E11" s="5">
        <f>$B$2-C11</f>
        <v/>
      </c>
      <c r="F11" s="5">
        <f>IF(AND(($B$2-C11)&lt;=0,($B$2-C12)&lt;=0),0,IF(AND(($B$2-C11)&gt;=0,($B$2-C12)&gt;=0),0.5*(($B$2-C11)+($B$2-C12))*ABS(B12-B11),IF(($B$2-C11)&gt;0,0.5*($B$2-C11)*ABS((B11+(($B$2-C11)/(($B$2-C11)-($B$2-C12)))*(B12-B11))-B11),0.5*($B$2-C12)*ABS(B12-(B11+(($B$2-C11)/(($B$2-C11)-($B$2-C12)))*(B12-B11))))))</f>
        <v/>
      </c>
      <c r="G11" s="5">
        <f>IF(AND(($B$2-C11)&lt;=0,($B$2-C12)&lt;=0),0,IF(AND(($B$2-C11)&gt;=0,($B$2-C12)&gt;=0),SQRT((B12-B11)^2+(C12-C11)^2),IF(($B$2-C11)&gt;0,SQRT(((B11+(($B$2-C11)/(($B$2-C11)-($B$2-C12)))*(B12-B11))-B11)^2+($B$2-C11)^2),SQRT((B12-(B11+(($B$2-C11)/(($B$2-C11)-($B$2-C12)))*(B12-B11)))^2+($B$2-C12)^2))))</f>
        <v/>
      </c>
    </row>
    <row r="12">
      <c r="A12" s="5" t="n">
        <v>4</v>
      </c>
      <c r="B12" s="5" t="n">
        <v>33.59</v>
      </c>
      <c r="C12" s="5" t="n">
        <v>34.056</v>
      </c>
      <c r="D12" s="5" t="inlineStr">
        <is>
          <t>FOND</t>
        </is>
      </c>
      <c r="E12" s="5">
        <f>$B$2-C12</f>
        <v/>
      </c>
      <c r="F12" s="5">
        <f>IF(AND(($B$2-C12)&lt;=0,($B$2-C13)&lt;=0),0,IF(AND(($B$2-C12)&gt;=0,($B$2-C13)&gt;=0),0.5*(($B$2-C12)+($B$2-C13))*ABS(B13-B12),IF(($B$2-C12)&gt;0,0.5*($B$2-C12)*ABS((B12+(($B$2-C12)/(($B$2-C12)-($B$2-C13)))*(B13-B12))-B12),0.5*($B$2-C13)*ABS(B13-(B12+(($B$2-C12)/(($B$2-C12)-($B$2-C13)))*(B13-B12))))))</f>
        <v/>
      </c>
      <c r="G12" s="5">
        <f>IF(AND(($B$2-C12)&lt;=0,($B$2-C13)&lt;=0),0,IF(AND(($B$2-C12)&gt;=0,($B$2-C13)&gt;=0),SQRT((B13-B12)^2+(C13-C12)^2),IF(($B$2-C12)&gt;0,SQRT(((B12+(($B$2-C12)/(($B$2-C12)-($B$2-C13)))*(B13-B12))-B12)^2+($B$2-C12)^2),SQRT((B13-(B12+(($B$2-C12)/(($B$2-C12)-($B$2-C13)))*(B13-B12)))^2+($B$2-C13)^2))))</f>
        <v/>
      </c>
    </row>
    <row r="13">
      <c r="A13" s="5" t="n">
        <v>5</v>
      </c>
      <c r="B13" s="5" t="n">
        <v>36.37</v>
      </c>
      <c r="C13" s="5" t="n">
        <v>34.946</v>
      </c>
      <c r="D13" s="5" t="inlineStr">
        <is>
          <t>TBA</t>
        </is>
      </c>
      <c r="E13" s="5">
        <f>$B$2-C13</f>
        <v/>
      </c>
      <c r="F13" s="5">
        <f>IF(AND(($B$2-C13)&lt;=0,($B$2-C14)&lt;=0),0,IF(AND(($B$2-C13)&gt;=0,($B$2-C14)&gt;=0),0.5*(($B$2-C13)+($B$2-C14))*ABS(B14-B13),IF(($B$2-C13)&gt;0,0.5*($B$2-C13)*ABS((B13+(($B$2-C13)/(($B$2-C13)-($B$2-C14)))*(B14-B13))-B13),0.5*($B$2-C14)*ABS(B14-(B13+(($B$2-C13)/(($B$2-C13)-($B$2-C14)))*(B14-B13))))))</f>
        <v/>
      </c>
      <c r="G13" s="5">
        <f>IF(AND(($B$2-C13)&lt;=0,($B$2-C14)&lt;=0),0,IF(AND(($B$2-C13)&gt;=0,($B$2-C14)&gt;=0),SQRT((B14-B13)^2+(C14-C13)^2),IF(($B$2-C13)&gt;0,SQRT(((B13+(($B$2-C13)/(($B$2-C13)-($B$2-C14)))*(B14-B13))-B13)^2+($B$2-C13)^2),SQRT((B14-(B13+(($B$2-C13)/(($B$2-C13)-($B$2-C14)))*(B14-B13)))^2+($B$2-C14)^2))))</f>
        <v/>
      </c>
    </row>
    <row r="14">
      <c r="A14" s="5" t="n">
        <v>6</v>
      </c>
      <c r="B14" s="5" t="n">
        <v>40.43</v>
      </c>
      <c r="C14" s="5" t="n">
        <v>36.8</v>
      </c>
      <c r="D14" s="5" t="inlineStr">
        <is>
          <t>TN</t>
        </is>
      </c>
      <c r="E14" s="5">
        <f>$B$2-C14</f>
        <v/>
      </c>
      <c r="F14" s="5" t="n"/>
      <c r="G14" s="5" t="n"/>
    </row>
    <row r="15">
      <c r="G15" t="inlineStr">
        <is>
          <t>P = Σ Pi</t>
        </is>
      </c>
    </row>
    <row r="16">
      <c r="A16" s="10" t="inlineStr">
        <is>
          <t>Totaux</t>
        </is>
      </c>
      <c r="E16" t="inlineStr">
        <is>
          <t>A = Σ Ai</t>
        </is>
      </c>
      <c r="F16" s="16">
        <f>SUM(F9:F13)</f>
        <v/>
      </c>
      <c r="G16" s="16">
        <f>SUM(G9:G13)</f>
        <v/>
      </c>
    </row>
    <row r="18">
      <c r="A18" t="inlineStr">
        <is>
          <t>Fond min (m)</t>
        </is>
      </c>
      <c r="B18">
        <f>MIN(C9:C14)</f>
        <v/>
      </c>
    </row>
    <row r="19">
      <c r="A19" t="inlineStr">
        <is>
          <t>y = WSE − fond (m)</t>
        </is>
      </c>
      <c r="B19">
        <f>B2-B18</f>
        <v/>
      </c>
    </row>
    <row r="20">
      <c r="A20" t="inlineStr">
        <is>
          <t>A (m²)</t>
        </is>
      </c>
      <c r="B20" s="9">
        <f>F16</f>
        <v/>
      </c>
    </row>
    <row r="21">
      <c r="A21" t="inlineStr">
        <is>
          <t>P (m)</t>
        </is>
      </c>
      <c r="B21" s="9">
        <f>G16</f>
        <v/>
      </c>
    </row>
    <row r="22">
      <c r="A22" t="inlineStr">
        <is>
          <t>R = A/P (m)</t>
        </is>
      </c>
      <c r="B22">
        <f>IF(B21&gt;0,B20/B21,0)</f>
        <v/>
      </c>
    </row>
    <row r="23">
      <c r="A23" t="inlineStr">
        <is>
          <t>Q_manning (m³/s)</t>
        </is>
      </c>
      <c r="B23">
        <f>IF(OR(B6&lt;=0,B20&lt;=0,B4&lt;=0),0,(1/B6)*B20*(B22^(2/3))*SQRT(B4))</f>
        <v/>
      </c>
    </row>
    <row r="24">
      <c r="A24" t="inlineStr">
        <is>
          <t>V = Q/A (m/s)</t>
        </is>
      </c>
      <c r="B24" s="9">
        <f>IF(B20&gt;0,B5/B20,0)</f>
        <v/>
      </c>
    </row>
    <row r="25">
      <c r="A25" t="inlineStr">
        <is>
          <t>Note</t>
        </is>
      </c>
      <c r="B25" t="inlineStr">
        <is>
          <t>V utilise Q de B5 (débit de projet). Pour la profondeur normale, ajuster WSE jusqu'à Q_manning ≈ Q.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6" customWidth="1" min="6" max="6"/>
    <col width="16" customWidth="1" min="7" max="7"/>
  </cols>
  <sheetData>
    <row r="1">
      <c r="A1" s="13" t="inlineStr">
        <is>
          <t>Section 8+000 — aire / périmètre mouillés (formules Excel)</t>
        </is>
      </c>
    </row>
    <row r="2">
      <c r="A2" t="inlineStr">
        <is>
          <t>WSE (m)</t>
        </is>
      </c>
      <c r="B2" s="14" t="n">
        <v>35.3257</v>
      </c>
      <c r="C2" s="2" t="inlineStr">
        <is>
          <t>← éditer (jaune) : A et P se recalculent</t>
        </is>
      </c>
    </row>
    <row r="3">
      <c r="A3" t="inlineStr">
        <is>
          <t>Station cum. (m)</t>
        </is>
      </c>
      <c r="B3" t="n">
        <v>89.361</v>
      </c>
    </row>
    <row r="4">
      <c r="A4" t="inlineStr">
        <is>
          <t>S0 réel</t>
        </is>
      </c>
      <c r="B4" t="n">
        <v>0.00175</v>
      </c>
    </row>
    <row r="5">
      <c r="A5" t="inlineStr">
        <is>
          <t>Q (m³/s)</t>
        </is>
      </c>
      <c r="B5" s="3" t="n">
        <v>7.36</v>
      </c>
    </row>
    <row r="6">
      <c r="A6" t="inlineStr">
        <is>
          <t>n Manning</t>
        </is>
      </c>
      <c r="B6" s="3" t="n">
        <v>0.035</v>
      </c>
    </row>
    <row r="8">
      <c r="A8" s="4" t="inlineStr">
        <is>
          <t>#</t>
        </is>
      </c>
      <c r="B8" s="4" t="inlineStr">
        <is>
          <t>Distance x (m)</t>
        </is>
      </c>
      <c r="C8" s="4" t="inlineStr">
        <is>
          <t>Elev z (m)</t>
        </is>
      </c>
      <c r="D8" s="4" t="inlineStr">
        <is>
          <t>Desc</t>
        </is>
      </c>
      <c r="E8" s="4" t="inlineStr">
        <is>
          <t>d=WSE−z</t>
        </is>
      </c>
      <c r="F8" s="4" t="inlineStr">
        <is>
          <t>Ai segment (m²)</t>
        </is>
      </c>
      <c r="G8" s="4" t="inlineStr">
        <is>
          <t>Pi segment (m)</t>
        </is>
      </c>
    </row>
    <row r="9">
      <c r="A9" s="5" t="n">
        <v>1</v>
      </c>
      <c r="B9" s="5" t="n">
        <v>0</v>
      </c>
      <c r="C9" s="5" t="n">
        <v>39.29</v>
      </c>
      <c r="D9" s="5" t="inlineStr">
        <is>
          <t>BOR</t>
        </is>
      </c>
      <c r="E9" s="5">
        <f>$B$2-C9</f>
        <v/>
      </c>
      <c r="F9" s="5">
        <f>IF(AND(($B$2-C9)&lt;=0,($B$2-C10)&lt;=0),0,IF(AND(($B$2-C9)&gt;=0,($B$2-C10)&gt;=0),0.5*(($B$2-C9)+($B$2-C10))*ABS(B10-B9),IF(($B$2-C9)&gt;0,0.5*($B$2-C9)*ABS((B9+(($B$2-C9)/(($B$2-C9)-($B$2-C10)))*(B10-B9))-B9),0.5*($B$2-C10)*ABS(B10-(B9+(($B$2-C9)/(($B$2-C9)-($B$2-C10)))*(B10-B9))))))</f>
        <v/>
      </c>
      <c r="G9" s="5">
        <f>IF(AND(($B$2-C9)&lt;=0,($B$2-C10)&lt;=0),0,IF(AND(($B$2-C9)&gt;=0,($B$2-C10)&gt;=0),SQRT((B10-B9)^2+(C10-C9)^2),IF(($B$2-C9)&gt;0,SQRT(((B9+(($B$2-C9)/(($B$2-C9)-($B$2-C10)))*(B10-B9))-B9)^2+($B$2-C9)^2),SQRT((B10-(B9+(($B$2-C9)/(($B$2-C9)-($B$2-C10)))*(B10-B9)))^2+($B$2-C10)^2))))</f>
        <v/>
      </c>
    </row>
    <row r="10">
      <c r="A10" s="5" t="n">
        <v>2</v>
      </c>
      <c r="B10" s="5" t="n">
        <v>10.43</v>
      </c>
      <c r="C10" s="5" t="n">
        <v>37.89</v>
      </c>
      <c r="D10" s="5" t="inlineStr">
        <is>
          <t>THA</t>
        </is>
      </c>
      <c r="E10" s="5">
        <f>$B$2-C10</f>
        <v/>
      </c>
      <c r="F10" s="5">
        <f>IF(AND(($B$2-C10)&lt;=0,($B$2-C11)&lt;=0),0,IF(AND(($B$2-C10)&gt;=0,($B$2-C11)&gt;=0),0.5*(($B$2-C10)+($B$2-C11))*ABS(B11-B10),IF(($B$2-C10)&gt;0,0.5*($B$2-C10)*ABS((B10+(($B$2-C10)/(($B$2-C10)-($B$2-C11)))*(B11-B10))-B10),0.5*($B$2-C11)*ABS(B11-(B10+(($B$2-C10)/(($B$2-C10)-($B$2-C11)))*(B11-B10))))))</f>
        <v/>
      </c>
      <c r="G10" s="5">
        <f>IF(AND(($B$2-C10)&lt;=0,($B$2-C11)&lt;=0),0,IF(AND(($B$2-C10)&gt;=0,($B$2-C11)&gt;=0),SQRT((B11-B10)^2+(C11-C10)^2),IF(($B$2-C10)&gt;0,SQRT(((B10+(($B$2-C10)/(($B$2-C10)-($B$2-C11)))*(B11-B10))-B10)^2+($B$2-C10)^2),SQRT((B11-(B10+(($B$2-C10)/(($B$2-C10)-($B$2-C11)))*(B11-B10)))^2+($B$2-C11)^2))))</f>
        <v/>
      </c>
    </row>
    <row r="11">
      <c r="A11" s="5" t="n">
        <v>3</v>
      </c>
      <c r="B11" s="5" t="n">
        <v>15.156</v>
      </c>
      <c r="C11" s="5" t="n">
        <v>36.96</v>
      </c>
      <c r="D11" s="5" t="inlineStr">
        <is>
          <t>TN</t>
        </is>
      </c>
      <c r="E11" s="5">
        <f>$B$2-C11</f>
        <v/>
      </c>
      <c r="F11" s="5">
        <f>IF(AND(($B$2-C11)&lt;=0,($B$2-C12)&lt;=0),0,IF(AND(($B$2-C11)&gt;=0,($B$2-C12)&gt;=0),0.5*(($B$2-C11)+($B$2-C12))*ABS(B12-B11),IF(($B$2-C11)&gt;0,0.5*($B$2-C11)*ABS((B11+(($B$2-C11)/(($B$2-C11)-($B$2-C12)))*(B12-B11))-B11),0.5*($B$2-C12)*ABS(B12-(B11+(($B$2-C11)/(($B$2-C11)-($B$2-C12)))*(B12-B11))))))</f>
        <v/>
      </c>
      <c r="G11" s="5">
        <f>IF(AND(($B$2-C11)&lt;=0,($B$2-C12)&lt;=0),0,IF(AND(($B$2-C11)&gt;=0,($B$2-C12)&gt;=0),SQRT((B12-B11)^2+(C12-C11)^2),IF(($B$2-C11)&gt;0,SQRT(((B11+(($B$2-C11)/(($B$2-C11)-($B$2-C12)))*(B12-B11))-B11)^2+($B$2-C11)^2),SQRT((B12-(B11+(($B$2-C11)/(($B$2-C11)-($B$2-C12)))*(B12-B11)))^2+($B$2-C12)^2))))</f>
        <v/>
      </c>
    </row>
    <row r="12">
      <c r="A12" s="5" t="n">
        <v>4</v>
      </c>
      <c r="B12" s="5" t="n">
        <v>24.203</v>
      </c>
      <c r="C12" s="5" t="n">
        <v>35.22</v>
      </c>
      <c r="D12" s="5" t="inlineStr">
        <is>
          <t>TBA</t>
        </is>
      </c>
      <c r="E12" s="5">
        <f>$B$2-C12</f>
        <v/>
      </c>
      <c r="F12" s="5">
        <f>IF(AND(($B$2-C12)&lt;=0,($B$2-C13)&lt;=0),0,IF(AND(($B$2-C12)&gt;=0,($B$2-C13)&gt;=0),0.5*(($B$2-C12)+($B$2-C13))*ABS(B13-B12),IF(($B$2-C12)&gt;0,0.5*($B$2-C12)*ABS((B12+(($B$2-C12)/(($B$2-C12)-($B$2-C13)))*(B13-B12))-B12),0.5*($B$2-C13)*ABS(B13-(B12+(($B$2-C12)/(($B$2-C12)-($B$2-C13)))*(B13-B12))))))</f>
        <v/>
      </c>
      <c r="G12" s="5">
        <f>IF(AND(($B$2-C12)&lt;=0,($B$2-C13)&lt;=0),0,IF(AND(($B$2-C12)&gt;=0,($B$2-C13)&gt;=0),SQRT((B13-B12)^2+(C13-C12)^2),IF(($B$2-C12)&gt;0,SQRT(((B12+(($B$2-C12)/(($B$2-C12)-($B$2-C13)))*(B13-B12))-B12)^2+($B$2-C12)^2),SQRT((B13-(B12+(($B$2-C12)/(($B$2-C12)-($B$2-C13)))*(B13-B12)))^2+($B$2-C13)^2))))</f>
        <v/>
      </c>
    </row>
    <row r="13">
      <c r="A13" s="5" t="n">
        <v>5</v>
      </c>
      <c r="B13" s="5" t="n">
        <v>27.103</v>
      </c>
      <c r="C13" s="5" t="n">
        <v>33.89</v>
      </c>
      <c r="D13" s="5" t="inlineStr">
        <is>
          <t>FOND</t>
        </is>
      </c>
      <c r="E13" s="5">
        <f>$B$2-C13</f>
        <v/>
      </c>
      <c r="F13" s="5">
        <f>IF(AND(($B$2-C13)&lt;=0,($B$2-C14)&lt;=0),0,IF(AND(($B$2-C13)&gt;=0,($B$2-C14)&gt;=0),0.5*(($B$2-C13)+($B$2-C14))*ABS(B14-B13),IF(($B$2-C13)&gt;0,0.5*($B$2-C13)*ABS((B13+(($B$2-C13)/(($B$2-C13)-($B$2-C14)))*(B14-B13))-B13),0.5*($B$2-C14)*ABS(B14-(B13+(($B$2-C13)/(($B$2-C13)-($B$2-C14)))*(B14-B13))))))</f>
        <v/>
      </c>
      <c r="G13" s="5">
        <f>IF(AND(($B$2-C13)&lt;=0,($B$2-C14)&lt;=0),0,IF(AND(($B$2-C13)&gt;=0,($B$2-C14)&gt;=0),SQRT((B14-B13)^2+(C14-C13)^2),IF(($B$2-C13)&gt;0,SQRT(((B13+(($B$2-C13)/(($B$2-C13)-($B$2-C14)))*(B14-B13))-B13)^2+($B$2-C13)^2),SQRT((B14-(B13+(($B$2-C13)/(($B$2-C13)-($B$2-C14)))*(B14-B13)))^2+($B$2-C14)^2))))</f>
        <v/>
      </c>
    </row>
    <row r="14">
      <c r="A14" s="5" t="n">
        <v>6</v>
      </c>
      <c r="B14" s="5" t="n">
        <v>29.476</v>
      </c>
      <c r="C14" s="5" t="n">
        <v>33.72</v>
      </c>
      <c r="D14" s="5" t="inlineStr">
        <is>
          <t>FOND</t>
        </is>
      </c>
      <c r="E14" s="5">
        <f>$B$2-C14</f>
        <v/>
      </c>
      <c r="F14" s="5">
        <f>IF(AND(($B$2-C14)&lt;=0,($B$2-C15)&lt;=0),0,IF(AND(($B$2-C14)&gt;=0,($B$2-C15)&gt;=0),0.5*(($B$2-C14)+($B$2-C15))*ABS(B15-B14),IF(($B$2-C14)&gt;0,0.5*($B$2-C14)*ABS((B14+(($B$2-C14)/(($B$2-C14)-($B$2-C15)))*(B15-B14))-B14),0.5*($B$2-C15)*ABS(B15-(B14+(($B$2-C14)/(($B$2-C14)-($B$2-C15)))*(B15-B14))))))</f>
        <v/>
      </c>
      <c r="G14" s="5">
        <f>IF(AND(($B$2-C14)&lt;=0,($B$2-C15)&lt;=0),0,IF(AND(($B$2-C14)&gt;=0,($B$2-C15)&gt;=0),SQRT((B15-B14)^2+(C15-C14)^2),IF(($B$2-C14)&gt;0,SQRT(((B14+(($B$2-C14)/(($B$2-C14)-($B$2-C15)))*(B15-B14))-B14)^2+($B$2-C14)^2),SQRT((B15-(B14+(($B$2-C14)/(($B$2-C14)-($B$2-C15)))*(B15-B14)))^2+($B$2-C15)^2))))</f>
        <v/>
      </c>
    </row>
    <row r="15">
      <c r="A15" s="5" t="n">
        <v>7</v>
      </c>
      <c r="B15" s="5" t="n">
        <v>30.08</v>
      </c>
      <c r="C15" s="5" t="n">
        <v>34.37</v>
      </c>
      <c r="D15" s="5" t="inlineStr">
        <is>
          <t>BLOC</t>
        </is>
      </c>
      <c r="E15" s="5">
        <f>$B$2-C15</f>
        <v/>
      </c>
      <c r="F15" s="5">
        <f>IF(AND(($B$2-C15)&lt;=0,($B$2-C16)&lt;=0),0,IF(AND(($B$2-C15)&gt;=0,($B$2-C16)&gt;=0),0.5*(($B$2-C15)+($B$2-C16))*ABS(B16-B15),IF(($B$2-C15)&gt;0,0.5*($B$2-C15)*ABS((B15+(($B$2-C15)/(($B$2-C15)-($B$2-C16)))*(B16-B15))-B15),0.5*($B$2-C16)*ABS(B16-(B15+(($B$2-C15)/(($B$2-C15)-($B$2-C16)))*(B16-B15))))))</f>
        <v/>
      </c>
      <c r="G15" s="5">
        <f>IF(AND(($B$2-C15)&lt;=0,($B$2-C16)&lt;=0),0,IF(AND(($B$2-C15)&gt;=0,($B$2-C16)&gt;=0),SQRT((B16-B15)^2+(C16-C15)^2),IF(($B$2-C15)&gt;0,SQRT(((B15+(($B$2-C15)/(($B$2-C15)-($B$2-C16)))*(B16-B15))-B15)^2+($B$2-C15)^2),SQRT((B16-(B15+(($B$2-C15)/(($B$2-C15)-($B$2-C16)))*(B16-B15)))^2+($B$2-C16)^2))))</f>
        <v/>
      </c>
    </row>
    <row r="16">
      <c r="A16" s="5" t="n">
        <v>8</v>
      </c>
      <c r="B16" s="5" t="n">
        <v>30.297</v>
      </c>
      <c r="C16" s="5" t="n">
        <v>35.66</v>
      </c>
      <c r="D16" s="5" t="inlineStr">
        <is>
          <t>TBA</t>
        </is>
      </c>
      <c r="E16" s="5">
        <f>$B$2-C16</f>
        <v/>
      </c>
      <c r="F16" s="5">
        <f>IF(AND(($B$2-C16)&lt;=0,($B$2-C17)&lt;=0),0,IF(AND(($B$2-C16)&gt;=0,($B$2-C17)&gt;=0),0.5*(($B$2-C16)+($B$2-C17))*ABS(B17-B16),IF(($B$2-C16)&gt;0,0.5*($B$2-C16)*ABS((B16+(($B$2-C16)/(($B$2-C16)-($B$2-C17)))*(B17-B16))-B16),0.5*($B$2-C17)*ABS(B17-(B16+(($B$2-C16)/(($B$2-C16)-($B$2-C17)))*(B17-B16))))))</f>
        <v/>
      </c>
      <c r="G16" s="5">
        <f>IF(AND(($B$2-C16)&lt;=0,($B$2-C17)&lt;=0),0,IF(AND(($B$2-C16)&gt;=0,($B$2-C17)&gt;=0),SQRT((B17-B16)^2+(C17-C16)^2),IF(($B$2-C16)&gt;0,SQRT(((B16+(($B$2-C16)/(($B$2-C16)-($B$2-C17)))*(B17-B16))-B16)^2+($B$2-C16)^2),SQRT((B17-(B16+(($B$2-C16)/(($B$2-C16)-($B$2-C17)))*(B17-B16)))^2+($B$2-C17)^2))))</f>
        <v/>
      </c>
    </row>
    <row r="17">
      <c r="A17" s="5" t="n">
        <v>9</v>
      </c>
      <c r="B17" s="5" t="n">
        <v>33.235</v>
      </c>
      <c r="C17" s="5" t="n">
        <v>34.54</v>
      </c>
      <c r="D17" s="5" t="inlineStr">
        <is>
          <t>BLOC</t>
        </is>
      </c>
      <c r="E17" s="5">
        <f>$B$2-C17</f>
        <v/>
      </c>
      <c r="F17" s="5" t="n"/>
      <c r="G17" s="5" t="n"/>
    </row>
    <row r="18">
      <c r="G18" t="inlineStr">
        <is>
          <t>P = Σ Pi</t>
        </is>
      </c>
    </row>
    <row r="19">
      <c r="A19" s="10" t="inlineStr">
        <is>
          <t>Totaux</t>
        </is>
      </c>
      <c r="E19" t="inlineStr">
        <is>
          <t>A = Σ Ai</t>
        </is>
      </c>
      <c r="F19" s="16">
        <f>SUM(F9:F16)</f>
        <v/>
      </c>
      <c r="G19" s="16">
        <f>SUM(G9:G16)</f>
        <v/>
      </c>
    </row>
    <row r="21">
      <c r="A21" t="inlineStr">
        <is>
          <t>Fond min (m)</t>
        </is>
      </c>
      <c r="B21">
        <f>MIN(C9:C17)</f>
        <v/>
      </c>
    </row>
    <row r="22">
      <c r="A22" t="inlineStr">
        <is>
          <t>y = WSE − fond (m)</t>
        </is>
      </c>
      <c r="B22">
        <f>B2-B21</f>
        <v/>
      </c>
    </row>
    <row r="23">
      <c r="A23" t="inlineStr">
        <is>
          <t>A (m²)</t>
        </is>
      </c>
      <c r="B23" s="9">
        <f>F19</f>
        <v/>
      </c>
    </row>
    <row r="24">
      <c r="A24" t="inlineStr">
        <is>
          <t>P (m)</t>
        </is>
      </c>
      <c r="B24" s="9">
        <f>G19</f>
        <v/>
      </c>
    </row>
    <row r="25">
      <c r="A25" t="inlineStr">
        <is>
          <t>R = A/P (m)</t>
        </is>
      </c>
      <c r="B25">
        <f>IF(B24&gt;0,B23/B24,0)</f>
        <v/>
      </c>
    </row>
    <row r="26">
      <c r="A26" t="inlineStr">
        <is>
          <t>Q_manning (m³/s)</t>
        </is>
      </c>
      <c r="B26">
        <f>IF(OR(B6&lt;=0,B23&lt;=0,B4&lt;=0),0,(1/B6)*B23*(B25^(2/3))*SQRT(B4))</f>
        <v/>
      </c>
    </row>
    <row r="27">
      <c r="A27" t="inlineStr">
        <is>
          <t>V = Q/A (m/s)</t>
        </is>
      </c>
      <c r="B27" s="9">
        <f>IF(B23&gt;0,B5/B23,0)</f>
        <v/>
      </c>
    </row>
    <row r="28">
      <c r="A28" t="inlineStr">
        <is>
          <t>Note</t>
        </is>
      </c>
      <c r="B28" t="inlineStr">
        <is>
          <t>V utilise Q de B5 (débit de projet). Pour la profondeur normale, ajuster WSE jusqu'à Q_manning ≈ Q.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2026-08-29T14:57:55Z</dcterms:created>
  <dcterms:modified xsi:type="dcterms:W3CDTF">2026-08-29T14:57:55Z</dcterms:modified>
</cp:coreProperties>
</file>