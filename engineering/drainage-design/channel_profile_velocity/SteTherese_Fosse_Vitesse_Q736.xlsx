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ts_Q736" sheetId="1" state="visible" r:id="rId1"/>
    <sheet name="Formules_Aire" sheetId="2" state="visible" r:id="rId2"/>
    <sheet name="Methode" sheetId="3" state="visible" r:id="rId3"/>
    <sheet name="Longitudinal" sheetId="4" state="visible" r:id="rId4"/>
    <sheet name="Aire_1000" sheetId="5" state="visible" r:id="rId5"/>
    <sheet name="Aire_2000" sheetId="6" state="visible" r:id="rId6"/>
    <sheet name="Aire_3000" sheetId="7" state="visible" r:id="rId7"/>
    <sheet name="Aire_4000" sheetId="8" state="visible" r:id="rId8"/>
    <sheet name="Aire_5000" sheetId="9" state="visible" r:id="rId9"/>
    <sheet name="Aire_6000" sheetId="10" state="visible" r:id="rId10"/>
    <sheet name="Aire_7000" sheetId="11" state="visible" r:id="rId11"/>
    <sheet name="Aire_800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"/>
    <numFmt numFmtId="165" formatCode="0.0000"/>
    <numFmt numFmtId="166" formatCode="0.00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64748B"/>
    </font>
    <font>
      <b val="1"/>
      <color rgb="00FFFFFF"/>
    </font>
    <font>
      <b val="1"/>
    </font>
    <font>
      <b val="1"/>
      <sz val="13"/>
    </font>
    <font>
      <b val="1"/>
      <color rgb="000F5C5C"/>
      <sz val="13"/>
    </font>
    <font>
      <b val="1"/>
      <color rgb="000F5C5C"/>
      <sz val="12"/>
    </font>
    <font>
      <b val="1"/>
      <color rgb="000F5C5C"/>
    </font>
  </fonts>
  <fills count="6">
    <fill>
      <patternFill/>
    </fill>
    <fill>
      <patternFill patternType="gray125"/>
    </fill>
    <fill>
      <patternFill patternType="solid">
        <fgColor rgb="00FFF59D"/>
      </patternFill>
    </fill>
    <fill>
      <patternFill patternType="solid">
        <fgColor rgb="000F5C5C"/>
      </patternFill>
    </fill>
    <fill>
      <patternFill patternType="solid">
        <fgColor rgb="00FCE4D6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0" fillId="0" borderId="1" pivotButton="0" quotePrefix="0" xfId="0"/>
    <xf numFmtId="164" fontId="0" fillId="4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5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2" borderId="1" pivotButton="0" quotePrefix="0" xfId="0"/>
    <xf numFmtId="0" fontId="0" fillId="4" borderId="0" pivotButton="0" quotePrefix="0" xfId="0"/>
    <xf numFmtId="0" fontId="8" fillId="0" borderId="0" pivotButton="0" quotePrefix="0" xfId="0"/>
    <xf numFmtId="165" fontId="4" fillId="5" borderId="0" pivotButton="0" quotePrefix="0" xfId="0"/>
    <xf numFmtId="165" fontId="0" fillId="5" borderId="1" pivotButton="0" quotePrefix="0" xfId="0"/>
    <xf numFmtId="166" fontId="0" fillId="5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48" customWidth="1" min="13" max="13"/>
  </cols>
  <sheetData>
    <row r="1">
      <c r="A1" s="1" t="inlineStr">
        <is>
          <t>Fossé Ste-Thérèse — vitesse aux sections réelles (survey)</t>
        </is>
      </c>
    </row>
    <row r="2">
      <c r="A2" s="2" t="inlineStr">
        <is>
          <t>Q = 7.36 m³/s ; n = 0.035 ; Manning profondeur normale si S0 &gt; 0. Pentes adverses: S0 réel affiché, V non calculée (pas de |S0|).</t>
        </is>
      </c>
    </row>
    <row r="3"/>
    <row r="4">
      <c r="A4" t="inlineStr">
        <is>
          <t>Q (m³/s)</t>
        </is>
      </c>
      <c r="B4" s="3" t="n">
        <v>7.36</v>
      </c>
    </row>
    <row r="5">
      <c r="A5" t="inlineStr">
        <is>
          <t>n Manning</t>
        </is>
      </c>
      <c r="B5" s="3" t="n">
        <v>0.035</v>
      </c>
      <c r="C5" t="inlineStr">
        <is>
          <t>Pour recalculer: éditer build_st_therese_velocity.py puis python build_st_therese_velocity.py</t>
        </is>
      </c>
    </row>
    <row r="6"/>
    <row r="7">
      <c r="A7" s="4" t="inlineStr">
        <is>
          <t>Section</t>
        </is>
      </c>
      <c r="B7" s="4" t="inlineStr">
        <is>
          <t>Station cum. (m)</t>
        </is>
      </c>
      <c r="C7" s="4" t="inlineStr">
        <is>
          <t>S0 réel (signé)</t>
        </is>
      </c>
      <c r="D7" s="4" t="inlineStr">
        <is>
          <t>y (m)</t>
        </is>
      </c>
      <c r="E7" s="4" t="inlineStr">
        <is>
          <t>WSE (m)</t>
        </is>
      </c>
      <c r="F7" s="4" t="inlineStr">
        <is>
          <t>Fond min (m)</t>
        </is>
      </c>
      <c r="G7" s="4" t="inlineStr">
        <is>
          <t>A (m²)</t>
        </is>
      </c>
      <c r="H7" s="4" t="inlineStr">
        <is>
          <t>P (m)</t>
        </is>
      </c>
      <c r="I7" s="4" t="inlineStr">
        <is>
          <t>R (m)</t>
        </is>
      </c>
      <c r="J7" s="4" t="inlineStr">
        <is>
          <t>V (m/s)</t>
        </is>
      </c>
      <c r="K7" s="4" t="inlineStr">
        <is>
          <t>Fr</t>
        </is>
      </c>
      <c r="L7" s="4" t="inlineStr">
        <is>
          <t>OK?</t>
        </is>
      </c>
      <c r="M7" s="4" t="inlineStr">
        <is>
          <t>Note S0 / capacité</t>
        </is>
      </c>
    </row>
    <row r="8">
      <c r="A8" s="5" t="inlineStr">
        <is>
          <t>1+000</t>
        </is>
      </c>
      <c r="B8" s="5" t="n">
        <v>0</v>
      </c>
      <c r="C8" s="6" t="n">
        <v>-0.03175</v>
      </c>
      <c r="D8" s="7" t="n"/>
      <c r="E8" s="7" t="n"/>
      <c r="F8" s="5" t="n">
        <v>34.47</v>
      </c>
      <c r="G8" s="7" t="n"/>
      <c r="H8" s="7" t="n"/>
      <c r="I8" s="7" t="n"/>
      <c r="J8" s="7" t="n"/>
      <c r="K8" s="7" t="n"/>
      <c r="L8" s="5" t="inlineStr">
        <is>
          <t>—</t>
        </is>
      </c>
      <c r="M8" s="5" t="inlineStr">
        <is>
          <t>S0 réel adverse = -0.03175 — V non calculée</t>
        </is>
      </c>
    </row>
    <row r="9">
      <c r="A9" s="5" t="inlineStr">
        <is>
          <t>2+000</t>
        </is>
      </c>
      <c r="B9" s="5" t="n">
        <v>13.783</v>
      </c>
      <c r="C9" s="5" t="n">
        <v>0.02011</v>
      </c>
      <c r="D9" s="5" t="n">
        <v>0.944</v>
      </c>
      <c r="E9" s="5" t="n">
        <v>35.514</v>
      </c>
      <c r="F9" s="5" t="n">
        <v>34.57</v>
      </c>
      <c r="G9" s="5" t="n">
        <v>2.92</v>
      </c>
      <c r="H9" s="5" t="n">
        <v>5.95</v>
      </c>
      <c r="I9" s="5" t="n">
        <v>0.491</v>
      </c>
      <c r="J9" s="8" t="n">
        <v>2.521</v>
      </c>
      <c r="K9" s="5" t="n">
        <v>1.12</v>
      </c>
      <c r="L9" s="5" t="inlineStr">
        <is>
          <t>Oui</t>
        </is>
      </c>
      <c r="M9" s="5" t="inlineStr">
        <is>
          <t>S0 réel (table long.)</t>
        </is>
      </c>
    </row>
    <row r="10">
      <c r="A10" s="5" t="inlineStr">
        <is>
          <t>3+000</t>
        </is>
      </c>
      <c r="B10" s="5" t="n">
        <v>23.663</v>
      </c>
      <c r="C10" s="6" t="n">
        <v>-0.0025</v>
      </c>
      <c r="D10" s="7" t="n"/>
      <c r="E10" s="7" t="n"/>
      <c r="F10" s="5" t="n">
        <v>34.42</v>
      </c>
      <c r="G10" s="7" t="n"/>
      <c r="H10" s="7" t="n"/>
      <c r="I10" s="7" t="n"/>
      <c r="J10" s="7" t="n"/>
      <c r="K10" s="7" t="n"/>
      <c r="L10" s="5" t="inlineStr">
        <is>
          <t>—</t>
        </is>
      </c>
      <c r="M10" s="5" t="inlineStr">
        <is>
          <t>S0 réel adverse = -0.00250 — V non calculée</t>
        </is>
      </c>
    </row>
    <row r="11">
      <c r="A11" s="5" t="inlineStr">
        <is>
          <t>4+000</t>
        </is>
      </c>
      <c r="B11" s="5" t="n">
        <v>35.641</v>
      </c>
      <c r="C11" s="5" t="n">
        <v>0.02032</v>
      </c>
      <c r="D11" s="5" t="n">
        <v>0.5649999999999999</v>
      </c>
      <c r="E11" s="5" t="n">
        <v>34.995</v>
      </c>
      <c r="F11" s="5" t="n">
        <v>34.43</v>
      </c>
      <c r="G11" s="5" t="n">
        <v>3.294</v>
      </c>
      <c r="H11" s="5" t="n">
        <v>8.105</v>
      </c>
      <c r="I11" s="5" t="n">
        <v>0.406</v>
      </c>
      <c r="J11" s="8" t="n">
        <v>2.235</v>
      </c>
      <c r="K11" s="5" t="n">
        <v>1.1</v>
      </c>
      <c r="L11" s="5" t="inlineStr">
        <is>
          <t>Oui</t>
        </is>
      </c>
      <c r="M11" s="5" t="inlineStr">
        <is>
          <t>S0 réel (table long.)</t>
        </is>
      </c>
    </row>
    <row r="12">
      <c r="A12" s="5" t="inlineStr">
        <is>
          <t>5+000</t>
        </is>
      </c>
      <c r="B12" s="5" t="n">
        <v>45.838</v>
      </c>
      <c r="C12" s="5" t="n">
        <v>0.0315</v>
      </c>
      <c r="D12" s="5" t="n">
        <v>0.51</v>
      </c>
      <c r="E12" s="5" t="n">
        <v>34.806</v>
      </c>
      <c r="F12" s="5" t="n">
        <v>34.296</v>
      </c>
      <c r="G12" s="5" t="n">
        <v>3.062</v>
      </c>
      <c r="H12" s="5" t="n">
        <v>9.382</v>
      </c>
      <c r="I12" s="5" t="n">
        <v>0.326</v>
      </c>
      <c r="J12" s="8" t="n">
        <v>2.404</v>
      </c>
      <c r="K12" s="5" t="n">
        <v>1.33</v>
      </c>
      <c r="L12" s="5" t="inlineStr">
        <is>
          <t>Oui</t>
        </is>
      </c>
      <c r="M12" s="5" t="inlineStr">
        <is>
          <t>S0 réel (table long.)</t>
        </is>
      </c>
    </row>
    <row r="13">
      <c r="A13" s="5" t="inlineStr">
        <is>
          <t>6+000</t>
        </is>
      </c>
      <c r="B13" s="5" t="n">
        <v>59.435</v>
      </c>
      <c r="C13" s="5" t="n">
        <v>0.00535</v>
      </c>
      <c r="D13" s="5" t="n">
        <v>0.774</v>
      </c>
      <c r="E13" s="5" t="n">
        <v>34.984</v>
      </c>
      <c r="F13" s="5" t="n">
        <v>34.21</v>
      </c>
      <c r="G13" s="5" t="n">
        <v>6.683</v>
      </c>
      <c r="H13" s="5" t="n">
        <v>17.467</v>
      </c>
      <c r="I13" s="5" t="n">
        <v>0.383</v>
      </c>
      <c r="J13" s="8" t="n">
        <v>1.101</v>
      </c>
      <c r="K13" s="5" t="n">
        <v>0.57</v>
      </c>
      <c r="L13" s="5" t="inlineStr">
        <is>
          <t>Oui</t>
        </is>
      </c>
      <c r="M13" s="5" t="inlineStr">
        <is>
          <t>S0 réel (table long.)</t>
        </is>
      </c>
    </row>
    <row r="14">
      <c r="A14" s="5" t="inlineStr">
        <is>
          <t>7+000</t>
        </is>
      </c>
      <c r="B14" s="5" t="n">
        <v>71.973</v>
      </c>
      <c r="C14" s="5" t="n">
        <v>0.01742</v>
      </c>
      <c r="D14" s="5" t="n">
        <v>0.465</v>
      </c>
      <c r="E14" s="5" t="n">
        <v>34.521</v>
      </c>
      <c r="F14" s="5" t="n">
        <v>34.056</v>
      </c>
      <c r="G14" s="5" t="n">
        <v>4.892</v>
      </c>
      <c r="H14" s="5" t="n">
        <v>19.417</v>
      </c>
      <c r="I14" s="5" t="n">
        <v>0.252</v>
      </c>
      <c r="J14" s="8" t="n">
        <v>1.504</v>
      </c>
      <c r="K14" s="5" t="n">
        <v>0.95</v>
      </c>
      <c r="L14" s="5" t="inlineStr">
        <is>
          <t>Oui</t>
        </is>
      </c>
      <c r="M14" s="5" t="inlineStr">
        <is>
          <t>S0 réel (table long.)</t>
        </is>
      </c>
    </row>
    <row r="15">
      <c r="A15" s="5" t="inlineStr">
        <is>
          <t>8+000</t>
        </is>
      </c>
      <c r="B15" s="5" t="n">
        <v>89.361</v>
      </c>
      <c r="C15" s="5" t="n">
        <v>0.00175</v>
      </c>
      <c r="D15" s="5" t="n">
        <v>1.606</v>
      </c>
      <c r="E15" s="5" t="n">
        <v>35.326</v>
      </c>
      <c r="F15" s="5" t="n">
        <v>33.72</v>
      </c>
      <c r="G15" s="5" t="n">
        <v>7.533</v>
      </c>
      <c r="H15" s="5" t="n">
        <v>10.191</v>
      </c>
      <c r="I15" s="5" t="n">
        <v>0.739</v>
      </c>
      <c r="J15" s="8" t="n">
        <v>0.977</v>
      </c>
      <c r="K15" s="5" t="n">
        <v>0.31</v>
      </c>
      <c r="L15" s="5" t="inlineStr">
        <is>
          <t>Oui</t>
        </is>
      </c>
      <c r="M15" s="5" t="inlineStr">
        <is>
          <t>S0 réel nearest @ 77.94 m = 0.00175</t>
        </is>
      </c>
    </row>
    <row r="16"/>
    <row r="17">
      <c r="A17" t="inlineStr">
        <is>
          <t>V max (S0&gt;0 seulement)</t>
        </is>
      </c>
      <c r="B17" s="9" t="n">
        <v>2.521</v>
      </c>
      <c r="C17" t="inlineStr">
        <is>
          <t>m/s</t>
        </is>
      </c>
    </row>
    <row r="18">
      <c r="A18" t="inlineStr">
        <is>
          <t>V min (S0&gt;0 seulement)</t>
        </is>
      </c>
      <c r="B18" t="n">
        <v>0.977</v>
      </c>
      <c r="C18" t="inlineStr">
        <is>
          <t>m/s</t>
        </is>
      </c>
    </row>
    <row r="19">
      <c r="A19" t="inlineStr">
        <is>
          <t>y max (S0&gt;0 seulement)</t>
        </is>
      </c>
      <c r="B19" t="n">
        <v>1.606</v>
      </c>
      <c r="C19" t="inlineStr">
        <is>
          <t>m</t>
        </is>
      </c>
    </row>
    <row r="20"/>
    <row r="21">
      <c r="A21" s="10" t="inlineStr">
        <is>
          <t>Notes</t>
        </is>
      </c>
    </row>
    <row r="22">
      <c r="A22" t="inlineStr">
        <is>
          <t>• Coupes réelles (Distance vs Elev), pas un trapèze constant.</t>
        </is>
      </c>
    </row>
    <row r="23">
      <c r="A23" t="inlineStr">
        <is>
          <t>• S0 = pente longitudinale RÉELLE signée du survey (adverse reste négative).</t>
        </is>
      </c>
    </row>
    <row r="24">
      <c r="A24" t="inlineStr">
        <is>
          <t>• Si S0 ≤ 0 : pas de calcul Manning → y / WSE / V vides. Pas de |S0|.</t>
        </is>
      </c>
    </row>
    <row r="25">
      <c r="A25" t="inlineStr">
        <is>
          <t>• Si S0 &gt; 0 : V = Q / A à la profondeur normale.</t>
        </is>
      </c>
    </row>
    <row r="26">
      <c r="A26" t="inlineStr">
        <is>
          <t>• Fr &gt; 1 ≈ régime torrentiel local.</t>
        </is>
      </c>
    </row>
    <row r="27">
      <c r="A27" t="inlineStr">
        <is>
          <t>• Voir onglets Formules_Aire et Aire_* : WSE (yn) calculé en Excel par dichotomie si S0&gt;0.</t>
        </is>
      </c>
    </row>
    <row r="28">
      <c r="A28" t="inlineStr">
        <is>
          <t>• CSV nettoyés dans st_therese_data/ pour relecture.</t>
        </is>
      </c>
    </row>
    <row r="29">
      <c r="A29" t="inlineStr">
        <is>
          <t>• Lignes orange = pente adverse/nulle. Lignes vertes = Manning OK.</t>
        </is>
      </c>
    </row>
  </sheetData>
  <mergeCells count="9">
    <mergeCell ref="A2:L2"/>
    <mergeCell ref="A26:H26"/>
    <mergeCell ref="A29:H29"/>
    <mergeCell ref="A25:H25"/>
    <mergeCell ref="A24:H24"/>
    <mergeCell ref="A28:H28"/>
    <mergeCell ref="A23:H23"/>
    <mergeCell ref="A27:H27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Aire A, profondeur normale yn / WSE — tout en formules Excel</t>
        </is>
      </c>
    </row>
    <row r="2">
      <c r="A2" t="inlineStr"/>
    </row>
    <row r="3">
      <c r="A3" t="inlineStr">
        <is>
          <t>Pourquoi ce n'est pas une seule formule fermée:</t>
        </is>
      </c>
    </row>
    <row r="4">
      <c r="A4" t="inlineStr">
        <is>
          <t xml:space="preserve">  Pour une coupe irrégulière, yn n'a pas de formule algébrique directe.</t>
        </is>
      </c>
    </row>
    <row r="5">
      <c r="A5" t="inlineStr">
        <is>
          <t xml:space="preserve">  On cherche WSE tel que Q_manning(WSE) = Q  →  itération (dichotomie) dans la feuille.</t>
        </is>
      </c>
    </row>
    <row r="6">
      <c r="A6" t="inlineStr"/>
    </row>
    <row r="7">
      <c r="A7" t="inlineStr">
        <is>
          <t>Géométrie (chaque segment de la polyligne Distance–Elev):</t>
        </is>
      </c>
    </row>
    <row r="8">
      <c r="A8" t="inlineStr">
        <is>
          <t xml:space="preserve">  d0 = WSE − z_i ,  d1 = WSE − z_{i+1}</t>
        </is>
      </c>
    </row>
    <row r="9">
      <c r="A9" t="inlineStr">
        <is>
          <t xml:space="preserve">  sec → Ai=0 ;  mouillé → Ai = ½(d0+d1)|Δx| ;  partiel → triangle jusqu'à la ligne d'eau</t>
        </is>
      </c>
    </row>
    <row r="10">
      <c r="A10" t="inlineStr">
        <is>
          <t xml:space="preserve">  A = Σ Ai ,  P = Σ Pi ,  R = A/P</t>
        </is>
      </c>
    </row>
    <row r="11">
      <c r="A11" t="inlineStr">
        <is>
          <t xml:space="preserve">  Q_manning = (1/n)·A·R^(2/3)·√S0     (seulement si S0 &gt; 0)</t>
        </is>
      </c>
    </row>
    <row r="12">
      <c r="A12" t="inlineStr"/>
    </row>
    <row r="13">
      <c r="A13" t="inlineStr">
        <is>
          <t>Profondeur normale dans les onglets Aire_* (S0 &gt; 0):</t>
        </is>
      </c>
    </row>
    <row r="14">
      <c r="A14" t="inlineStr">
        <is>
          <t xml:space="preserve">  Entrées jaunes: Q et n seulement.</t>
        </is>
      </c>
    </row>
    <row r="15">
      <c r="A15" t="inlineStr">
        <is>
          <t xml:space="preserve">  WSE (B2) = résultat de la dichotomie (colonnes I→O) — formule, pas une saisie.</t>
        </is>
      </c>
    </row>
    <row r="16">
      <c r="A16" t="inlineStr">
        <is>
          <t xml:space="preserve">  À chaque pas: mid = (lo+hi)/2 ; si Q_manning(mid) &lt; Q → lo=mid sinon hi=mid.</t>
        </is>
      </c>
    </row>
    <row r="17">
      <c r="A17" t="inlineStr">
        <is>
          <t xml:space="preserve">  Après 30 pas, WSE a convergé; A, P, V se calculent à ce WSE.</t>
        </is>
      </c>
    </row>
    <row r="18">
      <c r="A18" t="inlineStr"/>
    </row>
    <row r="19">
      <c r="A19" t="inlineStr">
        <is>
          <t>Si S0 ≤ 0: pas de profondeur normale → WSE exploratoire (jaune) pour voir A/P seulement.</t>
        </is>
      </c>
    </row>
    <row r="20">
      <c r="A20" t="inlineStr">
        <is>
          <t>Resultats_Q736: même physique (référence Python); les onglets Aire_* sont autonomes Excel.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2" t="inlineStr">
        <is>
          <t>Méthode</t>
        </is>
      </c>
    </row>
    <row r="2">
      <c r="A2" t="inlineStr"/>
    </row>
    <row r="3">
      <c r="A3" t="inlineStr">
        <is>
          <t>À chaque section transversale surveyée:</t>
        </is>
      </c>
    </row>
    <row r="4">
      <c r="A4" t="inlineStr">
        <is>
          <t xml:space="preserve">  1) Lire S0 réel (signé) sur le profil longitudinal à la station de la coupe</t>
        </is>
      </c>
    </row>
    <row r="5">
      <c r="A5" t="inlineStr">
        <is>
          <t xml:space="preserve">  2) Si S0 ≤ 0 → arrêter : afficher S0 réel, laisser V / y / WSE vides</t>
        </is>
      </c>
    </row>
    <row r="6">
      <c r="A6" t="inlineStr">
        <is>
          <t xml:space="preserve">  3) Si S0 &gt; 0 → construire A(WSE), P(WSE) sur la polyligne Distance–Elev</t>
        </is>
      </c>
    </row>
    <row r="7">
      <c r="A7" t="inlineStr">
        <is>
          <t xml:space="preserve">  4) Chercher WSE tel que (1/n)·A·R^(2/3)·√S0 = Q</t>
        </is>
      </c>
    </row>
    <row r="8">
      <c r="A8" t="inlineStr">
        <is>
          <t xml:space="preserve">  5) V = Q / A</t>
        </is>
      </c>
    </row>
    <row r="9">
      <c r="A9" t="inlineStr"/>
    </row>
    <row r="10">
      <c r="A10" t="inlineStr">
        <is>
          <t>Aire mouillée + profondeur normale (onglets Formules_Aire et Aire_*):</t>
        </is>
      </c>
    </row>
    <row r="11">
      <c r="A11" t="inlineStr">
        <is>
          <t xml:space="preserve">  Ai = ½(d0+d1)|Δx| si segment mouillé; triangle si partiel; 0 si sec</t>
        </is>
      </c>
    </row>
    <row r="12">
      <c r="A12" t="inlineStr">
        <is>
          <t xml:space="preserve">  A = Σ Ai ; P = Σ Pi ; R = A/P ; Q_manning = (1/n)·A·R^(2/3)·√S0</t>
        </is>
      </c>
    </row>
    <row r="13">
      <c r="A13" t="inlineStr">
        <is>
          <t xml:space="preserve">  yn / WSE: dichotomie Excel (30 pas) jusqu'à Q_manning = Q — pas une saisie manuelle</t>
        </is>
      </c>
    </row>
    <row r="14">
      <c r="A14" t="inlineStr"/>
    </row>
    <row r="15">
      <c r="A15" t="inlineStr">
        <is>
          <t>Q = 7.36 m³/s, n = 0.035</t>
        </is>
      </c>
    </row>
    <row r="16">
      <c r="A16" t="inlineStr">
        <is>
          <t>Correspondance section → station: 1+000@0, 2+000@13.78, 3+000@23.66, 4+000@35.64,</t>
        </is>
      </c>
    </row>
    <row r="17">
      <c r="A17" t="inlineStr">
        <is>
          <t xml:space="preserve">  5+000@45.84, 6+000@59.44, 7+000@71.97, 8+000@89.36 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 longitudinal (données fournies) — S0 signé tel quel</t>
        </is>
      </c>
    </row>
    <row r="3">
      <c r="A3" s="4" t="inlineStr">
        <is>
          <t>Point</t>
        </is>
      </c>
      <c r="B3" s="4" t="inlineStr">
        <is>
          <t>Z fond</t>
        </is>
      </c>
      <c r="C3" s="4" t="inlineStr">
        <is>
          <t>ΔL</t>
        </is>
      </c>
      <c r="D3" s="4" t="inlineStr">
        <is>
          <t>S0 réel</t>
        </is>
      </c>
      <c r="E3" s="4" t="inlineStr">
        <is>
          <t>Station cum.</t>
        </is>
      </c>
    </row>
    <row r="4">
      <c r="A4" s="5" t="inlineStr">
        <is>
          <t>112</t>
        </is>
      </c>
      <c r="B4" s="5" t="n">
        <v>34.47</v>
      </c>
      <c r="C4" s="5" t="n">
        <v>9.763</v>
      </c>
      <c r="D4" s="7" t="n">
        <v>-0.03175</v>
      </c>
      <c r="E4" s="5" t="n">
        <v>0</v>
      </c>
    </row>
    <row r="5">
      <c r="A5" s="5" t="inlineStr">
        <is>
          <t>122</t>
        </is>
      </c>
      <c r="B5" s="5" t="n">
        <v>34.78</v>
      </c>
      <c r="C5" s="5" t="n">
        <v>4.02</v>
      </c>
      <c r="D5" s="5" t="n">
        <v>0.05224</v>
      </c>
      <c r="E5" s="5" t="n">
        <v>9.763</v>
      </c>
    </row>
    <row r="6">
      <c r="A6" s="5" t="inlineStr">
        <is>
          <t>125</t>
        </is>
      </c>
      <c r="B6" s="5" t="n">
        <v>34.57</v>
      </c>
      <c r="C6" s="5" t="n">
        <v>3.481</v>
      </c>
      <c r="D6" s="5" t="n">
        <v>0.02011</v>
      </c>
      <c r="E6" s="5" t="n">
        <v>13.783</v>
      </c>
    </row>
    <row r="7">
      <c r="A7" s="5" t="inlineStr">
        <is>
          <t>128</t>
        </is>
      </c>
      <c r="B7" s="5" t="n">
        <v>34.5</v>
      </c>
      <c r="C7" s="5" t="n">
        <v>6.399</v>
      </c>
      <c r="D7" s="5" t="n">
        <v>0.0125</v>
      </c>
      <c r="E7" s="5" t="n">
        <v>17.264</v>
      </c>
    </row>
    <row r="8">
      <c r="A8" s="5" t="inlineStr">
        <is>
          <t>131</t>
        </is>
      </c>
      <c r="B8" s="5" t="n">
        <v>34.42</v>
      </c>
      <c r="C8" s="5" t="n">
        <v>11.978</v>
      </c>
      <c r="D8" s="7" t="n">
        <v>-0.0025</v>
      </c>
      <c r="E8" s="5" t="n">
        <v>23.663</v>
      </c>
    </row>
    <row r="9">
      <c r="A9" s="5" t="inlineStr">
        <is>
          <t>173</t>
        </is>
      </c>
      <c r="B9" s="5" t="n">
        <v>34.45</v>
      </c>
      <c r="C9" s="5" t="n">
        <v>3.937</v>
      </c>
      <c r="D9" s="5" t="n">
        <v>0.02032</v>
      </c>
      <c r="E9" s="5" t="n">
        <v>35.641</v>
      </c>
    </row>
    <row r="10">
      <c r="A10" s="5" t="inlineStr">
        <is>
          <t>149</t>
        </is>
      </c>
      <c r="B10" s="5" t="n">
        <v>34.37</v>
      </c>
      <c r="C10" s="5" t="n">
        <v>6.26</v>
      </c>
      <c r="D10" s="7" t="n">
        <v>-0.01278</v>
      </c>
      <c r="E10" s="5" t="n">
        <v>39.578</v>
      </c>
    </row>
    <row r="11">
      <c r="A11" s="5" t="inlineStr">
        <is>
          <t>5+000</t>
        </is>
      </c>
      <c r="B11" s="5" t="n">
        <v>34.45</v>
      </c>
      <c r="C11" s="5" t="n">
        <v>5.08</v>
      </c>
      <c r="D11" s="5" t="n">
        <v>0.0315</v>
      </c>
      <c r="E11" s="5" t="n">
        <v>45.838</v>
      </c>
    </row>
    <row r="12">
      <c r="A12" s="5" t="inlineStr">
        <is>
          <t>503</t>
        </is>
      </c>
      <c r="B12" s="5" t="n">
        <v>34.29</v>
      </c>
      <c r="C12" s="5" t="n">
        <v>8.516999999999999</v>
      </c>
      <c r="D12" s="5" t="n">
        <v>0.009390000000000001</v>
      </c>
      <c r="E12" s="5" t="n">
        <v>50.918</v>
      </c>
    </row>
    <row r="13">
      <c r="A13" s="5" t="inlineStr">
        <is>
          <t>511</t>
        </is>
      </c>
      <c r="B13" s="5" t="n">
        <v>34.21</v>
      </c>
      <c r="C13" s="5" t="n">
        <v>9.35</v>
      </c>
      <c r="D13" s="5" t="n">
        <v>0.00535</v>
      </c>
      <c r="E13" s="5" t="n">
        <v>59.435</v>
      </c>
    </row>
    <row r="14">
      <c r="A14" s="5" t="inlineStr">
        <is>
          <t>515</t>
        </is>
      </c>
      <c r="B14" s="5" t="n">
        <v>34.16</v>
      </c>
      <c r="C14" s="5" t="n">
        <v>3.188</v>
      </c>
      <c r="D14" s="5" t="n">
        <v>0.03241</v>
      </c>
      <c r="E14" s="5" t="n">
        <v>68.785</v>
      </c>
    </row>
    <row r="15">
      <c r="A15" s="5" t="inlineStr">
        <is>
          <t>7+000</t>
        </is>
      </c>
      <c r="B15" s="5" t="n">
        <v>34.056</v>
      </c>
      <c r="C15" s="5" t="n">
        <v>5.968</v>
      </c>
      <c r="D15" s="5" t="n">
        <v>0.01742</v>
      </c>
      <c r="E15" s="5" t="n">
        <v>71.973</v>
      </c>
    </row>
    <row r="16">
      <c r="A16" s="5" t="inlineStr">
        <is>
          <t>520</t>
        </is>
      </c>
      <c r="B16" s="5" t="n">
        <v>33.91</v>
      </c>
      <c r="C16" s="5" t="n">
        <v>11.42</v>
      </c>
      <c r="D16" s="5" t="n">
        <v>0.00175</v>
      </c>
      <c r="E16" s="5" t="n">
        <v>77.941</v>
      </c>
    </row>
    <row r="17">
      <c r="A17" s="5" t="inlineStr">
        <is>
          <t>527</t>
        </is>
      </c>
      <c r="B17" s="5" t="n">
        <v>33.89</v>
      </c>
      <c r="C17" s="5" t="inlineStr">
        <is>
          <t>—</t>
        </is>
      </c>
      <c r="D17" s="5" t="inlineStr">
        <is>
          <t>—</t>
        </is>
      </c>
      <c r="E17" s="5" t="n">
        <v>89.361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0" customWidth="1" min="4" max="4"/>
    <col width="12" customWidth="1" min="5" max="5"/>
    <col width="16" customWidth="1" min="6" max="6"/>
    <col width="16" customWidth="1" min="7" max="7"/>
    <col width="6" customWidth="1" min="9" max="9"/>
    <col width="11" customWidth="1" min="10" max="10"/>
    <col width="11" customWidth="1" min="11" max="11"/>
    <col width="14" customWidth="1" min="12" max="12"/>
    <col width="11" customWidth="1" min="13" max="13"/>
    <col width="11" customWidth="1" min="14" max="14"/>
    <col width="16" customWidth="1" min="15" max="15"/>
  </cols>
  <sheetData>
    <row r="1">
      <c r="A1" s="13" t="inlineStr">
        <is>
          <t>Section 1+000 — profondeur normale + aire (formules Excel)</t>
        </is>
      </c>
    </row>
    <row r="2">
      <c r="A2" t="inlineStr">
        <is>
          <t>WSE exploratoire (m)</t>
        </is>
      </c>
      <c r="B2" s="14" t="n">
        <v>35.47</v>
      </c>
      <c r="C2" s="2" t="inlineStr">
        <is>
          <t>← S0≤0: pas de yn; WSE jaune seulement pour explorer A/P</t>
        </is>
      </c>
    </row>
    <row r="3">
      <c r="A3" t="inlineStr">
        <is>
          <t>Station cum. (m)</t>
        </is>
      </c>
      <c r="B3" t="n">
        <v>0</v>
      </c>
    </row>
    <row r="4">
      <c r="A4" t="inlineStr">
        <is>
          <t>S0 réel</t>
        </is>
      </c>
      <c r="B4" s="15" t="n">
        <v>-0.03175</v>
      </c>
      <c r="C4" t="inlineStr">
        <is>
          <t>adverse/nulle — pas de yn / Manning</t>
        </is>
      </c>
    </row>
    <row r="5">
      <c r="A5" t="inlineStr">
        <is>
          <t>Q (m³/s)</t>
        </is>
      </c>
      <c r="B5" s="14" t="n">
        <v>7.36</v>
      </c>
    </row>
    <row r="6">
      <c r="A6" t="inlineStr">
        <is>
          <t>n Manning</t>
        </is>
      </c>
      <c r="B6" s="14" t="n">
        <v>0.035</v>
      </c>
      <c r="I6" s="16" t="inlineStr">
        <is>
          <t>Dichotomie yn (formules) — ne pas éditer</t>
        </is>
      </c>
    </row>
    <row r="8">
      <c r="A8" s="4" t="inlineStr">
        <is>
          <t>#</t>
        </is>
      </c>
      <c r="B8" s="4" t="inlineStr">
        <is>
          <t>Distance x (m)</t>
        </is>
      </c>
      <c r="C8" s="4" t="inlineStr">
        <is>
          <t>Elev z (m)</t>
        </is>
      </c>
      <c r="D8" s="4" t="inlineStr">
        <is>
          <t>Desc</t>
        </is>
      </c>
      <c r="E8" s="4" t="inlineStr">
        <is>
          <t>d=WSE−z</t>
        </is>
      </c>
      <c r="F8" s="4" t="inlineStr">
        <is>
          <t>Ai segment (m²)</t>
        </is>
      </c>
      <c r="G8" s="4" t="inlineStr">
        <is>
          <t>Pi segment (m)</t>
        </is>
      </c>
      <c r="I8" s="4" t="inlineStr">
        <is>
          <t>iter</t>
        </is>
      </c>
      <c r="J8" s="4" t="inlineStr">
        <is>
          <t>lo</t>
        </is>
      </c>
      <c r="K8" s="4" t="inlineStr">
        <is>
          <t>hi</t>
        </is>
      </c>
      <c r="L8" s="4" t="inlineStr">
        <is>
          <t>mid=WSE essai</t>
        </is>
      </c>
      <c r="M8" s="4" t="inlineStr">
        <is>
          <t>A(mid)</t>
        </is>
      </c>
      <c r="N8" s="4" t="inlineStr">
        <is>
          <t>P(mid)</t>
        </is>
      </c>
      <c r="O8" s="4" t="inlineStr">
        <is>
          <t>Q_manning(mid)</t>
        </is>
      </c>
    </row>
    <row r="9">
      <c r="A9" s="5" t="n">
        <v>1</v>
      </c>
      <c r="B9" s="5" t="n">
        <v>0</v>
      </c>
      <c r="C9" s="5" t="n">
        <v>41.31</v>
      </c>
      <c r="D9" s="5" t="inlineStr">
        <is>
          <t>TN</t>
        </is>
      </c>
      <c r="E9" s="5">
        <f>$B$2-C9</f>
        <v/>
      </c>
      <c r="F9" s="5">
        <f>IF(AND(($B$2-C9)&lt;=0,($B$2-C10)&lt;=0),0,IF(AND(($B$2-C9)&gt;=0,($B$2-C10)&gt;=0),0.5*(($B$2-C9)+($B$2-C10))*ABS(B10-B9),IF(($B$2-C9)&gt;0,0.5*($B$2-C9)*ABS((B9+(($B$2-C9)/(($B$2-C9)-($B$2-C10)))*(B10-B9))-B9),0.5*($B$2-C10)*ABS(B10-(B9+(($B$2-C9)/(($B$2-C9)-($B$2-C10)))*(B10-B9))))))</f>
        <v/>
      </c>
      <c r="G9" s="5">
        <f>IF(AND(($B$2-C9)&lt;=0,($B$2-C10)&lt;=0),0,IF(AND(($B$2-C9)&gt;=0,($B$2-C10)&gt;=0),SQRT((B10-B9)^2+(C10-C9)^2),IF(($B$2-C9)&gt;0,SQRT(((B9+(($B$2-C9)/(($B$2-C9)-($B$2-C10)))*(B10-B9))-B9)^2+($B$2-C9)^2),SQRT((B10-(B9+(($B$2-C9)/(($B$2-C9)-($B$2-C10)))*(B10-B9)))^2+($B$2-C10)^2))))</f>
        <v/>
      </c>
      <c r="I9" t="inlineStr">
        <is>
          <t>N/A (S0≤0)</t>
        </is>
      </c>
    </row>
    <row r="10">
      <c r="A10" s="5" t="n">
        <v>2</v>
      </c>
      <c r="B10" s="5" t="n">
        <v>9.98</v>
      </c>
      <c r="C10" s="5" t="n">
        <v>41.33</v>
      </c>
      <c r="D10" s="5" t="inlineStr">
        <is>
          <t>TN</t>
        </is>
      </c>
      <c r="E10" s="5">
        <f>$B$2-C10</f>
        <v/>
      </c>
      <c r="F10" s="5">
        <f>IF(AND(($B$2-C10)&lt;=0,($B$2-C11)&lt;=0),0,IF(AND(($B$2-C10)&gt;=0,($B$2-C11)&gt;=0),0.5*(($B$2-C10)+($B$2-C11))*ABS(B11-B10),IF(($B$2-C10)&gt;0,0.5*($B$2-C10)*ABS((B10+(($B$2-C10)/(($B$2-C10)-($B$2-C11)))*(B11-B10))-B10),0.5*($B$2-C11)*ABS(B11-(B10+(($B$2-C10)/(($B$2-C10)-($B$2-C11)))*(B11-B10))))))</f>
        <v/>
      </c>
      <c r="G10" s="5">
        <f>IF(AND(($B$2-C10)&lt;=0,($B$2-C11)&lt;=0),0,IF(AND(($B$2-C10)&gt;=0,($B$2-C11)&gt;=0),SQRT((B11-B10)^2+(C11-C10)^2),IF(($B$2-C10)&gt;0,SQRT(((B10+(($B$2-C10)/(($B$2-C10)-($B$2-C11)))*(B11-B10))-B10)^2+($B$2-C10)^2),SQRT((B11-(B10+(($B$2-C10)/(($B$2-C10)-($B$2-C11)))*(B11-B10)))^2+($B$2-C11)^2))))</f>
        <v/>
      </c>
    </row>
    <row r="11">
      <c r="A11" s="5" t="n">
        <v>3</v>
      </c>
      <c r="B11" s="5" t="n">
        <v>17.43</v>
      </c>
      <c r="C11" s="5" t="n">
        <v>40.92</v>
      </c>
      <c r="D11" s="5" t="inlineStr">
        <is>
          <t>TN</t>
        </is>
      </c>
      <c r="E11" s="5">
        <f>$B$2-C11</f>
        <v/>
      </c>
      <c r="F11" s="5">
        <f>IF(AND(($B$2-C11)&lt;=0,($B$2-C12)&lt;=0),0,IF(AND(($B$2-C11)&gt;=0,($B$2-C12)&gt;=0),0.5*(($B$2-C11)+($B$2-C12))*ABS(B12-B11),IF(($B$2-C11)&gt;0,0.5*($B$2-C11)*ABS((B11+(($B$2-C11)/(($B$2-C11)-($B$2-C12)))*(B12-B11))-B11),0.5*($B$2-C12)*ABS(B12-(B11+(($B$2-C11)/(($B$2-C11)-($B$2-C12)))*(B12-B11))))))</f>
        <v/>
      </c>
      <c r="G11" s="5">
        <f>IF(AND(($B$2-C11)&lt;=0,($B$2-C12)&lt;=0),0,IF(AND(($B$2-C11)&gt;=0,($B$2-C12)&gt;=0),SQRT((B12-B11)^2+(C12-C11)^2),IF(($B$2-C11)&gt;0,SQRT(((B11+(($B$2-C11)/(($B$2-C11)-($B$2-C12)))*(B12-B11))-B11)^2+($B$2-C11)^2),SQRT((B12-(B11+(($B$2-C11)/(($B$2-C11)-($B$2-C12)))*(B12-B11)))^2+($B$2-C12)^2))))</f>
        <v/>
      </c>
    </row>
    <row r="12">
      <c r="A12" s="5" t="n">
        <v>4</v>
      </c>
      <c r="B12" s="5" t="n">
        <v>22.7</v>
      </c>
      <c r="C12" s="5" t="n">
        <v>39</v>
      </c>
      <c r="D12" s="5" t="inlineStr">
        <is>
          <t>TN</t>
        </is>
      </c>
      <c r="E12" s="5">
        <f>$B$2-C12</f>
        <v/>
      </c>
      <c r="F12" s="5">
        <f>IF(AND(($B$2-C12)&lt;=0,($B$2-C13)&lt;=0),0,IF(AND(($B$2-C12)&gt;=0,($B$2-C13)&gt;=0),0.5*(($B$2-C12)+($B$2-C13))*ABS(B13-B12),IF(($B$2-C12)&gt;0,0.5*($B$2-C12)*ABS((B12+(($B$2-C12)/(($B$2-C12)-($B$2-C13)))*(B13-B12))-B12),0.5*($B$2-C13)*ABS(B13-(B12+(($B$2-C12)/(($B$2-C12)-($B$2-C13)))*(B13-B12))))))</f>
        <v/>
      </c>
      <c r="G12" s="5">
        <f>IF(AND(($B$2-C12)&lt;=0,($B$2-C13)&lt;=0),0,IF(AND(($B$2-C12)&gt;=0,($B$2-C13)&gt;=0),SQRT((B13-B12)^2+(C13-C12)^2),IF(($B$2-C12)&gt;0,SQRT(((B12+(($B$2-C12)/(($B$2-C12)-($B$2-C13)))*(B13-B12))-B12)^2+($B$2-C12)^2),SQRT((B13-(B12+(($B$2-C12)/(($B$2-C12)-($B$2-C13)))*(B13-B12)))^2+($B$2-C13)^2))))</f>
        <v/>
      </c>
    </row>
    <row r="13">
      <c r="A13" s="5" t="n">
        <v>5</v>
      </c>
      <c r="B13" s="5" t="n">
        <v>26.86</v>
      </c>
      <c r="C13" s="5" t="n">
        <v>36.55</v>
      </c>
      <c r="D13" s="5" t="inlineStr">
        <is>
          <t>TN</t>
        </is>
      </c>
      <c r="E13" s="5">
        <f>$B$2-C13</f>
        <v/>
      </c>
      <c r="F13" s="5">
        <f>IF(AND(($B$2-C13)&lt;=0,($B$2-C14)&lt;=0),0,IF(AND(($B$2-C13)&gt;=0,($B$2-C14)&gt;=0),0.5*(($B$2-C13)+($B$2-C14))*ABS(B14-B13),IF(($B$2-C13)&gt;0,0.5*($B$2-C13)*ABS((B13+(($B$2-C13)/(($B$2-C13)-($B$2-C14)))*(B14-B13))-B13),0.5*($B$2-C14)*ABS(B14-(B13+(($B$2-C13)/(($B$2-C13)-($B$2-C14)))*(B14-B13))))))</f>
        <v/>
      </c>
      <c r="G13" s="5">
        <f>IF(AND(($B$2-C13)&lt;=0,($B$2-C14)&lt;=0),0,IF(AND(($B$2-C13)&gt;=0,($B$2-C14)&gt;=0),SQRT((B14-B13)^2+(C14-C13)^2),IF(($B$2-C13)&gt;0,SQRT(((B13+(($B$2-C13)/(($B$2-C13)-($B$2-C14)))*(B14-B13))-B13)^2+($B$2-C13)^2),SQRT((B14-(B13+(($B$2-C13)/(($B$2-C13)-($B$2-C14)))*(B14-B13)))^2+($B$2-C14)^2))))</f>
        <v/>
      </c>
    </row>
    <row r="14">
      <c r="A14" s="5" t="n">
        <v>6</v>
      </c>
      <c r="B14" s="5" t="n">
        <v>31.63</v>
      </c>
      <c r="C14" s="5" t="n">
        <v>34.47</v>
      </c>
      <c r="D14" s="5" t="inlineStr">
        <is>
          <t>FOND</t>
        </is>
      </c>
      <c r="E14" s="5">
        <f>$B$2-C14</f>
        <v/>
      </c>
      <c r="F14" s="5">
        <f>IF(AND(($B$2-C14)&lt;=0,($B$2-C15)&lt;=0),0,IF(AND(($B$2-C14)&gt;=0,($B$2-C15)&gt;=0),0.5*(($B$2-C14)+($B$2-C15))*ABS(B15-B14),IF(($B$2-C14)&gt;0,0.5*($B$2-C14)*ABS((B14+(($B$2-C14)/(($B$2-C14)-($B$2-C15)))*(B15-B14))-B14),0.5*($B$2-C15)*ABS(B15-(B14+(($B$2-C14)/(($B$2-C14)-($B$2-C15)))*(B15-B14))))))</f>
        <v/>
      </c>
      <c r="G14" s="5">
        <f>IF(AND(($B$2-C14)&lt;=0,($B$2-C15)&lt;=0),0,IF(AND(($B$2-C14)&gt;=0,($B$2-C15)&gt;=0),SQRT((B15-B14)^2+(C15-C14)^2),IF(($B$2-C14)&gt;0,SQRT(((B14+(($B$2-C14)/(($B$2-C14)-($B$2-C15)))*(B15-B14))-B14)^2+($B$2-C14)^2),SQRT((B15-(B14+(($B$2-C14)/(($B$2-C14)-($B$2-C15)))*(B15-B14)))^2+($B$2-C15)^2))))</f>
        <v/>
      </c>
    </row>
    <row r="15">
      <c r="A15" s="5" t="n">
        <v>7</v>
      </c>
      <c r="B15" s="5" t="n">
        <v>33.084</v>
      </c>
      <c r="C15" s="5" t="n">
        <v>34.93</v>
      </c>
      <c r="D15" s="5" t="inlineStr">
        <is>
          <t>TN</t>
        </is>
      </c>
      <c r="E15" s="5">
        <f>$B$2-C15</f>
        <v/>
      </c>
      <c r="F15" s="5">
        <f>IF(AND(($B$2-C15)&lt;=0,($B$2-C16)&lt;=0),0,IF(AND(($B$2-C15)&gt;=0,($B$2-C16)&gt;=0),0.5*(($B$2-C15)+($B$2-C16))*ABS(B16-B15),IF(($B$2-C15)&gt;0,0.5*($B$2-C15)*ABS((B15+(($B$2-C15)/(($B$2-C15)-($B$2-C16)))*(B16-B15))-B15),0.5*($B$2-C16)*ABS(B16-(B15+(($B$2-C15)/(($B$2-C15)-($B$2-C16)))*(B16-B15))))))</f>
        <v/>
      </c>
      <c r="G15" s="5">
        <f>IF(AND(($B$2-C15)&lt;=0,($B$2-C16)&lt;=0),0,IF(AND(($B$2-C15)&gt;=0,($B$2-C16)&gt;=0),SQRT((B16-B15)^2+(C16-C15)^2),IF(($B$2-C15)&gt;0,SQRT(((B15+(($B$2-C15)/(($B$2-C15)-($B$2-C16)))*(B16-B15))-B15)^2+($B$2-C15)^2),SQRT((B16-(B15+(($B$2-C15)/(($B$2-C15)-($B$2-C16)))*(B16-B15)))^2+($B$2-C16)^2))))</f>
        <v/>
      </c>
    </row>
    <row r="16">
      <c r="A16" s="5" t="n">
        <v>8</v>
      </c>
      <c r="B16" s="5" t="n">
        <v>35.476</v>
      </c>
      <c r="C16" s="5" t="n">
        <v>35.8</v>
      </c>
      <c r="D16" s="5" t="inlineStr">
        <is>
          <t>TN</t>
        </is>
      </c>
      <c r="E16" s="5">
        <f>$B$2-C16</f>
        <v/>
      </c>
      <c r="F16" s="5">
        <f>IF(AND(($B$2-C16)&lt;=0,($B$2-C17)&lt;=0),0,IF(AND(($B$2-C16)&gt;=0,($B$2-C17)&gt;=0),0.5*(($B$2-C16)+($B$2-C17))*ABS(B17-B16),IF(($B$2-C16)&gt;0,0.5*($B$2-C16)*ABS((B16+(($B$2-C16)/(($B$2-C16)-($B$2-C17)))*(B17-B16))-B16),0.5*($B$2-C17)*ABS(B17-(B16+(($B$2-C16)/(($B$2-C16)-($B$2-C17)))*(B17-B16))))))</f>
        <v/>
      </c>
      <c r="G16" s="5">
        <f>IF(AND(($B$2-C16)&lt;=0,($B$2-C17)&lt;=0),0,IF(AND(($B$2-C16)&gt;=0,($B$2-C17)&gt;=0),SQRT((B17-B16)^2+(C17-C16)^2),IF(($B$2-C16)&gt;0,SQRT(((B16+(($B$2-C16)/(($B$2-C16)-($B$2-C17)))*(B17-B16))-B16)^2+($B$2-C16)^2),SQRT((B17-(B16+(($B$2-C16)/(($B$2-C16)-($B$2-C17)))*(B17-B16)))^2+($B$2-C17)^2))))</f>
        <v/>
      </c>
    </row>
    <row r="17">
      <c r="A17" s="5" t="n">
        <v>9</v>
      </c>
      <c r="B17" s="5" t="n">
        <v>37.766</v>
      </c>
      <c r="C17" s="5" t="n">
        <v>36.6</v>
      </c>
      <c r="D17" s="5" t="inlineStr">
        <is>
          <t>TN</t>
        </is>
      </c>
      <c r="E17" s="5">
        <f>$B$2-C17</f>
        <v/>
      </c>
      <c r="F17" s="5">
        <f>IF(AND(($B$2-C17)&lt;=0,($B$2-C18)&lt;=0),0,IF(AND(($B$2-C17)&gt;=0,($B$2-C18)&gt;=0),0.5*(($B$2-C17)+($B$2-C18))*ABS(B18-B17),IF(($B$2-C17)&gt;0,0.5*($B$2-C17)*ABS((B17+(($B$2-C17)/(($B$2-C17)-($B$2-C18)))*(B18-B17))-B17),0.5*($B$2-C18)*ABS(B18-(B17+(($B$2-C17)/(($B$2-C17)-($B$2-C18)))*(B18-B17))))))</f>
        <v/>
      </c>
      <c r="G17" s="5">
        <f>IF(AND(($B$2-C17)&lt;=0,($B$2-C18)&lt;=0),0,IF(AND(($B$2-C17)&gt;=0,($B$2-C18)&gt;=0),SQRT((B18-B17)^2+(C18-C17)^2),IF(($B$2-C17)&gt;0,SQRT(((B17+(($B$2-C17)/(($B$2-C17)-($B$2-C18)))*(B18-B17))-B17)^2+($B$2-C17)^2),SQRT((B18-(B17+(($B$2-C17)/(($B$2-C17)-($B$2-C18)))*(B18-B17)))^2+($B$2-C18)^2))))</f>
        <v/>
      </c>
    </row>
    <row r="18">
      <c r="A18" s="5" t="n">
        <v>10</v>
      </c>
      <c r="B18" s="5" t="n">
        <v>40.855</v>
      </c>
      <c r="C18" s="5" t="n">
        <v>37.13</v>
      </c>
      <c r="D18" s="5" t="inlineStr">
        <is>
          <t>TN</t>
        </is>
      </c>
      <c r="E18" s="5">
        <f>$B$2-C18</f>
        <v/>
      </c>
      <c r="F18" s="5">
        <f>IF(AND(($B$2-C18)&lt;=0,($B$2-C19)&lt;=0),0,IF(AND(($B$2-C18)&gt;=0,($B$2-C19)&gt;=0),0.5*(($B$2-C18)+($B$2-C19))*ABS(B19-B18),IF(($B$2-C18)&gt;0,0.5*($B$2-C18)*ABS((B18+(($B$2-C18)/(($B$2-C18)-($B$2-C19)))*(B19-B18))-B18),0.5*($B$2-C19)*ABS(B19-(B18+(($B$2-C18)/(($B$2-C18)-($B$2-C19)))*(B19-B18))))))</f>
        <v/>
      </c>
      <c r="G18" s="5">
        <f>IF(AND(($B$2-C18)&lt;=0,($B$2-C19)&lt;=0),0,IF(AND(($B$2-C18)&gt;=0,($B$2-C19)&gt;=0),SQRT((B19-B18)^2+(C19-C18)^2),IF(($B$2-C18)&gt;0,SQRT(((B18+(($B$2-C18)/(($B$2-C18)-($B$2-C19)))*(B19-B18))-B18)^2+($B$2-C18)^2),SQRT((B19-(B18+(($B$2-C18)/(($B$2-C18)-($B$2-C19)))*(B19-B18)))^2+($B$2-C19)^2))))</f>
        <v/>
      </c>
    </row>
    <row r="19">
      <c r="A19" s="5" t="n">
        <v>11</v>
      </c>
      <c r="B19" s="5" t="n">
        <v>43.953</v>
      </c>
      <c r="C19" s="5" t="n">
        <v>39.98</v>
      </c>
      <c r="D19" s="5" t="inlineStr">
        <is>
          <t>BLOC</t>
        </is>
      </c>
      <c r="E19" s="5">
        <f>$B$2-C19</f>
        <v/>
      </c>
      <c r="F19" s="5" t="n"/>
      <c r="G19" s="5" t="n"/>
    </row>
    <row r="20">
      <c r="G20" t="inlineStr">
        <is>
          <t>P = Σ Pi</t>
        </is>
      </c>
    </row>
    <row r="21">
      <c r="A21" s="10" t="inlineStr">
        <is>
          <t>Totaux</t>
        </is>
      </c>
      <c r="E21" t="inlineStr">
        <is>
          <t>A = Σ Ai</t>
        </is>
      </c>
      <c r="F21" s="17">
        <f>SUM(F9:F18)</f>
        <v/>
      </c>
      <c r="G21" s="17">
        <f>SUM(G9:G18)</f>
        <v/>
      </c>
    </row>
    <row r="23">
      <c r="A23" t="inlineStr">
        <is>
          <t>Fond min (m)</t>
        </is>
      </c>
      <c r="B23">
        <f>MIN(C9:C19)</f>
        <v/>
      </c>
    </row>
    <row r="24">
      <c r="A24" t="inlineStr">
        <is>
          <t>y = WSE − fond (m)</t>
        </is>
      </c>
      <c r="B24">
        <f>IF(ISNUMBER(B2),B2-B23,"")</f>
        <v/>
      </c>
    </row>
    <row r="25">
      <c r="A25" t="inlineStr">
        <is>
          <t>A (m²)</t>
        </is>
      </c>
      <c r="B25" s="9">
        <f>F21</f>
        <v/>
      </c>
    </row>
    <row r="26">
      <c r="A26" t="inlineStr">
        <is>
          <t>P (m)</t>
        </is>
      </c>
      <c r="B26" s="9">
        <f>G21</f>
        <v/>
      </c>
    </row>
    <row r="27">
      <c r="A27" t="inlineStr">
        <is>
          <t>R = A/P (m)</t>
        </is>
      </c>
      <c r="B27">
        <f>IF(B26&gt;0,B25/B26,0)</f>
        <v/>
      </c>
    </row>
    <row r="28">
      <c r="A28" t="inlineStr">
        <is>
          <t>Q_manning</t>
        </is>
      </c>
      <c r="C28" s="15" t="inlineStr">
        <is>
          <t>S0≤0 → pas de Manning / V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0" customWidth="1" min="4" max="4"/>
    <col width="12" customWidth="1" min="5" max="5"/>
    <col width="16" customWidth="1" min="6" max="6"/>
    <col width="16" customWidth="1" min="7" max="7"/>
    <col width="6" customWidth="1" min="9" max="9"/>
    <col width="11" customWidth="1" min="10" max="10"/>
    <col width="11" customWidth="1" min="11" max="11"/>
    <col width="14" customWidth="1" min="12" max="12"/>
    <col width="11" customWidth="1" min="13" max="13"/>
    <col width="11" customWidth="1" min="14" max="14"/>
    <col width="16" customWidth="1" min="15" max="15"/>
  </cols>
  <sheetData>
    <row r="1">
      <c r="A1" s="13" t="inlineStr">
        <is>
          <t>Section 2+000 — profondeur normale + aire (formules Excel)</t>
        </is>
      </c>
    </row>
    <row r="2">
      <c r="A2" t="inlineStr">
        <is>
          <t>WSE = yn (m)</t>
        </is>
      </c>
      <c r="B2" s="18">
        <f>L38</f>
        <v/>
      </c>
      <c r="C2" s="2" t="inlineStr">
        <is>
          <t>← calculé par dichotomie (colonne L) pour Q_manning = Q ; pas une saisie</t>
        </is>
      </c>
    </row>
    <row r="3">
      <c r="A3" t="inlineStr">
        <is>
          <t>Station cum. (m)</t>
        </is>
      </c>
      <c r="B3" t="n">
        <v>13.783</v>
      </c>
    </row>
    <row r="4">
      <c r="A4" t="inlineStr">
        <is>
          <t>S0 réel</t>
        </is>
      </c>
      <c r="B4" t="n">
        <v>0.02011</v>
      </c>
    </row>
    <row r="5">
      <c r="A5" t="inlineStr">
        <is>
          <t>Q (m³/s)</t>
        </is>
      </c>
      <c r="B5" s="14" t="n">
        <v>7.36</v>
      </c>
    </row>
    <row r="6">
      <c r="A6" t="inlineStr">
        <is>
          <t>n Manning</t>
        </is>
      </c>
      <c r="B6" s="14" t="n">
        <v>0.035</v>
      </c>
      <c r="I6" s="16" t="inlineStr">
        <is>
          <t>Dichotomie yn (formules) — ne pas éditer</t>
        </is>
      </c>
    </row>
    <row r="8">
      <c r="A8" s="4" t="inlineStr">
        <is>
          <t>#</t>
        </is>
      </c>
      <c r="B8" s="4" t="inlineStr">
        <is>
          <t>Distance x (m)</t>
        </is>
      </c>
      <c r="C8" s="4" t="inlineStr">
        <is>
          <t>Elev z (m)</t>
        </is>
      </c>
      <c r="D8" s="4" t="inlineStr">
        <is>
          <t>Desc</t>
        </is>
      </c>
      <c r="E8" s="4" t="inlineStr">
        <is>
          <t>d=WSE−z</t>
        </is>
      </c>
      <c r="F8" s="4" t="inlineStr">
        <is>
          <t>Ai segment (m²)</t>
        </is>
      </c>
      <c r="G8" s="4" t="inlineStr">
        <is>
          <t>Pi segment (m)</t>
        </is>
      </c>
      <c r="I8" s="4" t="inlineStr">
        <is>
          <t>iter</t>
        </is>
      </c>
      <c r="J8" s="4" t="inlineStr">
        <is>
          <t>lo</t>
        </is>
      </c>
      <c r="K8" s="4" t="inlineStr">
        <is>
          <t>hi</t>
        </is>
      </c>
      <c r="L8" s="4" t="inlineStr">
        <is>
          <t>mid=WSE essai</t>
        </is>
      </c>
      <c r="M8" s="4" t="inlineStr">
        <is>
          <t>A(mid)</t>
        </is>
      </c>
      <c r="N8" s="4" t="inlineStr">
        <is>
          <t>P(mid)</t>
        </is>
      </c>
      <c r="O8" s="4" t="inlineStr">
        <is>
          <t>Q_manning(mid)</t>
        </is>
      </c>
    </row>
    <row r="9">
      <c r="A9" s="5" t="n">
        <v>1</v>
      </c>
      <c r="B9" s="5" t="n">
        <v>0</v>
      </c>
      <c r="C9" s="5" t="n">
        <v>40</v>
      </c>
      <c r="D9" s="5" t="inlineStr">
        <is>
          <t>BOR</t>
        </is>
      </c>
      <c r="E9" s="5">
        <f>$B$2-C9</f>
        <v/>
      </c>
      <c r="F9" s="5">
        <f>IF(AND(($B$2-C9)&lt;=0,($B$2-C10)&lt;=0),0,IF(AND(($B$2-C9)&gt;=0,($B$2-C10)&gt;=0),0.5*(($B$2-C9)+($B$2-C10))*ABS(B10-B9),IF(($B$2-C9)&gt;0,0.5*($B$2-C9)*ABS((B9+(($B$2-C9)/(($B$2-C9)-($B$2-C10)))*(B10-B9))-B9),0.5*($B$2-C10)*ABS(B10-(B9+(($B$2-C9)/(($B$2-C9)-($B$2-C10)))*(B10-B9))))))</f>
        <v/>
      </c>
      <c r="G9" s="5">
        <f>IF(AND(($B$2-C9)&lt;=0,($B$2-C10)&lt;=0),0,IF(AND(($B$2-C9)&gt;=0,($B$2-C10)&gt;=0),SQRT((B10-B9)^2+(C10-C9)^2),IF(($B$2-C9)&gt;0,SQRT(((B9+(($B$2-C9)/(($B$2-C9)-($B$2-C10)))*(B10-B9))-B9)^2+($B$2-C9)^2),SQRT((B10-(B9+(($B$2-C9)/(($B$2-C9)-($B$2-C10)))*(B10-B9)))^2+($B$2-C10)^2))))</f>
        <v/>
      </c>
      <c r="I9" t="n">
        <v>1</v>
      </c>
      <c r="J9">
        <f>B22+0.0001</f>
        <v/>
      </c>
      <c r="K9">
        <f>MAX(C9:C18)-0.0001</f>
        <v/>
      </c>
      <c r="L9">
        <f>(J9+K9)/2</f>
        <v/>
      </c>
      <c r="M9">
        <f>(IF(AND((L9-C9)&lt;=0,(L9-C10)&lt;=0),0,IF(AND((L9-C9)&gt;=0,(L9-C10)&gt;=0),0.5*((L9-C9)+(L9-C10))*ABS(B10-B9),IF((L9-C9)&gt;0,0.5*(L9-C9)*ABS((B9+((L9-C9)/((L9-C9)-(L9-C10)))*(B10-B9))-B9),0.5*(L9-C10)*ABS(B10-(B9+((L9-C9)/((L9-C9)-(L9-C10)))*(B10-B9)))))))+(IF(AND((L9-C10)&lt;=0,(L9-C11)&lt;=0),0,IF(AND((L9-C10)&gt;=0,(L9-C11)&gt;=0),0.5*((L9-C10)+(L9-C11))*ABS(B11-B10),IF((L9-C10)&gt;0,0.5*(L9-C10)*ABS((B10+((L9-C10)/((L9-C10)-(L9-C11)))*(B11-B10))-B10),0.5*(L9-C11)*ABS(B11-(B10+((L9-C10)/((L9-C10)-(L9-C11)))*(B11-B10)))))))+(IF(AND((L9-C11)&lt;=0,(L9-C12)&lt;=0),0,IF(AND((L9-C11)&gt;=0,(L9-C12)&gt;=0),0.5*((L9-C11)+(L9-C12))*ABS(B12-B11),IF((L9-C11)&gt;0,0.5*(L9-C11)*ABS((B11+((L9-C11)/((L9-C11)-(L9-C12)))*(B12-B11))-B11),0.5*(L9-C12)*ABS(B12-(B11+((L9-C11)/((L9-C11)-(L9-C12)))*(B12-B11)))))))+(IF(AND((L9-C12)&lt;=0,(L9-C13)&lt;=0),0,IF(AND((L9-C12)&gt;=0,(L9-C13)&gt;=0),0.5*((L9-C12)+(L9-C13))*ABS(B13-B12),IF((L9-C12)&gt;0,0.5*(L9-C12)*ABS((B12+((L9-C12)/((L9-C12)-(L9-C13)))*(B13-B12))-B12),0.5*(L9-C13)*ABS(B13-(B12+((L9-C12)/((L9-C12)-(L9-C13)))*(B13-B12)))))))+(IF(AND((L9-C13)&lt;=0,(L9-C14)&lt;=0),0,IF(AND((L9-C13)&gt;=0,(L9-C14)&gt;=0),0.5*((L9-C13)+(L9-C14))*ABS(B14-B13),IF((L9-C13)&gt;0,0.5*(L9-C13)*ABS((B13+((L9-C13)/((L9-C13)-(L9-C14)))*(B14-B13))-B13),0.5*(L9-C14)*ABS(B14-(B13+((L9-C13)/((L9-C13)-(L9-C14)))*(B14-B13)))))))+(IF(AND((L9-C14)&lt;=0,(L9-C15)&lt;=0),0,IF(AND((L9-C14)&gt;=0,(L9-C15)&gt;=0),0.5*((L9-C14)+(L9-C15))*ABS(B15-B14),IF((L9-C14)&gt;0,0.5*(L9-C14)*ABS((B14+((L9-C14)/((L9-C14)-(L9-C15)))*(B15-B14))-B14),0.5*(L9-C15)*ABS(B15-(B14+((L9-C14)/((L9-C14)-(L9-C15)))*(B15-B14)))))))+(IF(AND((L9-C15)&lt;=0,(L9-C16)&lt;=0),0,IF(AND((L9-C15)&gt;=0,(L9-C16)&gt;=0),0.5*((L9-C15)+(L9-C16))*ABS(B16-B15),IF((L9-C15)&gt;0,0.5*(L9-C15)*ABS((B15+((L9-C15)/((L9-C15)-(L9-C16)))*(B16-B15))-B15),0.5*(L9-C16)*ABS(B16-(B15+((L9-C15)/((L9-C15)-(L9-C16)))*(B16-B15)))))))+(IF(AND((L9-C16)&lt;=0,(L9-C17)&lt;=0),0,IF(AND((L9-C16)&gt;=0,(L9-C17)&gt;=0),0.5*((L9-C16)+(L9-C17))*ABS(B17-B16),IF((L9-C16)&gt;0,0.5*(L9-C16)*ABS((B16+((L9-C16)/((L9-C16)-(L9-C17)))*(B17-B16))-B16),0.5*(L9-C17)*ABS(B17-(B16+((L9-C16)/((L9-C16)-(L9-C17)))*(B17-B16)))))))+(IF(AND((L9-C17)&lt;=0,(L9-C18)&lt;=0),0,IF(AND((L9-C17)&gt;=0,(L9-C18)&gt;=0),0.5*((L9-C17)+(L9-C18))*ABS(B18-B17),IF((L9-C17)&gt;0,0.5*(L9-C17)*ABS((B17+((L9-C17)/((L9-C17)-(L9-C18)))*(B18-B17))-B17),0.5*(L9-C18)*ABS(B18-(B17+((L9-C17)/((L9-C17)-(L9-C18)))*(B18-B17)))))))</f>
        <v/>
      </c>
      <c r="N9">
        <f>(IF(AND((L9-C9)&lt;=0,(L9-C10)&lt;=0),0,IF(AND((L9-C9)&gt;=0,(L9-C10)&gt;=0),SQRT((B10-B9)^2+(C10-C9)^2),IF((L9-C9)&gt;0,SQRT(((B9+((L9-C9)/((L9-C9)-(L9-C10)))*(B10-B9))-B9)^2+(L9-C9)^2),SQRT((B10-(B9+((L9-C9)/((L9-C9)-(L9-C10)))*(B10-B9)))^2+(L9-C10)^2)))))+(IF(AND((L9-C10)&lt;=0,(L9-C11)&lt;=0),0,IF(AND((L9-C10)&gt;=0,(L9-C11)&gt;=0),SQRT((B11-B10)^2+(C11-C10)^2),IF((L9-C10)&gt;0,SQRT(((B10+((L9-C10)/((L9-C10)-(L9-C11)))*(B11-B10))-B10)^2+(L9-C10)^2),SQRT((B11-(B10+((L9-C10)/((L9-C10)-(L9-C11)))*(B11-B10)))^2+(L9-C11)^2)))))+(IF(AND((L9-C11)&lt;=0,(L9-C12)&lt;=0),0,IF(AND((L9-C11)&gt;=0,(L9-C12)&gt;=0),SQRT((B12-B11)^2+(C12-C11)^2),IF((L9-C11)&gt;0,SQRT(((B11+((L9-C11)/((L9-C11)-(L9-C12)))*(B12-B11))-B11)^2+(L9-C11)^2),SQRT((B12-(B11+((L9-C11)/((L9-C11)-(L9-C12)))*(B12-B11)))^2+(L9-C12)^2)))))+(IF(AND((L9-C12)&lt;=0,(L9-C13)&lt;=0),0,IF(AND((L9-C12)&gt;=0,(L9-C13)&gt;=0),SQRT((B13-B12)^2+(C13-C12)^2),IF((L9-C12)&gt;0,SQRT(((B12+((L9-C12)/((L9-C12)-(L9-C13)))*(B13-B12))-B12)^2+(L9-C12)^2),SQRT((B13-(B12+((L9-C12)/((L9-C12)-(L9-C13)))*(B13-B12)))^2+(L9-C13)^2)))))+(IF(AND((L9-C13)&lt;=0,(L9-C14)&lt;=0),0,IF(AND((L9-C13)&gt;=0,(L9-C14)&gt;=0),SQRT((B14-B13)^2+(C14-C13)^2),IF((L9-C13)&gt;0,SQRT(((B13+((L9-C13)/((L9-C13)-(L9-C14)))*(B14-B13))-B13)^2+(L9-C13)^2),SQRT((B14-(B13+((L9-C13)/((L9-C13)-(L9-C14)))*(B14-B13)))^2+(L9-C14)^2)))))+(IF(AND((L9-C14)&lt;=0,(L9-C15)&lt;=0),0,IF(AND((L9-C14)&gt;=0,(L9-C15)&gt;=0),SQRT((B15-B14)^2+(C15-C14)^2),IF((L9-C14)&gt;0,SQRT(((B14+((L9-C14)/((L9-C14)-(L9-C15)))*(B15-B14))-B14)^2+(L9-C14)^2),SQRT((B15-(B14+((L9-C14)/((L9-C14)-(L9-C15)))*(B15-B14)))^2+(L9-C15)^2)))))+(IF(AND((L9-C15)&lt;=0,(L9-C16)&lt;=0),0,IF(AND((L9-C15)&gt;=0,(L9-C16)&gt;=0),SQRT((B16-B15)^2+(C16-C15)^2),IF((L9-C15)&gt;0,SQRT(((B15+((L9-C15)/((L9-C15)-(L9-C16)))*(B16-B15))-B15)^2+(L9-C15)^2),SQRT((B16-(B15+((L9-C15)/((L9-C15)-(L9-C16)))*(B16-B15)))^2+(L9-C16)^2)))))+(IF(AND((L9-C16)&lt;=0,(L9-C17)&lt;=0),0,IF(AND((L9-C16)&gt;=0,(L9-C17)&gt;=0),SQRT((B17-B16)^2+(C17-C16)^2),IF((L9-C16)&gt;0,SQRT(((B16+((L9-C16)/((L9-C16)-(L9-C17)))*(B17-B16))-B16)^2+(L9-C16)^2),SQRT((B17-(B16+((L9-C16)/((L9-C16)-(L9-C17)))*(B17-B16)))^2+(L9-C17)^2)))))+(IF(AND((L9-C17)&lt;=0,(L9-C18)&lt;=0),0,IF(AND((L9-C17)&gt;=0,(L9-C18)&gt;=0),SQRT((B18-B17)^2+(C18-C17)^2),IF((L9-C17)&gt;0,SQRT(((B17+((L9-C17)/((L9-C17)-(L9-C18)))*(B18-B17))-B17)^2+(L9-C17)^2),SQRT((B18-(B17+((L9-C17)/((L9-C17)-(L9-C18)))*(B18-B17)))^2+(L9-C18)^2)))))</f>
        <v/>
      </c>
      <c r="O9">
        <f>IF(OR($B$6&lt;=0,M9&lt;=0,N9&lt;=0,$B$4&lt;=0),0,(1/$B$6)*M9*((M9/N9)^(2/3))*SQRT($B$4))</f>
        <v/>
      </c>
    </row>
    <row r="10">
      <c r="A10" s="5" t="n">
        <v>2</v>
      </c>
      <c r="B10" s="5" t="n">
        <v>4.8</v>
      </c>
      <c r="C10" s="5" t="n">
        <v>39.5</v>
      </c>
      <c r="D10" s="5" t="inlineStr">
        <is>
          <t>TN</t>
        </is>
      </c>
      <c r="E10" s="5">
        <f>$B$2-C10</f>
        <v/>
      </c>
      <c r="F10" s="5">
        <f>IF(AND(($B$2-C10)&lt;=0,($B$2-C11)&lt;=0),0,IF(AND(($B$2-C10)&gt;=0,($B$2-C11)&gt;=0),0.5*(($B$2-C10)+($B$2-C11))*ABS(B11-B10),IF(($B$2-C10)&gt;0,0.5*($B$2-C10)*ABS((B10+(($B$2-C10)/(($B$2-C10)-($B$2-C11)))*(B11-B10))-B10),0.5*($B$2-C11)*ABS(B11-(B10+(($B$2-C10)/(($B$2-C10)-($B$2-C11)))*(B11-B10))))))</f>
        <v/>
      </c>
      <c r="G10" s="5">
        <f>IF(AND(($B$2-C10)&lt;=0,($B$2-C11)&lt;=0),0,IF(AND(($B$2-C10)&gt;=0,($B$2-C11)&gt;=0),SQRT((B11-B10)^2+(C11-C10)^2),IF(($B$2-C10)&gt;0,SQRT(((B10+(($B$2-C10)/(($B$2-C10)-($B$2-C11)))*(B11-B10))-B10)^2+($B$2-C10)^2),SQRT((B11-(B10+(($B$2-C10)/(($B$2-C10)-($B$2-C11)))*(B11-B10)))^2+($B$2-C11)^2))))</f>
        <v/>
      </c>
      <c r="I10" t="n">
        <v>2</v>
      </c>
      <c r="J10">
        <f>IF(O9&lt;$B$5,L9,J9)</f>
        <v/>
      </c>
      <c r="K10">
        <f>IF(O9&lt;$B$5,K9,L9)</f>
        <v/>
      </c>
      <c r="L10">
        <f>(J10+K10)/2</f>
        <v/>
      </c>
      <c r="M10">
        <f>(IF(AND((L10-C9)&lt;=0,(L10-C10)&lt;=0),0,IF(AND((L10-C9)&gt;=0,(L10-C10)&gt;=0),0.5*((L10-C9)+(L10-C10))*ABS(B10-B9),IF((L10-C9)&gt;0,0.5*(L10-C9)*ABS((B9+((L10-C9)/((L10-C9)-(L10-C10)))*(B10-B9))-B9),0.5*(L10-C10)*ABS(B10-(B9+((L10-C9)/((L10-C9)-(L10-C10)))*(B10-B9)))))))+(IF(AND((L10-C10)&lt;=0,(L10-C11)&lt;=0),0,IF(AND((L10-C10)&gt;=0,(L10-C11)&gt;=0),0.5*((L10-C10)+(L10-C11))*ABS(B11-B10),IF((L10-C10)&gt;0,0.5*(L10-C10)*ABS((B10+((L10-C10)/((L10-C10)-(L10-C11)))*(B11-B10))-B10),0.5*(L10-C11)*ABS(B11-(B10+((L10-C10)/((L10-C10)-(L10-C11)))*(B11-B10)))))))+(IF(AND((L10-C11)&lt;=0,(L10-C12)&lt;=0),0,IF(AND((L10-C11)&gt;=0,(L10-C12)&gt;=0),0.5*((L10-C11)+(L10-C12))*ABS(B12-B11),IF((L10-C11)&gt;0,0.5*(L10-C11)*ABS((B11+((L10-C11)/((L10-C11)-(L10-C12)))*(B12-B11))-B11),0.5*(L10-C12)*ABS(B12-(B11+((L10-C11)/((L10-C11)-(L10-C12)))*(B12-B11)))))))+(IF(AND((L10-C12)&lt;=0,(L10-C13)&lt;=0),0,IF(AND((L10-C12)&gt;=0,(L10-C13)&gt;=0),0.5*((L10-C12)+(L10-C13))*ABS(B13-B12),IF((L10-C12)&gt;0,0.5*(L10-C12)*ABS((B12+((L10-C12)/((L10-C12)-(L10-C13)))*(B13-B12))-B12),0.5*(L10-C13)*ABS(B13-(B12+((L10-C12)/((L10-C12)-(L10-C13)))*(B13-B12)))))))+(IF(AND((L10-C13)&lt;=0,(L10-C14)&lt;=0),0,IF(AND((L10-C13)&gt;=0,(L10-C14)&gt;=0),0.5*((L10-C13)+(L10-C14))*ABS(B14-B13),IF((L10-C13)&gt;0,0.5*(L10-C13)*ABS((B13+((L10-C13)/((L10-C13)-(L10-C14)))*(B14-B13))-B13),0.5*(L10-C14)*ABS(B14-(B13+((L10-C13)/((L10-C13)-(L10-C14)))*(B14-B13)))))))+(IF(AND((L10-C14)&lt;=0,(L10-C15)&lt;=0),0,IF(AND((L10-C14)&gt;=0,(L10-C15)&gt;=0),0.5*((L10-C14)+(L10-C15))*ABS(B15-B14),IF((L10-C14)&gt;0,0.5*(L10-C14)*ABS((B14+((L10-C14)/((L10-C14)-(L10-C15)))*(B15-B14))-B14),0.5*(L10-C15)*ABS(B15-(B14+((L10-C14)/((L10-C14)-(L10-C15)))*(B15-B14)))))))+(IF(AND((L10-C15)&lt;=0,(L10-C16)&lt;=0),0,IF(AND((L10-C15)&gt;=0,(L10-C16)&gt;=0),0.5*((L10-C15)+(L10-C16))*ABS(B16-B15),IF((L10-C15)&gt;0,0.5*(L10-C15)*ABS((B15+((L10-C15)/((L10-C15)-(L10-C16)))*(B16-B15))-B15),0.5*(L10-C16)*ABS(B16-(B15+((L10-C15)/((L10-C15)-(L10-C16)))*(B16-B15)))))))+(IF(AND((L10-C16)&lt;=0,(L10-C17)&lt;=0),0,IF(AND((L10-C16)&gt;=0,(L10-C17)&gt;=0),0.5*((L10-C16)+(L10-C17))*ABS(B17-B16),IF((L10-C16)&gt;0,0.5*(L10-C16)*ABS((B16+((L10-C16)/((L10-C16)-(L10-C17)))*(B17-B16))-B16),0.5*(L10-C17)*ABS(B17-(B16+((L10-C16)/((L10-C16)-(L10-C17)))*(B17-B16)))))))+(IF(AND((L10-C17)&lt;=0,(L10-C18)&lt;=0),0,IF(AND((L10-C17)&gt;=0,(L10-C18)&gt;=0),0.5*((L10-C17)+(L10-C18))*ABS(B18-B17),IF((L10-C17)&gt;0,0.5*(L10-C17)*ABS((B17+((L10-C17)/((L10-C17)-(L10-C18)))*(B18-B17))-B17),0.5*(L10-C18)*ABS(B18-(B17+((L10-C17)/((L10-C17)-(L10-C18)))*(B18-B17)))))))</f>
        <v/>
      </c>
      <c r="N10">
        <f>(IF(AND((L10-C9)&lt;=0,(L10-C10)&lt;=0),0,IF(AND((L10-C9)&gt;=0,(L10-C10)&gt;=0),SQRT((B10-B9)^2+(C10-C9)^2),IF((L10-C9)&gt;0,SQRT(((B9+((L10-C9)/((L10-C9)-(L10-C10)))*(B10-B9))-B9)^2+(L10-C9)^2),SQRT((B10-(B9+((L10-C9)/((L10-C9)-(L10-C10)))*(B10-B9)))^2+(L10-C10)^2)))))+(IF(AND((L10-C10)&lt;=0,(L10-C11)&lt;=0),0,IF(AND((L10-C10)&gt;=0,(L10-C11)&gt;=0),SQRT((B11-B10)^2+(C11-C10)^2),IF((L10-C10)&gt;0,SQRT(((B10+((L10-C10)/((L10-C10)-(L10-C11)))*(B11-B10))-B10)^2+(L10-C10)^2),SQRT((B11-(B10+((L10-C10)/((L10-C10)-(L10-C11)))*(B11-B10)))^2+(L10-C11)^2)))))+(IF(AND((L10-C11)&lt;=0,(L10-C12)&lt;=0),0,IF(AND((L10-C11)&gt;=0,(L10-C12)&gt;=0),SQRT((B12-B11)^2+(C12-C11)^2),IF((L10-C11)&gt;0,SQRT(((B11+((L10-C11)/((L10-C11)-(L10-C12)))*(B12-B11))-B11)^2+(L10-C11)^2),SQRT((B12-(B11+((L10-C11)/((L10-C11)-(L10-C12)))*(B12-B11)))^2+(L10-C12)^2)))))+(IF(AND((L10-C12)&lt;=0,(L10-C13)&lt;=0),0,IF(AND((L10-C12)&gt;=0,(L10-C13)&gt;=0),SQRT((B13-B12)^2+(C13-C12)^2),IF((L10-C12)&gt;0,SQRT(((B12+((L10-C12)/((L10-C12)-(L10-C13)))*(B13-B12))-B12)^2+(L10-C12)^2),SQRT((B13-(B12+((L10-C12)/((L10-C12)-(L10-C13)))*(B13-B12)))^2+(L10-C13)^2)))))+(IF(AND((L10-C13)&lt;=0,(L10-C14)&lt;=0),0,IF(AND((L10-C13)&gt;=0,(L10-C14)&gt;=0),SQRT((B14-B13)^2+(C14-C13)^2),IF((L10-C13)&gt;0,SQRT(((B13+((L10-C13)/((L10-C13)-(L10-C14)))*(B14-B13))-B13)^2+(L10-C13)^2),SQRT((B14-(B13+((L10-C13)/((L10-C13)-(L10-C14)))*(B14-B13)))^2+(L10-C14)^2)))))+(IF(AND((L10-C14)&lt;=0,(L10-C15)&lt;=0),0,IF(AND((L10-C14)&gt;=0,(L10-C15)&gt;=0),SQRT((B15-B14)^2+(C15-C14)^2),IF((L10-C14)&gt;0,SQRT(((B14+((L10-C14)/((L10-C14)-(L10-C15)))*(B15-B14))-B14)^2+(L10-C14)^2),SQRT((B15-(B14+((L10-C14)/((L10-C14)-(L10-C15)))*(B15-B14)))^2+(L10-C15)^2)))))+(IF(AND((L10-C15)&lt;=0,(L10-C16)&lt;=0),0,IF(AND((L10-C15)&gt;=0,(L10-C16)&gt;=0),SQRT((B16-B15)^2+(C16-C15)^2),IF((L10-C15)&gt;0,SQRT(((B15+((L10-C15)/((L10-C15)-(L10-C16)))*(B16-B15))-B15)^2+(L10-C15)^2),SQRT((B16-(B15+((L10-C15)/((L10-C15)-(L10-C16)))*(B16-B15)))^2+(L10-C16)^2)))))+(IF(AND((L10-C16)&lt;=0,(L10-C17)&lt;=0),0,IF(AND((L10-C16)&gt;=0,(L10-C17)&gt;=0),SQRT((B17-B16)^2+(C17-C16)^2),IF((L10-C16)&gt;0,SQRT(((B16+((L10-C16)/((L10-C16)-(L10-C17)))*(B17-B16))-B16)^2+(L10-C16)^2),SQRT((B17-(B16+((L10-C16)/((L10-C16)-(L10-C17)))*(B17-B16)))^2+(L10-C17)^2)))))+(IF(AND((L10-C17)&lt;=0,(L10-C18)&lt;=0),0,IF(AND((L10-C17)&gt;=0,(L10-C18)&gt;=0),SQRT((B18-B17)^2+(C18-C17)^2),IF((L10-C17)&gt;0,SQRT(((B17+((L10-C17)/((L10-C17)-(L10-C18)))*(B18-B17))-B17)^2+(L10-C17)^2),SQRT((B18-(B17+((L10-C17)/((L10-C17)-(L10-C18)))*(B18-B17)))^2+(L10-C18)^2)))))</f>
        <v/>
      </c>
      <c r="O10">
        <f>IF(OR($B$6&lt;=0,M10&lt;=0,N10&lt;=0,$B$4&lt;=0),0,(1/$B$6)*M10*((M10/N10)^(2/3))*SQRT($B$4))</f>
        <v/>
      </c>
    </row>
    <row r="11">
      <c r="A11" s="5" t="n">
        <v>3</v>
      </c>
      <c r="B11" s="5" t="n">
        <v>7.05</v>
      </c>
      <c r="C11" s="5" t="n">
        <v>38.65</v>
      </c>
      <c r="D11" s="5" t="inlineStr">
        <is>
          <t>TN</t>
        </is>
      </c>
      <c r="E11" s="5">
        <f>$B$2-C11</f>
        <v/>
      </c>
      <c r="F11" s="5">
        <f>IF(AND(($B$2-C11)&lt;=0,($B$2-C12)&lt;=0),0,IF(AND(($B$2-C11)&gt;=0,($B$2-C12)&gt;=0),0.5*(($B$2-C11)+($B$2-C12))*ABS(B12-B11),IF(($B$2-C11)&gt;0,0.5*($B$2-C11)*ABS((B11+(($B$2-C11)/(($B$2-C11)-($B$2-C12)))*(B12-B11))-B11),0.5*($B$2-C12)*ABS(B12-(B11+(($B$2-C11)/(($B$2-C11)-($B$2-C12)))*(B12-B11))))))</f>
        <v/>
      </c>
      <c r="G11" s="5">
        <f>IF(AND(($B$2-C11)&lt;=0,($B$2-C12)&lt;=0),0,IF(AND(($B$2-C11)&gt;=0,($B$2-C12)&gt;=0),SQRT((B12-B11)^2+(C12-C11)^2),IF(($B$2-C11)&gt;0,SQRT(((B11+(($B$2-C11)/(($B$2-C11)-($B$2-C12)))*(B12-B11))-B11)^2+($B$2-C11)^2),SQRT((B12-(B11+(($B$2-C11)/(($B$2-C11)-($B$2-C12)))*(B12-B11)))^2+($B$2-C12)^2))))</f>
        <v/>
      </c>
      <c r="I11" t="n">
        <v>3</v>
      </c>
      <c r="J11">
        <f>IF(O10&lt;$B$5,L10,J10)</f>
        <v/>
      </c>
      <c r="K11">
        <f>IF(O10&lt;$B$5,K10,L10)</f>
        <v/>
      </c>
      <c r="L11">
        <f>(J11+K11)/2</f>
        <v/>
      </c>
      <c r="M11">
        <f>(IF(AND((L11-C9)&lt;=0,(L11-C10)&lt;=0),0,IF(AND((L11-C9)&gt;=0,(L11-C10)&gt;=0),0.5*((L11-C9)+(L11-C10))*ABS(B10-B9),IF((L11-C9)&gt;0,0.5*(L11-C9)*ABS((B9+((L11-C9)/((L11-C9)-(L11-C10)))*(B10-B9))-B9),0.5*(L11-C10)*ABS(B10-(B9+((L11-C9)/((L11-C9)-(L11-C10)))*(B10-B9)))))))+(IF(AND((L11-C10)&lt;=0,(L11-C11)&lt;=0),0,IF(AND((L11-C10)&gt;=0,(L11-C11)&gt;=0),0.5*((L11-C10)+(L11-C11))*ABS(B11-B10),IF((L11-C10)&gt;0,0.5*(L11-C10)*ABS((B10+((L11-C10)/((L11-C10)-(L11-C11)))*(B11-B10))-B10),0.5*(L11-C11)*ABS(B11-(B10+((L11-C10)/((L11-C10)-(L11-C11)))*(B11-B10)))))))+(IF(AND((L11-C11)&lt;=0,(L11-C12)&lt;=0),0,IF(AND((L11-C11)&gt;=0,(L11-C12)&gt;=0),0.5*((L11-C11)+(L11-C12))*ABS(B12-B11),IF((L11-C11)&gt;0,0.5*(L11-C11)*ABS((B11+((L11-C11)/((L11-C11)-(L11-C12)))*(B12-B11))-B11),0.5*(L11-C12)*ABS(B12-(B11+((L11-C11)/((L11-C11)-(L11-C12)))*(B12-B11)))))))+(IF(AND((L11-C12)&lt;=0,(L11-C13)&lt;=0),0,IF(AND((L11-C12)&gt;=0,(L11-C13)&gt;=0),0.5*((L11-C12)+(L11-C13))*ABS(B13-B12),IF((L11-C12)&gt;0,0.5*(L11-C12)*ABS((B12+((L11-C12)/((L11-C12)-(L11-C13)))*(B13-B12))-B12),0.5*(L11-C13)*ABS(B13-(B12+((L11-C12)/((L11-C12)-(L11-C13)))*(B13-B12)))))))+(IF(AND((L11-C13)&lt;=0,(L11-C14)&lt;=0),0,IF(AND((L11-C13)&gt;=0,(L11-C14)&gt;=0),0.5*((L11-C13)+(L11-C14))*ABS(B14-B13),IF((L11-C13)&gt;0,0.5*(L11-C13)*ABS((B13+((L11-C13)/((L11-C13)-(L11-C14)))*(B14-B13))-B13),0.5*(L11-C14)*ABS(B14-(B13+((L11-C13)/((L11-C13)-(L11-C14)))*(B14-B13)))))))+(IF(AND((L11-C14)&lt;=0,(L11-C15)&lt;=0),0,IF(AND((L11-C14)&gt;=0,(L11-C15)&gt;=0),0.5*((L11-C14)+(L11-C15))*ABS(B15-B14),IF((L11-C14)&gt;0,0.5*(L11-C14)*ABS((B14+((L11-C14)/((L11-C14)-(L11-C15)))*(B15-B14))-B14),0.5*(L11-C15)*ABS(B15-(B14+((L11-C14)/((L11-C14)-(L11-C15)))*(B15-B14)))))))+(IF(AND((L11-C15)&lt;=0,(L11-C16)&lt;=0),0,IF(AND((L11-C15)&gt;=0,(L11-C16)&gt;=0),0.5*((L11-C15)+(L11-C16))*ABS(B16-B15),IF((L11-C15)&gt;0,0.5*(L11-C15)*ABS((B15+((L11-C15)/((L11-C15)-(L11-C16)))*(B16-B15))-B15),0.5*(L11-C16)*ABS(B16-(B15+((L11-C15)/((L11-C15)-(L11-C16)))*(B16-B15)))))))+(IF(AND((L11-C16)&lt;=0,(L11-C17)&lt;=0),0,IF(AND((L11-C16)&gt;=0,(L11-C17)&gt;=0),0.5*((L11-C16)+(L11-C17))*ABS(B17-B16),IF((L11-C16)&gt;0,0.5*(L11-C16)*ABS((B16+((L11-C16)/((L11-C16)-(L11-C17)))*(B17-B16))-B16),0.5*(L11-C17)*ABS(B17-(B16+((L11-C16)/((L11-C16)-(L11-C17)))*(B17-B16)))))))+(IF(AND((L11-C17)&lt;=0,(L11-C18)&lt;=0),0,IF(AND((L11-C17)&gt;=0,(L11-C18)&gt;=0),0.5*((L11-C17)+(L11-C18))*ABS(B18-B17),IF((L11-C17)&gt;0,0.5*(L11-C17)*ABS((B17+((L11-C17)/((L11-C17)-(L11-C18)))*(B18-B17))-B17),0.5*(L11-C18)*ABS(B18-(B17+((L11-C17)/((L11-C17)-(L11-C18)))*(B18-B17)))))))</f>
        <v/>
      </c>
      <c r="N11">
        <f>(IF(AND((L11-C9)&lt;=0,(L11-C10)&lt;=0),0,IF(AND((L11-C9)&gt;=0,(L11-C10)&gt;=0),SQRT((B10-B9)^2+(C10-C9)^2),IF((L11-C9)&gt;0,SQRT(((B9+((L11-C9)/((L11-C9)-(L11-C10)))*(B10-B9))-B9)^2+(L11-C9)^2),SQRT((B10-(B9+((L11-C9)/((L11-C9)-(L11-C10)))*(B10-B9)))^2+(L11-C10)^2)))))+(IF(AND((L11-C10)&lt;=0,(L11-C11)&lt;=0),0,IF(AND((L11-C10)&gt;=0,(L11-C11)&gt;=0),SQRT((B11-B10)^2+(C11-C10)^2),IF((L11-C10)&gt;0,SQRT(((B10+((L11-C10)/((L11-C10)-(L11-C11)))*(B11-B10))-B10)^2+(L11-C10)^2),SQRT((B11-(B10+((L11-C10)/((L11-C10)-(L11-C11)))*(B11-B10)))^2+(L11-C11)^2)))))+(IF(AND((L11-C11)&lt;=0,(L11-C12)&lt;=0),0,IF(AND((L11-C11)&gt;=0,(L11-C12)&gt;=0),SQRT((B12-B11)^2+(C12-C11)^2),IF((L11-C11)&gt;0,SQRT(((B11+((L11-C11)/((L11-C11)-(L11-C12)))*(B12-B11))-B11)^2+(L11-C11)^2),SQRT((B12-(B11+((L11-C11)/((L11-C11)-(L11-C12)))*(B12-B11)))^2+(L11-C12)^2)))))+(IF(AND((L11-C12)&lt;=0,(L11-C13)&lt;=0),0,IF(AND((L11-C12)&gt;=0,(L11-C13)&gt;=0),SQRT((B13-B12)^2+(C13-C12)^2),IF((L11-C12)&gt;0,SQRT(((B12+((L11-C12)/((L11-C12)-(L11-C13)))*(B13-B12))-B12)^2+(L11-C12)^2),SQRT((B13-(B12+((L11-C12)/((L11-C12)-(L11-C13)))*(B13-B12)))^2+(L11-C13)^2)))))+(IF(AND((L11-C13)&lt;=0,(L11-C14)&lt;=0),0,IF(AND((L11-C13)&gt;=0,(L11-C14)&gt;=0),SQRT((B14-B13)^2+(C14-C13)^2),IF((L11-C13)&gt;0,SQRT(((B13+((L11-C13)/((L11-C13)-(L11-C14)))*(B14-B13))-B13)^2+(L11-C13)^2),SQRT((B14-(B13+((L11-C13)/((L11-C13)-(L11-C14)))*(B14-B13)))^2+(L11-C14)^2)))))+(IF(AND((L11-C14)&lt;=0,(L11-C15)&lt;=0),0,IF(AND((L11-C14)&gt;=0,(L11-C15)&gt;=0),SQRT((B15-B14)^2+(C15-C14)^2),IF((L11-C14)&gt;0,SQRT(((B14+((L11-C14)/((L11-C14)-(L11-C15)))*(B15-B14))-B14)^2+(L11-C14)^2),SQRT((B15-(B14+((L11-C14)/((L11-C14)-(L11-C15)))*(B15-B14)))^2+(L11-C15)^2)))))+(IF(AND((L11-C15)&lt;=0,(L11-C16)&lt;=0),0,IF(AND((L11-C15)&gt;=0,(L11-C16)&gt;=0),SQRT((B16-B15)^2+(C16-C15)^2),IF((L11-C15)&gt;0,SQRT(((B15+((L11-C15)/((L11-C15)-(L11-C16)))*(B16-B15))-B15)^2+(L11-C15)^2),SQRT((B16-(B15+((L11-C15)/((L11-C15)-(L11-C16)))*(B16-B15)))^2+(L11-C16)^2)))))+(IF(AND((L11-C16)&lt;=0,(L11-C17)&lt;=0),0,IF(AND((L11-C16)&gt;=0,(L11-C17)&gt;=0),SQRT((B17-B16)^2+(C17-C16)^2),IF((L11-C16)&gt;0,SQRT(((B16+((L11-C16)/((L11-C16)-(L11-C17)))*(B17-B16))-B16)^2+(L11-C16)^2),SQRT((B17-(B16+((L11-C16)/((L11-C16)-(L11-C17)))*(B17-B16)))^2+(L11-C17)^2)))))+(IF(AND((L11-C17)&lt;=0,(L11-C18)&lt;=0),0,IF(AND((L11-C17)&gt;=0,(L11-C18)&gt;=0),SQRT((B18-B17)^2+(C18-C17)^2),IF((L11-C17)&gt;0,SQRT(((B17+((L11-C17)/((L11-C17)-(L11-C18)))*(B18-B17))-B17)^2+(L11-C17)^2),SQRT((B18-(B17+((L11-C17)/((L11-C17)-(L11-C18)))*(B18-B17)))^2+(L11-C18)^2)))))</f>
        <v/>
      </c>
      <c r="O11">
        <f>IF(OR($B$6&lt;=0,M11&lt;=0,N11&lt;=0,$B$4&lt;=0),0,(1/$B$6)*M11*((M11/N11)^(2/3))*SQRT($B$4))</f>
        <v/>
      </c>
    </row>
    <row r="12">
      <c r="A12" s="5" t="n">
        <v>4</v>
      </c>
      <c r="B12" s="5" t="n">
        <v>9.797000000000001</v>
      </c>
      <c r="C12" s="5" t="n">
        <v>37</v>
      </c>
      <c r="D12" s="5" t="inlineStr">
        <is>
          <t>TN</t>
        </is>
      </c>
      <c r="E12" s="5">
        <f>$B$2-C12</f>
        <v/>
      </c>
      <c r="F12" s="5">
        <f>IF(AND(($B$2-C12)&lt;=0,($B$2-C13)&lt;=0),0,IF(AND(($B$2-C12)&gt;=0,($B$2-C13)&gt;=0),0.5*(($B$2-C12)+($B$2-C13))*ABS(B13-B12),IF(($B$2-C12)&gt;0,0.5*($B$2-C12)*ABS((B12+(($B$2-C12)/(($B$2-C12)-($B$2-C13)))*(B13-B12))-B12),0.5*($B$2-C13)*ABS(B13-(B12+(($B$2-C12)/(($B$2-C12)-($B$2-C13)))*(B13-B12))))))</f>
        <v/>
      </c>
      <c r="G12" s="5">
        <f>IF(AND(($B$2-C12)&lt;=0,($B$2-C13)&lt;=0),0,IF(AND(($B$2-C12)&gt;=0,($B$2-C13)&gt;=0),SQRT((B13-B12)^2+(C13-C12)^2),IF(($B$2-C12)&gt;0,SQRT(((B12+(($B$2-C12)/(($B$2-C12)-($B$2-C13)))*(B13-B12))-B12)^2+($B$2-C12)^2),SQRT((B13-(B12+(($B$2-C12)/(($B$2-C12)-($B$2-C13)))*(B13-B12)))^2+($B$2-C13)^2))))</f>
        <v/>
      </c>
      <c r="I12" t="n">
        <v>4</v>
      </c>
      <c r="J12">
        <f>IF(O11&lt;$B$5,L11,J11)</f>
        <v/>
      </c>
      <c r="K12">
        <f>IF(O11&lt;$B$5,K11,L11)</f>
        <v/>
      </c>
      <c r="L12">
        <f>(J12+K12)/2</f>
        <v/>
      </c>
      <c r="M12">
        <f>(IF(AND((L12-C9)&lt;=0,(L12-C10)&lt;=0),0,IF(AND((L12-C9)&gt;=0,(L12-C10)&gt;=0),0.5*((L12-C9)+(L12-C10))*ABS(B10-B9),IF((L12-C9)&gt;0,0.5*(L12-C9)*ABS((B9+((L12-C9)/((L12-C9)-(L12-C10)))*(B10-B9))-B9),0.5*(L12-C10)*ABS(B10-(B9+((L12-C9)/((L12-C9)-(L12-C10)))*(B10-B9)))))))+(IF(AND((L12-C10)&lt;=0,(L12-C11)&lt;=0),0,IF(AND((L12-C10)&gt;=0,(L12-C11)&gt;=0),0.5*((L12-C10)+(L12-C11))*ABS(B11-B10),IF((L12-C10)&gt;0,0.5*(L12-C10)*ABS((B10+((L12-C10)/((L12-C10)-(L12-C11)))*(B11-B10))-B10),0.5*(L12-C11)*ABS(B11-(B10+((L12-C10)/((L12-C10)-(L12-C11)))*(B11-B10)))))))+(IF(AND((L12-C11)&lt;=0,(L12-C12)&lt;=0),0,IF(AND((L12-C11)&gt;=0,(L12-C12)&gt;=0),0.5*((L12-C11)+(L12-C12))*ABS(B12-B11),IF((L12-C11)&gt;0,0.5*(L12-C11)*ABS((B11+((L12-C11)/((L12-C11)-(L12-C12)))*(B12-B11))-B11),0.5*(L12-C12)*ABS(B12-(B11+((L12-C11)/((L12-C11)-(L12-C12)))*(B12-B11)))))))+(IF(AND((L12-C12)&lt;=0,(L12-C13)&lt;=0),0,IF(AND((L12-C12)&gt;=0,(L12-C13)&gt;=0),0.5*((L12-C12)+(L12-C13))*ABS(B13-B12),IF((L12-C12)&gt;0,0.5*(L12-C12)*ABS((B12+((L12-C12)/((L12-C12)-(L12-C13)))*(B13-B12))-B12),0.5*(L12-C13)*ABS(B13-(B12+((L12-C12)/((L12-C12)-(L12-C13)))*(B13-B12)))))))+(IF(AND((L12-C13)&lt;=0,(L12-C14)&lt;=0),0,IF(AND((L12-C13)&gt;=0,(L12-C14)&gt;=0),0.5*((L12-C13)+(L12-C14))*ABS(B14-B13),IF((L12-C13)&gt;0,0.5*(L12-C13)*ABS((B13+((L12-C13)/((L12-C13)-(L12-C14)))*(B14-B13))-B13),0.5*(L12-C14)*ABS(B14-(B13+((L12-C13)/((L12-C13)-(L12-C14)))*(B14-B13)))))))+(IF(AND((L12-C14)&lt;=0,(L12-C15)&lt;=0),0,IF(AND((L12-C14)&gt;=0,(L12-C15)&gt;=0),0.5*((L12-C14)+(L12-C15))*ABS(B15-B14),IF((L12-C14)&gt;0,0.5*(L12-C14)*ABS((B14+((L12-C14)/((L12-C14)-(L12-C15)))*(B15-B14))-B14),0.5*(L12-C15)*ABS(B15-(B14+((L12-C14)/((L12-C14)-(L12-C15)))*(B15-B14)))))))+(IF(AND((L12-C15)&lt;=0,(L12-C16)&lt;=0),0,IF(AND((L12-C15)&gt;=0,(L12-C16)&gt;=0),0.5*((L12-C15)+(L12-C16))*ABS(B16-B15),IF((L12-C15)&gt;0,0.5*(L12-C15)*ABS((B15+((L12-C15)/((L12-C15)-(L12-C16)))*(B16-B15))-B15),0.5*(L12-C16)*ABS(B16-(B15+((L12-C15)/((L12-C15)-(L12-C16)))*(B16-B15)))))))+(IF(AND((L12-C16)&lt;=0,(L12-C17)&lt;=0),0,IF(AND((L12-C16)&gt;=0,(L12-C17)&gt;=0),0.5*((L12-C16)+(L12-C17))*ABS(B17-B16),IF((L12-C16)&gt;0,0.5*(L12-C16)*ABS((B16+((L12-C16)/((L12-C16)-(L12-C17)))*(B17-B16))-B16),0.5*(L12-C17)*ABS(B17-(B16+((L12-C16)/((L12-C16)-(L12-C17)))*(B17-B16)))))))+(IF(AND((L12-C17)&lt;=0,(L12-C18)&lt;=0),0,IF(AND((L12-C17)&gt;=0,(L12-C18)&gt;=0),0.5*((L12-C17)+(L12-C18))*ABS(B18-B17),IF((L12-C17)&gt;0,0.5*(L12-C17)*ABS((B17+((L12-C17)/((L12-C17)-(L12-C18)))*(B18-B17))-B17),0.5*(L12-C18)*ABS(B18-(B17+((L12-C17)/((L12-C17)-(L12-C18)))*(B18-B17)))))))</f>
        <v/>
      </c>
      <c r="N12">
        <f>(IF(AND((L12-C9)&lt;=0,(L12-C10)&lt;=0),0,IF(AND((L12-C9)&gt;=0,(L12-C10)&gt;=0),SQRT((B10-B9)^2+(C10-C9)^2),IF((L12-C9)&gt;0,SQRT(((B9+((L12-C9)/((L12-C9)-(L12-C10)))*(B10-B9))-B9)^2+(L12-C9)^2),SQRT((B10-(B9+((L12-C9)/((L12-C9)-(L12-C10)))*(B10-B9)))^2+(L12-C10)^2)))))+(IF(AND((L12-C10)&lt;=0,(L12-C11)&lt;=0),0,IF(AND((L12-C10)&gt;=0,(L12-C11)&gt;=0),SQRT((B11-B10)^2+(C11-C10)^2),IF((L12-C10)&gt;0,SQRT(((B10+((L12-C10)/((L12-C10)-(L12-C11)))*(B11-B10))-B10)^2+(L12-C10)^2),SQRT((B11-(B10+((L12-C10)/((L12-C10)-(L12-C11)))*(B11-B10)))^2+(L12-C11)^2)))))+(IF(AND((L12-C11)&lt;=0,(L12-C12)&lt;=0),0,IF(AND((L12-C11)&gt;=0,(L12-C12)&gt;=0),SQRT((B12-B11)^2+(C12-C11)^2),IF((L12-C11)&gt;0,SQRT(((B11+((L12-C11)/((L12-C11)-(L12-C12)))*(B12-B11))-B11)^2+(L12-C11)^2),SQRT((B12-(B11+((L12-C11)/((L12-C11)-(L12-C12)))*(B12-B11)))^2+(L12-C12)^2)))))+(IF(AND((L12-C12)&lt;=0,(L12-C13)&lt;=0),0,IF(AND((L12-C12)&gt;=0,(L12-C13)&gt;=0),SQRT((B13-B12)^2+(C13-C12)^2),IF((L12-C12)&gt;0,SQRT(((B12+((L12-C12)/((L12-C12)-(L12-C13)))*(B13-B12))-B12)^2+(L12-C12)^2),SQRT((B13-(B12+((L12-C12)/((L12-C12)-(L12-C13)))*(B13-B12)))^2+(L12-C13)^2)))))+(IF(AND((L12-C13)&lt;=0,(L12-C14)&lt;=0),0,IF(AND((L12-C13)&gt;=0,(L12-C14)&gt;=0),SQRT((B14-B13)^2+(C14-C13)^2),IF((L12-C13)&gt;0,SQRT(((B13+((L12-C13)/((L12-C13)-(L12-C14)))*(B14-B13))-B13)^2+(L12-C13)^2),SQRT((B14-(B13+((L12-C13)/((L12-C13)-(L12-C14)))*(B14-B13)))^2+(L12-C14)^2)))))+(IF(AND((L12-C14)&lt;=0,(L12-C15)&lt;=0),0,IF(AND((L12-C14)&gt;=0,(L12-C15)&gt;=0),SQRT((B15-B14)^2+(C15-C14)^2),IF((L12-C14)&gt;0,SQRT(((B14+((L12-C14)/((L12-C14)-(L12-C15)))*(B15-B14))-B14)^2+(L12-C14)^2),SQRT((B15-(B14+((L12-C14)/((L12-C14)-(L12-C15)))*(B15-B14)))^2+(L12-C15)^2)))))+(IF(AND((L12-C15)&lt;=0,(L12-C16)&lt;=0),0,IF(AND((L12-C15)&gt;=0,(L12-C16)&gt;=0),SQRT((B16-B15)^2+(C16-C15)^2),IF((L12-C15)&gt;0,SQRT(((B15+((L12-C15)/((L12-C15)-(L12-C16)))*(B16-B15))-B15)^2+(L12-C15)^2),SQRT((B16-(B15+((L12-C15)/((L12-C15)-(L12-C16)))*(B16-B15)))^2+(L12-C16)^2)))))+(IF(AND((L12-C16)&lt;=0,(L12-C17)&lt;=0),0,IF(AND((L12-C16)&gt;=0,(L12-C17)&gt;=0),SQRT((B17-B16)^2+(C17-C16)^2),IF((L12-C16)&gt;0,SQRT(((B16+((L12-C16)/((L12-C16)-(L12-C17)))*(B17-B16))-B16)^2+(L12-C16)^2),SQRT((B17-(B16+((L12-C16)/((L12-C16)-(L12-C17)))*(B17-B16)))^2+(L12-C17)^2)))))+(IF(AND((L12-C17)&lt;=0,(L12-C18)&lt;=0),0,IF(AND((L12-C17)&gt;=0,(L12-C18)&gt;=0),SQRT((B18-B17)^2+(C18-C17)^2),IF((L12-C17)&gt;0,SQRT(((B17+((L12-C17)/((L12-C17)-(L12-C18)))*(B18-B17))-B17)^2+(L12-C17)^2),SQRT((B18-(B17+((L12-C17)/((L12-C17)-(L12-C18)))*(B18-B17)))^2+(L12-C18)^2)))))</f>
        <v/>
      </c>
      <c r="O12">
        <f>IF(OR($B$6&lt;=0,M12&lt;=0,N12&lt;=0,$B$4&lt;=0),0,(1/$B$6)*M12*((M12/N12)^(2/3))*SQRT($B$4))</f>
        <v/>
      </c>
    </row>
    <row r="13">
      <c r="A13" s="5" t="n">
        <v>5</v>
      </c>
      <c r="B13" s="5" t="n">
        <v>15.147</v>
      </c>
      <c r="C13" s="5" t="n">
        <v>34.93</v>
      </c>
      <c r="D13" s="5" t="inlineStr">
        <is>
          <t>TAB</t>
        </is>
      </c>
      <c r="E13" s="5">
        <f>$B$2-C13</f>
        <v/>
      </c>
      <c r="F13" s="5">
        <f>IF(AND(($B$2-C13)&lt;=0,($B$2-C14)&lt;=0),0,IF(AND(($B$2-C13)&gt;=0,($B$2-C14)&gt;=0),0.5*(($B$2-C13)+($B$2-C14))*ABS(B14-B13),IF(($B$2-C13)&gt;0,0.5*($B$2-C13)*ABS((B13+(($B$2-C13)/(($B$2-C13)-($B$2-C14)))*(B14-B13))-B13),0.5*($B$2-C14)*ABS(B14-(B13+(($B$2-C13)/(($B$2-C13)-($B$2-C14)))*(B14-B13))))))</f>
        <v/>
      </c>
      <c r="G13" s="5">
        <f>IF(AND(($B$2-C13)&lt;=0,($B$2-C14)&lt;=0),0,IF(AND(($B$2-C13)&gt;=0,($B$2-C14)&gt;=0),SQRT((B14-B13)^2+(C14-C13)^2),IF(($B$2-C13)&gt;0,SQRT(((B13+(($B$2-C13)/(($B$2-C13)-($B$2-C14)))*(B14-B13))-B13)^2+($B$2-C13)^2),SQRT((B14-(B13+(($B$2-C13)/(($B$2-C13)-($B$2-C14)))*(B14-B13)))^2+($B$2-C14)^2))))</f>
        <v/>
      </c>
      <c r="I13" t="n">
        <v>5</v>
      </c>
      <c r="J13">
        <f>IF(O12&lt;$B$5,L12,J12)</f>
        <v/>
      </c>
      <c r="K13">
        <f>IF(O12&lt;$B$5,K12,L12)</f>
        <v/>
      </c>
      <c r="L13">
        <f>(J13+K13)/2</f>
        <v/>
      </c>
      <c r="M13">
        <f>(IF(AND((L13-C9)&lt;=0,(L13-C10)&lt;=0),0,IF(AND((L13-C9)&gt;=0,(L13-C10)&gt;=0),0.5*((L13-C9)+(L13-C10))*ABS(B10-B9),IF((L13-C9)&gt;0,0.5*(L13-C9)*ABS((B9+((L13-C9)/((L13-C9)-(L13-C10)))*(B10-B9))-B9),0.5*(L13-C10)*ABS(B10-(B9+((L13-C9)/((L13-C9)-(L13-C10)))*(B10-B9)))))))+(IF(AND((L13-C10)&lt;=0,(L13-C11)&lt;=0),0,IF(AND((L13-C10)&gt;=0,(L13-C11)&gt;=0),0.5*((L13-C10)+(L13-C11))*ABS(B11-B10),IF((L13-C10)&gt;0,0.5*(L13-C10)*ABS((B10+((L13-C10)/((L13-C10)-(L13-C11)))*(B11-B10))-B10),0.5*(L13-C11)*ABS(B11-(B10+((L13-C10)/((L13-C10)-(L13-C11)))*(B11-B10)))))))+(IF(AND((L13-C11)&lt;=0,(L13-C12)&lt;=0),0,IF(AND((L13-C11)&gt;=0,(L13-C12)&gt;=0),0.5*((L13-C11)+(L13-C12))*ABS(B12-B11),IF((L13-C11)&gt;0,0.5*(L13-C11)*ABS((B11+((L13-C11)/((L13-C11)-(L13-C12)))*(B12-B11))-B11),0.5*(L13-C12)*ABS(B12-(B11+((L13-C11)/((L13-C11)-(L13-C12)))*(B12-B11)))))))+(IF(AND((L13-C12)&lt;=0,(L13-C13)&lt;=0),0,IF(AND((L13-C12)&gt;=0,(L13-C13)&gt;=0),0.5*((L13-C12)+(L13-C13))*ABS(B13-B12),IF((L13-C12)&gt;0,0.5*(L13-C12)*ABS((B12+((L13-C12)/((L13-C12)-(L13-C13)))*(B13-B12))-B12),0.5*(L13-C13)*ABS(B13-(B12+((L13-C12)/((L13-C12)-(L13-C13)))*(B13-B12)))))))+(IF(AND((L13-C13)&lt;=0,(L13-C14)&lt;=0),0,IF(AND((L13-C13)&gt;=0,(L13-C14)&gt;=0),0.5*((L13-C13)+(L13-C14))*ABS(B14-B13),IF((L13-C13)&gt;0,0.5*(L13-C13)*ABS((B13+((L13-C13)/((L13-C13)-(L13-C14)))*(B14-B13))-B13),0.5*(L13-C14)*ABS(B14-(B13+((L13-C13)/((L13-C13)-(L13-C14)))*(B14-B13)))))))+(IF(AND((L13-C14)&lt;=0,(L13-C15)&lt;=0),0,IF(AND((L13-C14)&gt;=0,(L13-C15)&gt;=0),0.5*((L13-C14)+(L13-C15))*ABS(B15-B14),IF((L13-C14)&gt;0,0.5*(L13-C14)*ABS((B14+((L13-C14)/((L13-C14)-(L13-C15)))*(B15-B14))-B14),0.5*(L13-C15)*ABS(B15-(B14+((L13-C14)/((L13-C14)-(L13-C15)))*(B15-B14)))))))+(IF(AND((L13-C15)&lt;=0,(L13-C16)&lt;=0),0,IF(AND((L13-C15)&gt;=0,(L13-C16)&gt;=0),0.5*((L13-C15)+(L13-C16))*ABS(B16-B15),IF((L13-C15)&gt;0,0.5*(L13-C15)*ABS((B15+((L13-C15)/((L13-C15)-(L13-C16)))*(B16-B15))-B15),0.5*(L13-C16)*ABS(B16-(B15+((L13-C15)/((L13-C15)-(L13-C16)))*(B16-B15)))))))+(IF(AND((L13-C16)&lt;=0,(L13-C17)&lt;=0),0,IF(AND((L13-C16)&gt;=0,(L13-C17)&gt;=0),0.5*((L13-C16)+(L13-C17))*ABS(B17-B16),IF((L13-C16)&gt;0,0.5*(L13-C16)*ABS((B16+((L13-C16)/((L13-C16)-(L13-C17)))*(B17-B16))-B16),0.5*(L13-C17)*ABS(B17-(B16+((L13-C16)/((L13-C16)-(L13-C17)))*(B17-B16)))))))+(IF(AND((L13-C17)&lt;=0,(L13-C18)&lt;=0),0,IF(AND((L13-C17)&gt;=0,(L13-C18)&gt;=0),0.5*((L13-C17)+(L13-C18))*ABS(B18-B17),IF((L13-C17)&gt;0,0.5*(L13-C17)*ABS((B17+((L13-C17)/((L13-C17)-(L13-C18)))*(B18-B17))-B17),0.5*(L13-C18)*ABS(B18-(B17+((L13-C17)/((L13-C17)-(L13-C18)))*(B18-B17)))))))</f>
        <v/>
      </c>
      <c r="N13">
        <f>(IF(AND((L13-C9)&lt;=0,(L13-C10)&lt;=0),0,IF(AND((L13-C9)&gt;=0,(L13-C10)&gt;=0),SQRT((B10-B9)^2+(C10-C9)^2),IF((L13-C9)&gt;0,SQRT(((B9+((L13-C9)/((L13-C9)-(L13-C10)))*(B10-B9))-B9)^2+(L13-C9)^2),SQRT((B10-(B9+((L13-C9)/((L13-C9)-(L13-C10)))*(B10-B9)))^2+(L13-C10)^2)))))+(IF(AND((L13-C10)&lt;=0,(L13-C11)&lt;=0),0,IF(AND((L13-C10)&gt;=0,(L13-C11)&gt;=0),SQRT((B11-B10)^2+(C11-C10)^2),IF((L13-C10)&gt;0,SQRT(((B10+((L13-C10)/((L13-C10)-(L13-C11)))*(B11-B10))-B10)^2+(L13-C10)^2),SQRT((B11-(B10+((L13-C10)/((L13-C10)-(L13-C11)))*(B11-B10)))^2+(L13-C11)^2)))))+(IF(AND((L13-C11)&lt;=0,(L13-C12)&lt;=0),0,IF(AND((L13-C11)&gt;=0,(L13-C12)&gt;=0),SQRT((B12-B11)^2+(C12-C11)^2),IF((L13-C11)&gt;0,SQRT(((B11+((L13-C11)/((L13-C11)-(L13-C12)))*(B12-B11))-B11)^2+(L13-C11)^2),SQRT((B12-(B11+((L13-C11)/((L13-C11)-(L13-C12)))*(B12-B11)))^2+(L13-C12)^2)))))+(IF(AND((L13-C12)&lt;=0,(L13-C13)&lt;=0),0,IF(AND((L13-C12)&gt;=0,(L13-C13)&gt;=0),SQRT((B13-B12)^2+(C13-C12)^2),IF((L13-C12)&gt;0,SQRT(((B12+((L13-C12)/((L13-C12)-(L13-C13)))*(B13-B12))-B12)^2+(L13-C12)^2),SQRT((B13-(B12+((L13-C12)/((L13-C12)-(L13-C13)))*(B13-B12)))^2+(L13-C13)^2)))))+(IF(AND((L13-C13)&lt;=0,(L13-C14)&lt;=0),0,IF(AND((L13-C13)&gt;=0,(L13-C14)&gt;=0),SQRT((B14-B13)^2+(C14-C13)^2),IF((L13-C13)&gt;0,SQRT(((B13+((L13-C13)/((L13-C13)-(L13-C14)))*(B14-B13))-B13)^2+(L13-C13)^2),SQRT((B14-(B13+((L13-C13)/((L13-C13)-(L13-C14)))*(B14-B13)))^2+(L13-C14)^2)))))+(IF(AND((L13-C14)&lt;=0,(L13-C15)&lt;=0),0,IF(AND((L13-C14)&gt;=0,(L13-C15)&gt;=0),SQRT((B15-B14)^2+(C15-C14)^2),IF((L13-C14)&gt;0,SQRT(((B14+((L13-C14)/((L13-C14)-(L13-C15)))*(B15-B14))-B14)^2+(L13-C14)^2),SQRT((B15-(B14+((L13-C14)/((L13-C14)-(L13-C15)))*(B15-B14)))^2+(L13-C15)^2)))))+(IF(AND((L13-C15)&lt;=0,(L13-C16)&lt;=0),0,IF(AND((L13-C15)&gt;=0,(L13-C16)&gt;=0),SQRT((B16-B15)^2+(C16-C15)^2),IF((L13-C15)&gt;0,SQRT(((B15+((L13-C15)/((L13-C15)-(L13-C16)))*(B16-B15))-B15)^2+(L13-C15)^2),SQRT((B16-(B15+((L13-C15)/((L13-C15)-(L13-C16)))*(B16-B15)))^2+(L13-C16)^2)))))+(IF(AND((L13-C16)&lt;=0,(L13-C17)&lt;=0),0,IF(AND((L13-C16)&gt;=0,(L13-C17)&gt;=0),SQRT((B17-B16)^2+(C17-C16)^2),IF((L13-C16)&gt;0,SQRT(((B16+((L13-C16)/((L13-C16)-(L13-C17)))*(B17-B16))-B16)^2+(L13-C16)^2),SQRT((B17-(B16+((L13-C16)/((L13-C16)-(L13-C17)))*(B17-B16)))^2+(L13-C17)^2)))))+(IF(AND((L13-C17)&lt;=0,(L13-C18)&lt;=0),0,IF(AND((L13-C17)&gt;=0,(L13-C18)&gt;=0),SQRT((B18-B17)^2+(C18-C17)^2),IF((L13-C17)&gt;0,SQRT(((B17+((L13-C17)/((L13-C17)-(L13-C18)))*(B18-B17))-B17)^2+(L13-C17)^2),SQRT((B18-(B17+((L13-C17)/((L13-C17)-(L13-C18)))*(B18-B17)))^2+(L13-C18)^2)))))</f>
        <v/>
      </c>
      <c r="O13">
        <f>IF(OR($B$6&lt;=0,M13&lt;=0,N13&lt;=0,$B$4&lt;=0),0,(1/$B$6)*M13*((M13/N13)^(2/3))*SQRT($B$4))</f>
        <v/>
      </c>
    </row>
    <row r="14">
      <c r="A14" s="5" t="n">
        <v>6</v>
      </c>
      <c r="B14" s="5" t="n">
        <v>16.46</v>
      </c>
      <c r="C14" s="5" t="n">
        <v>34.57</v>
      </c>
      <c r="D14" s="5" t="inlineStr">
        <is>
          <t>FOND</t>
        </is>
      </c>
      <c r="E14" s="5">
        <f>$B$2-C14</f>
        <v/>
      </c>
      <c r="F14" s="5">
        <f>IF(AND(($B$2-C14)&lt;=0,($B$2-C15)&lt;=0),0,IF(AND(($B$2-C14)&gt;=0,($B$2-C15)&gt;=0),0.5*(($B$2-C14)+($B$2-C15))*ABS(B15-B14),IF(($B$2-C14)&gt;0,0.5*($B$2-C14)*ABS((B14+(($B$2-C14)/(($B$2-C14)-($B$2-C15)))*(B15-B14))-B14),0.5*($B$2-C15)*ABS(B15-(B14+(($B$2-C14)/(($B$2-C14)-($B$2-C15)))*(B15-B14))))))</f>
        <v/>
      </c>
      <c r="G14" s="5">
        <f>IF(AND(($B$2-C14)&lt;=0,($B$2-C15)&lt;=0),0,IF(AND(($B$2-C14)&gt;=0,($B$2-C15)&gt;=0),SQRT((B15-B14)^2+(C15-C14)^2),IF(($B$2-C14)&gt;0,SQRT(((B14+(($B$2-C14)/(($B$2-C14)-($B$2-C15)))*(B15-B14))-B14)^2+($B$2-C14)^2),SQRT((B15-(B14+(($B$2-C14)/(($B$2-C14)-($B$2-C15)))*(B15-B14)))^2+($B$2-C15)^2))))</f>
        <v/>
      </c>
      <c r="I14" t="n">
        <v>6</v>
      </c>
      <c r="J14">
        <f>IF(O13&lt;$B$5,L13,J13)</f>
        <v/>
      </c>
      <c r="K14">
        <f>IF(O13&lt;$B$5,K13,L13)</f>
        <v/>
      </c>
      <c r="L14">
        <f>(J14+K14)/2</f>
        <v/>
      </c>
      <c r="M14">
        <f>(IF(AND((L14-C9)&lt;=0,(L14-C10)&lt;=0),0,IF(AND((L14-C9)&gt;=0,(L14-C10)&gt;=0),0.5*((L14-C9)+(L14-C10))*ABS(B10-B9),IF((L14-C9)&gt;0,0.5*(L14-C9)*ABS((B9+((L14-C9)/((L14-C9)-(L14-C10)))*(B10-B9))-B9),0.5*(L14-C10)*ABS(B10-(B9+((L14-C9)/((L14-C9)-(L14-C10)))*(B10-B9)))))))+(IF(AND((L14-C10)&lt;=0,(L14-C11)&lt;=0),0,IF(AND((L14-C10)&gt;=0,(L14-C11)&gt;=0),0.5*((L14-C10)+(L14-C11))*ABS(B11-B10),IF((L14-C10)&gt;0,0.5*(L14-C10)*ABS((B10+((L14-C10)/((L14-C10)-(L14-C11)))*(B11-B10))-B10),0.5*(L14-C11)*ABS(B11-(B10+((L14-C10)/((L14-C10)-(L14-C11)))*(B11-B10)))))))+(IF(AND((L14-C11)&lt;=0,(L14-C12)&lt;=0),0,IF(AND((L14-C11)&gt;=0,(L14-C12)&gt;=0),0.5*((L14-C11)+(L14-C12))*ABS(B12-B11),IF((L14-C11)&gt;0,0.5*(L14-C11)*ABS((B11+((L14-C11)/((L14-C11)-(L14-C12)))*(B12-B11))-B11),0.5*(L14-C12)*ABS(B12-(B11+((L14-C11)/((L14-C11)-(L14-C12)))*(B12-B11)))))))+(IF(AND((L14-C12)&lt;=0,(L14-C13)&lt;=0),0,IF(AND((L14-C12)&gt;=0,(L14-C13)&gt;=0),0.5*((L14-C12)+(L14-C13))*ABS(B13-B12),IF((L14-C12)&gt;0,0.5*(L14-C12)*ABS((B12+((L14-C12)/((L14-C12)-(L14-C13)))*(B13-B12))-B12),0.5*(L14-C13)*ABS(B13-(B12+((L14-C12)/((L14-C12)-(L14-C13)))*(B13-B12)))))))+(IF(AND((L14-C13)&lt;=0,(L14-C14)&lt;=0),0,IF(AND((L14-C13)&gt;=0,(L14-C14)&gt;=0),0.5*((L14-C13)+(L14-C14))*ABS(B14-B13),IF((L14-C13)&gt;0,0.5*(L14-C13)*ABS((B13+((L14-C13)/((L14-C13)-(L14-C14)))*(B14-B13))-B13),0.5*(L14-C14)*ABS(B14-(B13+((L14-C13)/((L14-C13)-(L14-C14)))*(B14-B13)))))))+(IF(AND((L14-C14)&lt;=0,(L14-C15)&lt;=0),0,IF(AND((L14-C14)&gt;=0,(L14-C15)&gt;=0),0.5*((L14-C14)+(L14-C15))*ABS(B15-B14),IF((L14-C14)&gt;0,0.5*(L14-C14)*ABS((B14+((L14-C14)/((L14-C14)-(L14-C15)))*(B15-B14))-B14),0.5*(L14-C15)*ABS(B15-(B14+((L14-C14)/((L14-C14)-(L14-C15)))*(B15-B14)))))))+(IF(AND((L14-C15)&lt;=0,(L14-C16)&lt;=0),0,IF(AND((L14-C15)&gt;=0,(L14-C16)&gt;=0),0.5*((L14-C15)+(L14-C16))*ABS(B16-B15),IF((L14-C15)&gt;0,0.5*(L14-C15)*ABS((B15+((L14-C15)/((L14-C15)-(L14-C16)))*(B16-B15))-B15),0.5*(L14-C16)*ABS(B16-(B15+((L14-C15)/((L14-C15)-(L14-C16)))*(B16-B15)))))))+(IF(AND((L14-C16)&lt;=0,(L14-C17)&lt;=0),0,IF(AND((L14-C16)&gt;=0,(L14-C17)&gt;=0),0.5*((L14-C16)+(L14-C17))*ABS(B17-B16),IF((L14-C16)&gt;0,0.5*(L14-C16)*ABS((B16+((L14-C16)/((L14-C16)-(L14-C17)))*(B17-B16))-B16),0.5*(L14-C17)*ABS(B17-(B16+((L14-C16)/((L14-C16)-(L14-C17)))*(B17-B16)))))))+(IF(AND((L14-C17)&lt;=0,(L14-C18)&lt;=0),0,IF(AND((L14-C17)&gt;=0,(L14-C18)&gt;=0),0.5*((L14-C17)+(L14-C18))*ABS(B18-B17),IF((L14-C17)&gt;0,0.5*(L14-C17)*ABS((B17+((L14-C17)/((L14-C17)-(L14-C18)))*(B18-B17))-B17),0.5*(L14-C18)*ABS(B18-(B17+((L14-C17)/((L14-C17)-(L14-C18)))*(B18-B17)))))))</f>
        <v/>
      </c>
      <c r="N14">
        <f>(IF(AND((L14-C9)&lt;=0,(L14-C10)&lt;=0),0,IF(AND((L14-C9)&gt;=0,(L14-C10)&gt;=0),SQRT((B10-B9)^2+(C10-C9)^2),IF((L14-C9)&gt;0,SQRT(((B9+((L14-C9)/((L14-C9)-(L14-C10)))*(B10-B9))-B9)^2+(L14-C9)^2),SQRT((B10-(B9+((L14-C9)/((L14-C9)-(L14-C10)))*(B10-B9)))^2+(L14-C10)^2)))))+(IF(AND((L14-C10)&lt;=0,(L14-C11)&lt;=0),0,IF(AND((L14-C10)&gt;=0,(L14-C11)&gt;=0),SQRT((B11-B10)^2+(C11-C10)^2),IF((L14-C10)&gt;0,SQRT(((B10+((L14-C10)/((L14-C10)-(L14-C11)))*(B11-B10))-B10)^2+(L14-C10)^2),SQRT((B11-(B10+((L14-C10)/((L14-C10)-(L14-C11)))*(B11-B10)))^2+(L14-C11)^2)))))+(IF(AND((L14-C11)&lt;=0,(L14-C12)&lt;=0),0,IF(AND((L14-C11)&gt;=0,(L14-C12)&gt;=0),SQRT((B12-B11)^2+(C12-C11)^2),IF((L14-C11)&gt;0,SQRT(((B11+((L14-C11)/((L14-C11)-(L14-C12)))*(B12-B11))-B11)^2+(L14-C11)^2),SQRT((B12-(B11+((L14-C11)/((L14-C11)-(L14-C12)))*(B12-B11)))^2+(L14-C12)^2)))))+(IF(AND((L14-C12)&lt;=0,(L14-C13)&lt;=0),0,IF(AND((L14-C12)&gt;=0,(L14-C13)&gt;=0),SQRT((B13-B12)^2+(C13-C12)^2),IF((L14-C12)&gt;0,SQRT(((B12+((L14-C12)/((L14-C12)-(L14-C13)))*(B13-B12))-B12)^2+(L14-C12)^2),SQRT((B13-(B12+((L14-C12)/((L14-C12)-(L14-C13)))*(B13-B12)))^2+(L14-C13)^2)))))+(IF(AND((L14-C13)&lt;=0,(L14-C14)&lt;=0),0,IF(AND((L14-C13)&gt;=0,(L14-C14)&gt;=0),SQRT((B14-B13)^2+(C14-C13)^2),IF((L14-C13)&gt;0,SQRT(((B13+((L14-C13)/((L14-C13)-(L14-C14)))*(B14-B13))-B13)^2+(L14-C13)^2),SQRT((B14-(B13+((L14-C13)/((L14-C13)-(L14-C14)))*(B14-B13)))^2+(L14-C14)^2)))))+(IF(AND((L14-C14)&lt;=0,(L14-C15)&lt;=0),0,IF(AND((L14-C14)&gt;=0,(L14-C15)&gt;=0),SQRT((B15-B14)^2+(C15-C14)^2),IF((L14-C14)&gt;0,SQRT(((B14+((L14-C14)/((L14-C14)-(L14-C15)))*(B15-B14))-B14)^2+(L14-C14)^2),SQRT((B15-(B14+((L14-C14)/((L14-C14)-(L14-C15)))*(B15-B14)))^2+(L14-C15)^2)))))+(IF(AND((L14-C15)&lt;=0,(L14-C16)&lt;=0),0,IF(AND((L14-C15)&gt;=0,(L14-C16)&gt;=0),SQRT((B16-B15)^2+(C16-C15)^2),IF((L14-C15)&gt;0,SQRT(((B15+((L14-C15)/((L14-C15)-(L14-C16)))*(B16-B15))-B15)^2+(L14-C15)^2),SQRT((B16-(B15+((L14-C15)/((L14-C15)-(L14-C16)))*(B16-B15)))^2+(L14-C16)^2)))))+(IF(AND((L14-C16)&lt;=0,(L14-C17)&lt;=0),0,IF(AND((L14-C16)&gt;=0,(L14-C17)&gt;=0),SQRT((B17-B16)^2+(C17-C16)^2),IF((L14-C16)&gt;0,SQRT(((B16+((L14-C16)/((L14-C16)-(L14-C17)))*(B17-B16))-B16)^2+(L14-C16)^2),SQRT((B17-(B16+((L14-C16)/((L14-C16)-(L14-C17)))*(B17-B16)))^2+(L14-C17)^2)))))+(IF(AND((L14-C17)&lt;=0,(L14-C18)&lt;=0),0,IF(AND((L14-C17)&gt;=0,(L14-C18)&gt;=0),SQRT((B18-B17)^2+(C18-C17)^2),IF((L14-C17)&gt;0,SQRT(((B17+((L14-C17)/((L14-C17)-(L14-C18)))*(B18-B17))-B17)^2+(L14-C17)^2),SQRT((B18-(B17+((L14-C17)/((L14-C17)-(L14-C18)))*(B18-B17)))^2+(L14-C18)^2)))))</f>
        <v/>
      </c>
      <c r="O14">
        <f>IF(OR($B$6&lt;=0,M14&lt;=0,N14&lt;=0,$B$4&lt;=0),0,(1/$B$6)*M14*((M14/N14)^(2/3))*SQRT($B$4))</f>
        <v/>
      </c>
    </row>
    <row r="15">
      <c r="A15" s="5" t="n">
        <v>7</v>
      </c>
      <c r="B15" s="5" t="n">
        <v>17.76</v>
      </c>
      <c r="C15" s="5" t="n">
        <v>34.9</v>
      </c>
      <c r="D15" s="5" t="inlineStr">
        <is>
          <t>TAB</t>
        </is>
      </c>
      <c r="E15" s="5">
        <f>$B$2-C15</f>
        <v/>
      </c>
      <c r="F15" s="5">
        <f>IF(AND(($B$2-C15)&lt;=0,($B$2-C16)&lt;=0),0,IF(AND(($B$2-C15)&gt;=0,($B$2-C16)&gt;=0),0.5*(($B$2-C15)+($B$2-C16))*ABS(B16-B15),IF(($B$2-C15)&gt;0,0.5*($B$2-C15)*ABS((B15+(($B$2-C15)/(($B$2-C15)-($B$2-C16)))*(B16-B15))-B15),0.5*($B$2-C16)*ABS(B16-(B15+(($B$2-C15)/(($B$2-C15)-($B$2-C16)))*(B16-B15))))))</f>
        <v/>
      </c>
      <c r="G15" s="5">
        <f>IF(AND(($B$2-C15)&lt;=0,($B$2-C16)&lt;=0),0,IF(AND(($B$2-C15)&gt;=0,($B$2-C16)&gt;=0),SQRT((B16-B15)^2+(C16-C15)^2),IF(($B$2-C15)&gt;0,SQRT(((B15+(($B$2-C15)/(($B$2-C15)-($B$2-C16)))*(B16-B15))-B15)^2+($B$2-C15)^2),SQRT((B16-(B15+(($B$2-C15)/(($B$2-C15)-($B$2-C16)))*(B16-B15)))^2+($B$2-C16)^2))))</f>
        <v/>
      </c>
      <c r="I15" t="n">
        <v>7</v>
      </c>
      <c r="J15">
        <f>IF(O14&lt;$B$5,L14,J14)</f>
        <v/>
      </c>
      <c r="K15">
        <f>IF(O14&lt;$B$5,K14,L14)</f>
        <v/>
      </c>
      <c r="L15">
        <f>(J15+K15)/2</f>
        <v/>
      </c>
      <c r="M15">
        <f>(IF(AND((L15-C9)&lt;=0,(L15-C10)&lt;=0),0,IF(AND((L15-C9)&gt;=0,(L15-C10)&gt;=0),0.5*((L15-C9)+(L15-C10))*ABS(B10-B9),IF((L15-C9)&gt;0,0.5*(L15-C9)*ABS((B9+((L15-C9)/((L15-C9)-(L15-C10)))*(B10-B9))-B9),0.5*(L15-C10)*ABS(B10-(B9+((L15-C9)/((L15-C9)-(L15-C10)))*(B10-B9)))))))+(IF(AND((L15-C10)&lt;=0,(L15-C11)&lt;=0),0,IF(AND((L15-C10)&gt;=0,(L15-C11)&gt;=0),0.5*((L15-C10)+(L15-C11))*ABS(B11-B10),IF((L15-C10)&gt;0,0.5*(L15-C10)*ABS((B10+((L15-C10)/((L15-C10)-(L15-C11)))*(B11-B10))-B10),0.5*(L15-C11)*ABS(B11-(B10+((L15-C10)/((L15-C10)-(L15-C11)))*(B11-B10)))))))+(IF(AND((L15-C11)&lt;=0,(L15-C12)&lt;=0),0,IF(AND((L15-C11)&gt;=0,(L15-C12)&gt;=0),0.5*((L15-C11)+(L15-C12))*ABS(B12-B11),IF((L15-C11)&gt;0,0.5*(L15-C11)*ABS((B11+((L15-C11)/((L15-C11)-(L15-C12)))*(B12-B11))-B11),0.5*(L15-C12)*ABS(B12-(B11+((L15-C11)/((L15-C11)-(L15-C12)))*(B12-B11)))))))+(IF(AND((L15-C12)&lt;=0,(L15-C13)&lt;=0),0,IF(AND((L15-C12)&gt;=0,(L15-C13)&gt;=0),0.5*((L15-C12)+(L15-C13))*ABS(B13-B12),IF((L15-C12)&gt;0,0.5*(L15-C12)*ABS((B12+((L15-C12)/((L15-C12)-(L15-C13)))*(B13-B12))-B12),0.5*(L15-C13)*ABS(B13-(B12+((L15-C12)/((L15-C12)-(L15-C13)))*(B13-B12)))))))+(IF(AND((L15-C13)&lt;=0,(L15-C14)&lt;=0),0,IF(AND((L15-C13)&gt;=0,(L15-C14)&gt;=0),0.5*((L15-C13)+(L15-C14))*ABS(B14-B13),IF((L15-C13)&gt;0,0.5*(L15-C13)*ABS((B13+((L15-C13)/((L15-C13)-(L15-C14)))*(B14-B13))-B13),0.5*(L15-C14)*ABS(B14-(B13+((L15-C13)/((L15-C13)-(L15-C14)))*(B14-B13)))))))+(IF(AND((L15-C14)&lt;=0,(L15-C15)&lt;=0),0,IF(AND((L15-C14)&gt;=0,(L15-C15)&gt;=0),0.5*((L15-C14)+(L15-C15))*ABS(B15-B14),IF((L15-C14)&gt;0,0.5*(L15-C14)*ABS((B14+((L15-C14)/((L15-C14)-(L15-C15)))*(B15-B14))-B14),0.5*(L15-C15)*ABS(B15-(B14+((L15-C14)/((L15-C14)-(L15-C15)))*(B15-B14)))))))+(IF(AND((L15-C15)&lt;=0,(L15-C16)&lt;=0),0,IF(AND((L15-C15)&gt;=0,(L15-C16)&gt;=0),0.5*((L15-C15)+(L15-C16))*ABS(B16-B15),IF((L15-C15)&gt;0,0.5*(L15-C15)*ABS((B15+((L15-C15)/((L15-C15)-(L15-C16)))*(B16-B15))-B15),0.5*(L15-C16)*ABS(B16-(B15+((L15-C15)/((L15-C15)-(L15-C16)))*(B16-B15)))))))+(IF(AND((L15-C16)&lt;=0,(L15-C17)&lt;=0),0,IF(AND((L15-C16)&gt;=0,(L15-C17)&gt;=0),0.5*((L15-C16)+(L15-C17))*ABS(B17-B16),IF((L15-C16)&gt;0,0.5*(L15-C16)*ABS((B16+((L15-C16)/((L15-C16)-(L15-C17)))*(B17-B16))-B16),0.5*(L15-C17)*ABS(B17-(B16+((L15-C16)/((L15-C16)-(L15-C17)))*(B17-B16)))))))+(IF(AND((L15-C17)&lt;=0,(L15-C18)&lt;=0),0,IF(AND((L15-C17)&gt;=0,(L15-C18)&gt;=0),0.5*((L15-C17)+(L15-C18))*ABS(B18-B17),IF((L15-C17)&gt;0,0.5*(L15-C17)*ABS((B17+((L15-C17)/((L15-C17)-(L15-C18)))*(B18-B17))-B17),0.5*(L15-C18)*ABS(B18-(B17+((L15-C17)/((L15-C17)-(L15-C18)))*(B18-B17)))))))</f>
        <v/>
      </c>
      <c r="N15">
        <f>(IF(AND((L15-C9)&lt;=0,(L15-C10)&lt;=0),0,IF(AND((L15-C9)&gt;=0,(L15-C10)&gt;=0),SQRT((B10-B9)^2+(C10-C9)^2),IF((L15-C9)&gt;0,SQRT(((B9+((L15-C9)/((L15-C9)-(L15-C10)))*(B10-B9))-B9)^2+(L15-C9)^2),SQRT((B10-(B9+((L15-C9)/((L15-C9)-(L15-C10)))*(B10-B9)))^2+(L15-C10)^2)))))+(IF(AND((L15-C10)&lt;=0,(L15-C11)&lt;=0),0,IF(AND((L15-C10)&gt;=0,(L15-C11)&gt;=0),SQRT((B11-B10)^2+(C11-C10)^2),IF((L15-C10)&gt;0,SQRT(((B10+((L15-C10)/((L15-C10)-(L15-C11)))*(B11-B10))-B10)^2+(L15-C10)^2),SQRT((B11-(B10+((L15-C10)/((L15-C10)-(L15-C11)))*(B11-B10)))^2+(L15-C11)^2)))))+(IF(AND((L15-C11)&lt;=0,(L15-C12)&lt;=0),0,IF(AND((L15-C11)&gt;=0,(L15-C12)&gt;=0),SQRT((B12-B11)^2+(C12-C11)^2),IF((L15-C11)&gt;0,SQRT(((B11+((L15-C11)/((L15-C11)-(L15-C12)))*(B12-B11))-B11)^2+(L15-C11)^2),SQRT((B12-(B11+((L15-C11)/((L15-C11)-(L15-C12)))*(B12-B11)))^2+(L15-C12)^2)))))+(IF(AND((L15-C12)&lt;=0,(L15-C13)&lt;=0),0,IF(AND((L15-C12)&gt;=0,(L15-C13)&gt;=0),SQRT((B13-B12)^2+(C13-C12)^2),IF((L15-C12)&gt;0,SQRT(((B12+((L15-C12)/((L15-C12)-(L15-C13)))*(B13-B12))-B12)^2+(L15-C12)^2),SQRT((B13-(B12+((L15-C12)/((L15-C12)-(L15-C13)))*(B13-B12)))^2+(L15-C13)^2)))))+(IF(AND((L15-C13)&lt;=0,(L15-C14)&lt;=0),0,IF(AND((L15-C13)&gt;=0,(L15-C14)&gt;=0),SQRT((B14-B13)^2+(C14-C13)^2),IF((L15-C13)&gt;0,SQRT(((B13+((L15-C13)/((L15-C13)-(L15-C14)))*(B14-B13))-B13)^2+(L15-C13)^2),SQRT((B14-(B13+((L15-C13)/((L15-C13)-(L15-C14)))*(B14-B13)))^2+(L15-C14)^2)))))+(IF(AND((L15-C14)&lt;=0,(L15-C15)&lt;=0),0,IF(AND((L15-C14)&gt;=0,(L15-C15)&gt;=0),SQRT((B15-B14)^2+(C15-C14)^2),IF((L15-C14)&gt;0,SQRT(((B14+((L15-C14)/((L15-C14)-(L15-C15)))*(B15-B14))-B14)^2+(L15-C14)^2),SQRT((B15-(B14+((L15-C14)/((L15-C14)-(L15-C15)))*(B15-B14)))^2+(L15-C15)^2)))))+(IF(AND((L15-C15)&lt;=0,(L15-C16)&lt;=0),0,IF(AND((L15-C15)&gt;=0,(L15-C16)&gt;=0),SQRT((B16-B15)^2+(C16-C15)^2),IF((L15-C15)&gt;0,SQRT(((B15+((L15-C15)/((L15-C15)-(L15-C16)))*(B16-B15))-B15)^2+(L15-C15)^2),SQRT((B16-(B15+((L15-C15)/((L15-C15)-(L15-C16)))*(B16-B15)))^2+(L15-C16)^2)))))+(IF(AND((L15-C16)&lt;=0,(L15-C17)&lt;=0),0,IF(AND((L15-C16)&gt;=0,(L15-C17)&gt;=0),SQRT((B17-B16)^2+(C17-C16)^2),IF((L15-C16)&gt;0,SQRT(((B16+((L15-C16)/((L15-C16)-(L15-C17)))*(B17-B16))-B16)^2+(L15-C16)^2),SQRT((B17-(B16+((L15-C16)/((L15-C16)-(L15-C17)))*(B17-B16)))^2+(L15-C17)^2)))))+(IF(AND((L15-C17)&lt;=0,(L15-C18)&lt;=0),0,IF(AND((L15-C17)&gt;=0,(L15-C18)&gt;=0),SQRT((B18-B17)^2+(C18-C17)^2),IF((L15-C17)&gt;0,SQRT(((B17+((L15-C17)/((L15-C17)-(L15-C18)))*(B18-B17))-B17)^2+(L15-C17)^2),SQRT((B18-(B17+((L15-C17)/((L15-C17)-(L15-C18)))*(B18-B17)))^2+(L15-C18)^2)))))</f>
        <v/>
      </c>
      <c r="O15">
        <f>IF(OR($B$6&lt;=0,M15&lt;=0,N15&lt;=0,$B$4&lt;=0),0,(1/$B$6)*M15*((M15/N15)^(2/3))*SQRT($B$4))</f>
        <v/>
      </c>
    </row>
    <row r="16">
      <c r="A16" s="5" t="n">
        <v>8</v>
      </c>
      <c r="B16" s="5" t="n">
        <v>21.518</v>
      </c>
      <c r="C16" s="5" t="n">
        <v>36.43</v>
      </c>
      <c r="D16" s="5" t="inlineStr">
        <is>
          <t>TN</t>
        </is>
      </c>
      <c r="E16" s="5">
        <f>$B$2-C16</f>
        <v/>
      </c>
      <c r="F16" s="5">
        <f>IF(AND(($B$2-C16)&lt;=0,($B$2-C17)&lt;=0),0,IF(AND(($B$2-C16)&gt;=0,($B$2-C17)&gt;=0),0.5*(($B$2-C16)+($B$2-C17))*ABS(B17-B16),IF(($B$2-C16)&gt;0,0.5*($B$2-C16)*ABS((B16+(($B$2-C16)/(($B$2-C16)-($B$2-C17)))*(B17-B16))-B16),0.5*($B$2-C17)*ABS(B17-(B16+(($B$2-C16)/(($B$2-C16)-($B$2-C17)))*(B17-B16))))))</f>
        <v/>
      </c>
      <c r="G16" s="5">
        <f>IF(AND(($B$2-C16)&lt;=0,($B$2-C17)&lt;=0),0,IF(AND(($B$2-C16)&gt;=0,($B$2-C17)&gt;=0),SQRT((B17-B16)^2+(C17-C16)^2),IF(($B$2-C16)&gt;0,SQRT(((B16+(($B$2-C16)/(($B$2-C16)-($B$2-C17)))*(B17-B16))-B16)^2+($B$2-C16)^2),SQRT((B17-(B16+(($B$2-C16)/(($B$2-C16)-($B$2-C17)))*(B17-B16)))^2+($B$2-C17)^2))))</f>
        <v/>
      </c>
      <c r="I16" t="n">
        <v>8</v>
      </c>
      <c r="J16">
        <f>IF(O15&lt;$B$5,L15,J15)</f>
        <v/>
      </c>
      <c r="K16">
        <f>IF(O15&lt;$B$5,K15,L15)</f>
        <v/>
      </c>
      <c r="L16">
        <f>(J16+K16)/2</f>
        <v/>
      </c>
      <c r="M16">
        <f>(IF(AND((L16-C9)&lt;=0,(L16-C10)&lt;=0),0,IF(AND((L16-C9)&gt;=0,(L16-C10)&gt;=0),0.5*((L16-C9)+(L16-C10))*ABS(B10-B9),IF((L16-C9)&gt;0,0.5*(L16-C9)*ABS((B9+((L16-C9)/((L16-C9)-(L16-C10)))*(B10-B9))-B9),0.5*(L16-C10)*ABS(B10-(B9+((L16-C9)/((L16-C9)-(L16-C10)))*(B10-B9)))))))+(IF(AND((L16-C10)&lt;=0,(L16-C11)&lt;=0),0,IF(AND((L16-C10)&gt;=0,(L16-C11)&gt;=0),0.5*((L16-C10)+(L16-C11))*ABS(B11-B10),IF((L16-C10)&gt;0,0.5*(L16-C10)*ABS((B10+((L16-C10)/((L16-C10)-(L16-C11)))*(B11-B10))-B10),0.5*(L16-C11)*ABS(B11-(B10+((L16-C10)/((L16-C10)-(L16-C11)))*(B11-B10)))))))+(IF(AND((L16-C11)&lt;=0,(L16-C12)&lt;=0),0,IF(AND((L16-C11)&gt;=0,(L16-C12)&gt;=0),0.5*((L16-C11)+(L16-C12))*ABS(B12-B11),IF((L16-C11)&gt;0,0.5*(L16-C11)*ABS((B11+((L16-C11)/((L16-C11)-(L16-C12)))*(B12-B11))-B11),0.5*(L16-C12)*ABS(B12-(B11+((L16-C11)/((L16-C11)-(L16-C12)))*(B12-B11)))))))+(IF(AND((L16-C12)&lt;=0,(L16-C13)&lt;=0),0,IF(AND((L16-C12)&gt;=0,(L16-C13)&gt;=0),0.5*((L16-C12)+(L16-C13))*ABS(B13-B12),IF((L16-C12)&gt;0,0.5*(L16-C12)*ABS((B12+((L16-C12)/((L16-C12)-(L16-C13)))*(B13-B12))-B12),0.5*(L16-C13)*ABS(B13-(B12+((L16-C12)/((L16-C12)-(L16-C13)))*(B13-B12)))))))+(IF(AND((L16-C13)&lt;=0,(L16-C14)&lt;=0),0,IF(AND((L16-C13)&gt;=0,(L16-C14)&gt;=0),0.5*((L16-C13)+(L16-C14))*ABS(B14-B13),IF((L16-C13)&gt;0,0.5*(L16-C13)*ABS((B13+((L16-C13)/((L16-C13)-(L16-C14)))*(B14-B13))-B13),0.5*(L16-C14)*ABS(B14-(B13+((L16-C13)/((L16-C13)-(L16-C14)))*(B14-B13)))))))+(IF(AND((L16-C14)&lt;=0,(L16-C15)&lt;=0),0,IF(AND((L16-C14)&gt;=0,(L16-C15)&gt;=0),0.5*((L16-C14)+(L16-C15))*ABS(B15-B14),IF((L16-C14)&gt;0,0.5*(L16-C14)*ABS((B14+((L16-C14)/((L16-C14)-(L16-C15)))*(B15-B14))-B14),0.5*(L16-C15)*ABS(B15-(B14+((L16-C14)/((L16-C14)-(L16-C15)))*(B15-B14)))))))+(IF(AND((L16-C15)&lt;=0,(L16-C16)&lt;=0),0,IF(AND((L16-C15)&gt;=0,(L16-C16)&gt;=0),0.5*((L16-C15)+(L16-C16))*ABS(B16-B15),IF((L16-C15)&gt;0,0.5*(L16-C15)*ABS((B15+((L16-C15)/((L16-C15)-(L16-C16)))*(B16-B15))-B15),0.5*(L16-C16)*ABS(B16-(B15+((L16-C15)/((L16-C15)-(L16-C16)))*(B16-B15)))))))+(IF(AND((L16-C16)&lt;=0,(L16-C17)&lt;=0),0,IF(AND((L16-C16)&gt;=0,(L16-C17)&gt;=0),0.5*((L16-C16)+(L16-C17))*ABS(B17-B16),IF((L16-C16)&gt;0,0.5*(L16-C16)*ABS((B16+((L16-C16)/((L16-C16)-(L16-C17)))*(B17-B16))-B16),0.5*(L16-C17)*ABS(B17-(B16+((L16-C16)/((L16-C16)-(L16-C17)))*(B17-B16)))))))+(IF(AND((L16-C17)&lt;=0,(L16-C18)&lt;=0),0,IF(AND((L16-C17)&gt;=0,(L16-C18)&gt;=0),0.5*((L16-C17)+(L16-C18))*ABS(B18-B17),IF((L16-C17)&gt;0,0.5*(L16-C17)*ABS((B17+((L16-C17)/((L16-C17)-(L16-C18)))*(B18-B17))-B17),0.5*(L16-C18)*ABS(B18-(B17+((L16-C17)/((L16-C17)-(L16-C18)))*(B18-B17)))))))</f>
        <v/>
      </c>
      <c r="N16">
        <f>(IF(AND((L16-C9)&lt;=0,(L16-C10)&lt;=0),0,IF(AND((L16-C9)&gt;=0,(L16-C10)&gt;=0),SQRT((B10-B9)^2+(C10-C9)^2),IF((L16-C9)&gt;0,SQRT(((B9+((L16-C9)/((L16-C9)-(L16-C10)))*(B10-B9))-B9)^2+(L16-C9)^2),SQRT((B10-(B9+((L16-C9)/((L16-C9)-(L16-C10)))*(B10-B9)))^2+(L16-C10)^2)))))+(IF(AND((L16-C10)&lt;=0,(L16-C11)&lt;=0),0,IF(AND((L16-C10)&gt;=0,(L16-C11)&gt;=0),SQRT((B11-B10)^2+(C11-C10)^2),IF((L16-C10)&gt;0,SQRT(((B10+((L16-C10)/((L16-C10)-(L16-C11)))*(B11-B10))-B10)^2+(L16-C10)^2),SQRT((B11-(B10+((L16-C10)/((L16-C10)-(L16-C11)))*(B11-B10)))^2+(L16-C11)^2)))))+(IF(AND((L16-C11)&lt;=0,(L16-C12)&lt;=0),0,IF(AND((L16-C11)&gt;=0,(L16-C12)&gt;=0),SQRT((B12-B11)^2+(C12-C11)^2),IF((L16-C11)&gt;0,SQRT(((B11+((L16-C11)/((L16-C11)-(L16-C12)))*(B12-B11))-B11)^2+(L16-C11)^2),SQRT((B12-(B11+((L16-C11)/((L16-C11)-(L16-C12)))*(B12-B11)))^2+(L16-C12)^2)))))+(IF(AND((L16-C12)&lt;=0,(L16-C13)&lt;=0),0,IF(AND((L16-C12)&gt;=0,(L16-C13)&gt;=0),SQRT((B13-B12)^2+(C13-C12)^2),IF((L16-C12)&gt;0,SQRT(((B12+((L16-C12)/((L16-C12)-(L16-C13)))*(B13-B12))-B12)^2+(L16-C12)^2),SQRT((B13-(B12+((L16-C12)/((L16-C12)-(L16-C13)))*(B13-B12)))^2+(L16-C13)^2)))))+(IF(AND((L16-C13)&lt;=0,(L16-C14)&lt;=0),0,IF(AND((L16-C13)&gt;=0,(L16-C14)&gt;=0),SQRT((B14-B13)^2+(C14-C13)^2),IF((L16-C13)&gt;0,SQRT(((B13+((L16-C13)/((L16-C13)-(L16-C14)))*(B14-B13))-B13)^2+(L16-C13)^2),SQRT((B14-(B13+((L16-C13)/((L16-C13)-(L16-C14)))*(B14-B13)))^2+(L16-C14)^2)))))+(IF(AND((L16-C14)&lt;=0,(L16-C15)&lt;=0),0,IF(AND((L16-C14)&gt;=0,(L16-C15)&gt;=0),SQRT((B15-B14)^2+(C15-C14)^2),IF((L16-C14)&gt;0,SQRT(((B14+((L16-C14)/((L16-C14)-(L16-C15)))*(B15-B14))-B14)^2+(L16-C14)^2),SQRT((B15-(B14+((L16-C14)/((L16-C14)-(L16-C15)))*(B15-B14)))^2+(L16-C15)^2)))))+(IF(AND((L16-C15)&lt;=0,(L16-C16)&lt;=0),0,IF(AND((L16-C15)&gt;=0,(L16-C16)&gt;=0),SQRT((B16-B15)^2+(C16-C15)^2),IF((L16-C15)&gt;0,SQRT(((B15+((L16-C15)/((L16-C15)-(L16-C16)))*(B16-B15))-B15)^2+(L16-C15)^2),SQRT((B16-(B15+((L16-C15)/((L16-C15)-(L16-C16)))*(B16-B15)))^2+(L16-C16)^2)))))+(IF(AND((L16-C16)&lt;=0,(L16-C17)&lt;=0),0,IF(AND((L16-C16)&gt;=0,(L16-C17)&gt;=0),SQRT((B17-B16)^2+(C17-C16)^2),IF((L16-C16)&gt;0,SQRT(((B16+((L16-C16)/((L16-C16)-(L16-C17)))*(B17-B16))-B16)^2+(L16-C16)^2),SQRT((B17-(B16+((L16-C16)/((L16-C16)-(L16-C17)))*(B17-B16)))^2+(L16-C17)^2)))))+(IF(AND((L16-C17)&lt;=0,(L16-C18)&lt;=0),0,IF(AND((L16-C17)&gt;=0,(L16-C18)&gt;=0),SQRT((B18-B17)^2+(C18-C17)^2),IF((L16-C17)&gt;0,SQRT(((B17+((L16-C17)/((L16-C17)-(L16-C18)))*(B18-B17))-B17)^2+(L16-C17)^2),SQRT((B18-(B17+((L16-C17)/((L16-C17)-(L16-C18)))*(B18-B17)))^2+(L16-C18)^2)))))</f>
        <v/>
      </c>
      <c r="O16">
        <f>IF(OR($B$6&lt;=0,M16&lt;=0,N16&lt;=0,$B$4&lt;=0),0,(1/$B$6)*M16*((M16/N16)^(2/3))*SQRT($B$4))</f>
        <v/>
      </c>
    </row>
    <row r="17">
      <c r="A17" s="5" t="n">
        <v>9</v>
      </c>
      <c r="B17" s="5" t="n">
        <v>25.675</v>
      </c>
      <c r="C17" s="5" t="n">
        <v>36.64</v>
      </c>
      <c r="D17" s="5" t="inlineStr">
        <is>
          <t>TN</t>
        </is>
      </c>
      <c r="E17" s="5">
        <f>$B$2-C17</f>
        <v/>
      </c>
      <c r="F17" s="5">
        <f>IF(AND(($B$2-C17)&lt;=0,($B$2-C18)&lt;=0),0,IF(AND(($B$2-C17)&gt;=0,($B$2-C18)&gt;=0),0.5*(($B$2-C17)+($B$2-C18))*ABS(B18-B17),IF(($B$2-C17)&gt;0,0.5*($B$2-C17)*ABS((B17+(($B$2-C17)/(($B$2-C17)-($B$2-C18)))*(B18-B17))-B17),0.5*($B$2-C18)*ABS(B18-(B17+(($B$2-C17)/(($B$2-C17)-($B$2-C18)))*(B18-B17))))))</f>
        <v/>
      </c>
      <c r="G17" s="5">
        <f>IF(AND(($B$2-C17)&lt;=0,($B$2-C18)&lt;=0),0,IF(AND(($B$2-C17)&gt;=0,($B$2-C18)&gt;=0),SQRT((B18-B17)^2+(C18-C17)^2),IF(($B$2-C17)&gt;0,SQRT(((B17+(($B$2-C17)/(($B$2-C17)-($B$2-C18)))*(B18-B17))-B17)^2+($B$2-C17)^2),SQRT((B18-(B17+(($B$2-C17)/(($B$2-C17)-($B$2-C18)))*(B18-B17)))^2+($B$2-C18)^2))))</f>
        <v/>
      </c>
      <c r="I17" t="n">
        <v>9</v>
      </c>
      <c r="J17">
        <f>IF(O16&lt;$B$5,L16,J16)</f>
        <v/>
      </c>
      <c r="K17">
        <f>IF(O16&lt;$B$5,K16,L16)</f>
        <v/>
      </c>
      <c r="L17">
        <f>(J17+K17)/2</f>
        <v/>
      </c>
      <c r="M17">
        <f>(IF(AND((L17-C9)&lt;=0,(L17-C10)&lt;=0),0,IF(AND((L17-C9)&gt;=0,(L17-C10)&gt;=0),0.5*((L17-C9)+(L17-C10))*ABS(B10-B9),IF((L17-C9)&gt;0,0.5*(L17-C9)*ABS((B9+((L17-C9)/((L17-C9)-(L17-C10)))*(B10-B9))-B9),0.5*(L17-C10)*ABS(B10-(B9+((L17-C9)/((L17-C9)-(L17-C10)))*(B10-B9)))))))+(IF(AND((L17-C10)&lt;=0,(L17-C11)&lt;=0),0,IF(AND((L17-C10)&gt;=0,(L17-C11)&gt;=0),0.5*((L17-C10)+(L17-C11))*ABS(B11-B10),IF((L17-C10)&gt;0,0.5*(L17-C10)*ABS((B10+((L17-C10)/((L17-C10)-(L17-C11)))*(B11-B10))-B10),0.5*(L17-C11)*ABS(B11-(B10+((L17-C10)/((L17-C10)-(L17-C11)))*(B11-B10)))))))+(IF(AND((L17-C11)&lt;=0,(L17-C12)&lt;=0),0,IF(AND((L17-C11)&gt;=0,(L17-C12)&gt;=0),0.5*((L17-C11)+(L17-C12))*ABS(B12-B11),IF((L17-C11)&gt;0,0.5*(L17-C11)*ABS((B11+((L17-C11)/((L17-C11)-(L17-C12)))*(B12-B11))-B11),0.5*(L17-C12)*ABS(B12-(B11+((L17-C11)/((L17-C11)-(L17-C12)))*(B12-B11)))))))+(IF(AND((L17-C12)&lt;=0,(L17-C13)&lt;=0),0,IF(AND((L17-C12)&gt;=0,(L17-C13)&gt;=0),0.5*((L17-C12)+(L17-C13))*ABS(B13-B12),IF((L17-C12)&gt;0,0.5*(L17-C12)*ABS((B12+((L17-C12)/((L17-C12)-(L17-C13)))*(B13-B12))-B12),0.5*(L17-C13)*ABS(B13-(B12+((L17-C12)/((L17-C12)-(L17-C13)))*(B13-B12)))))))+(IF(AND((L17-C13)&lt;=0,(L17-C14)&lt;=0),0,IF(AND((L17-C13)&gt;=0,(L17-C14)&gt;=0),0.5*((L17-C13)+(L17-C14))*ABS(B14-B13),IF((L17-C13)&gt;0,0.5*(L17-C13)*ABS((B13+((L17-C13)/((L17-C13)-(L17-C14)))*(B14-B13))-B13),0.5*(L17-C14)*ABS(B14-(B13+((L17-C13)/((L17-C13)-(L17-C14)))*(B14-B13)))))))+(IF(AND((L17-C14)&lt;=0,(L17-C15)&lt;=0),0,IF(AND((L17-C14)&gt;=0,(L17-C15)&gt;=0),0.5*((L17-C14)+(L17-C15))*ABS(B15-B14),IF((L17-C14)&gt;0,0.5*(L17-C14)*ABS((B14+((L17-C14)/((L17-C14)-(L17-C15)))*(B15-B14))-B14),0.5*(L17-C15)*ABS(B15-(B14+((L17-C14)/((L17-C14)-(L17-C15)))*(B15-B14)))))))+(IF(AND((L17-C15)&lt;=0,(L17-C16)&lt;=0),0,IF(AND((L17-C15)&gt;=0,(L17-C16)&gt;=0),0.5*((L17-C15)+(L17-C16))*ABS(B16-B15),IF((L17-C15)&gt;0,0.5*(L17-C15)*ABS((B15+((L17-C15)/((L17-C15)-(L17-C16)))*(B16-B15))-B15),0.5*(L17-C16)*ABS(B16-(B15+((L17-C15)/((L17-C15)-(L17-C16)))*(B16-B15)))))))+(IF(AND((L17-C16)&lt;=0,(L17-C17)&lt;=0),0,IF(AND((L17-C16)&gt;=0,(L17-C17)&gt;=0),0.5*((L17-C16)+(L17-C17))*ABS(B17-B16),IF((L17-C16)&gt;0,0.5*(L17-C16)*ABS((B16+((L17-C16)/((L17-C16)-(L17-C17)))*(B17-B16))-B16),0.5*(L17-C17)*ABS(B17-(B16+((L17-C16)/((L17-C16)-(L17-C17)))*(B17-B16)))))))+(IF(AND((L17-C17)&lt;=0,(L17-C18)&lt;=0),0,IF(AND((L17-C17)&gt;=0,(L17-C18)&gt;=0),0.5*((L17-C17)+(L17-C18))*ABS(B18-B17),IF((L17-C17)&gt;0,0.5*(L17-C17)*ABS((B17+((L17-C17)/((L17-C17)-(L17-C18)))*(B18-B17))-B17),0.5*(L17-C18)*ABS(B18-(B17+((L17-C17)/((L17-C17)-(L17-C18)))*(B18-B17)))))))</f>
        <v/>
      </c>
      <c r="N17">
        <f>(IF(AND((L17-C9)&lt;=0,(L17-C10)&lt;=0),0,IF(AND((L17-C9)&gt;=0,(L17-C10)&gt;=0),SQRT((B10-B9)^2+(C10-C9)^2),IF((L17-C9)&gt;0,SQRT(((B9+((L17-C9)/((L17-C9)-(L17-C10)))*(B10-B9))-B9)^2+(L17-C9)^2),SQRT((B10-(B9+((L17-C9)/((L17-C9)-(L17-C10)))*(B10-B9)))^2+(L17-C10)^2)))))+(IF(AND((L17-C10)&lt;=0,(L17-C11)&lt;=0),0,IF(AND((L17-C10)&gt;=0,(L17-C11)&gt;=0),SQRT((B11-B10)^2+(C11-C10)^2),IF((L17-C10)&gt;0,SQRT(((B10+((L17-C10)/((L17-C10)-(L17-C11)))*(B11-B10))-B10)^2+(L17-C10)^2),SQRT((B11-(B10+((L17-C10)/((L17-C10)-(L17-C11)))*(B11-B10)))^2+(L17-C11)^2)))))+(IF(AND((L17-C11)&lt;=0,(L17-C12)&lt;=0),0,IF(AND((L17-C11)&gt;=0,(L17-C12)&gt;=0),SQRT((B12-B11)^2+(C12-C11)^2),IF((L17-C11)&gt;0,SQRT(((B11+((L17-C11)/((L17-C11)-(L17-C12)))*(B12-B11))-B11)^2+(L17-C11)^2),SQRT((B12-(B11+((L17-C11)/((L17-C11)-(L17-C12)))*(B12-B11)))^2+(L17-C12)^2)))))+(IF(AND((L17-C12)&lt;=0,(L17-C13)&lt;=0),0,IF(AND((L17-C12)&gt;=0,(L17-C13)&gt;=0),SQRT((B13-B12)^2+(C13-C12)^2),IF((L17-C12)&gt;0,SQRT(((B12+((L17-C12)/((L17-C12)-(L17-C13)))*(B13-B12))-B12)^2+(L17-C12)^2),SQRT((B13-(B12+((L17-C12)/((L17-C12)-(L17-C13)))*(B13-B12)))^2+(L17-C13)^2)))))+(IF(AND((L17-C13)&lt;=0,(L17-C14)&lt;=0),0,IF(AND((L17-C13)&gt;=0,(L17-C14)&gt;=0),SQRT((B14-B13)^2+(C14-C13)^2),IF((L17-C13)&gt;0,SQRT(((B13+((L17-C13)/((L17-C13)-(L17-C14)))*(B14-B13))-B13)^2+(L17-C13)^2),SQRT((B14-(B13+((L17-C13)/((L17-C13)-(L17-C14)))*(B14-B13)))^2+(L17-C14)^2)))))+(IF(AND((L17-C14)&lt;=0,(L17-C15)&lt;=0),0,IF(AND((L17-C14)&gt;=0,(L17-C15)&gt;=0),SQRT((B15-B14)^2+(C15-C14)^2),IF((L17-C14)&gt;0,SQRT(((B14+((L17-C14)/((L17-C14)-(L17-C15)))*(B15-B14))-B14)^2+(L17-C14)^2),SQRT((B15-(B14+((L17-C14)/((L17-C14)-(L17-C15)))*(B15-B14)))^2+(L17-C15)^2)))))+(IF(AND((L17-C15)&lt;=0,(L17-C16)&lt;=0),0,IF(AND((L17-C15)&gt;=0,(L17-C16)&gt;=0),SQRT((B16-B15)^2+(C16-C15)^2),IF((L17-C15)&gt;0,SQRT(((B15+((L17-C15)/((L17-C15)-(L17-C16)))*(B16-B15))-B15)^2+(L17-C15)^2),SQRT((B16-(B15+((L17-C15)/((L17-C15)-(L17-C16)))*(B16-B15)))^2+(L17-C16)^2)))))+(IF(AND((L17-C16)&lt;=0,(L17-C17)&lt;=0),0,IF(AND((L17-C16)&gt;=0,(L17-C17)&gt;=0),SQRT((B17-B16)^2+(C17-C16)^2),IF((L17-C16)&gt;0,SQRT(((B16+((L17-C16)/((L17-C16)-(L17-C17)))*(B17-B16))-B16)^2+(L17-C16)^2),SQRT((B17-(B16+((L17-C16)/((L17-C16)-(L17-C17)))*(B17-B16)))^2+(L17-C17)^2)))))+(IF(AND((L17-C17)&lt;=0,(L17-C18)&lt;=0),0,IF(AND((L17-C17)&gt;=0,(L17-C18)&gt;=0),SQRT((B18-B17)^2+(C18-C17)^2),IF((L17-C17)&gt;0,SQRT(((B17+((L17-C17)/((L17-C17)-(L17-C18)))*(B18-B17))-B17)^2+(L17-C17)^2),SQRT((B18-(B17+((L17-C17)/((L17-C17)-(L17-C18)))*(B18-B17)))^2+(L17-C18)^2)))))</f>
        <v/>
      </c>
      <c r="O17">
        <f>IF(OR($B$6&lt;=0,M17&lt;=0,N17&lt;=0,$B$4&lt;=0),0,(1/$B$6)*M17*((M17/N17)^(2/3))*SQRT($B$4))</f>
        <v/>
      </c>
    </row>
    <row r="18">
      <c r="A18" s="5" t="n">
        <v>10</v>
      </c>
      <c r="B18" s="5" t="n">
        <v>30.665</v>
      </c>
      <c r="C18" s="5" t="n">
        <v>39.69</v>
      </c>
      <c r="D18" s="5" t="inlineStr">
        <is>
          <t>BLOC</t>
        </is>
      </c>
      <c r="E18" s="5">
        <f>$B$2-C18</f>
        <v/>
      </c>
      <c r="F18" s="5" t="n"/>
      <c r="G18" s="5" t="n"/>
      <c r="I18" t="n">
        <v>10</v>
      </c>
      <c r="J18">
        <f>IF(O17&lt;$B$5,L17,J17)</f>
        <v/>
      </c>
      <c r="K18">
        <f>IF(O17&lt;$B$5,K17,L17)</f>
        <v/>
      </c>
      <c r="L18">
        <f>(J18+K18)/2</f>
        <v/>
      </c>
      <c r="M18">
        <f>(IF(AND((L18-C9)&lt;=0,(L18-C10)&lt;=0),0,IF(AND((L18-C9)&gt;=0,(L18-C10)&gt;=0),0.5*((L18-C9)+(L18-C10))*ABS(B10-B9),IF((L18-C9)&gt;0,0.5*(L18-C9)*ABS((B9+((L18-C9)/((L18-C9)-(L18-C10)))*(B10-B9))-B9),0.5*(L18-C10)*ABS(B10-(B9+((L18-C9)/((L18-C9)-(L18-C10)))*(B10-B9)))))))+(IF(AND((L18-C10)&lt;=0,(L18-C11)&lt;=0),0,IF(AND((L18-C10)&gt;=0,(L18-C11)&gt;=0),0.5*((L18-C10)+(L18-C11))*ABS(B11-B10),IF((L18-C10)&gt;0,0.5*(L18-C10)*ABS((B10+((L18-C10)/((L18-C10)-(L18-C11)))*(B11-B10))-B10),0.5*(L18-C11)*ABS(B11-(B10+((L18-C10)/((L18-C10)-(L18-C11)))*(B11-B10)))))))+(IF(AND((L18-C11)&lt;=0,(L18-C12)&lt;=0),0,IF(AND((L18-C11)&gt;=0,(L18-C12)&gt;=0),0.5*((L18-C11)+(L18-C12))*ABS(B12-B11),IF((L18-C11)&gt;0,0.5*(L18-C11)*ABS((B11+((L18-C11)/((L18-C11)-(L18-C12)))*(B12-B11))-B11),0.5*(L18-C12)*ABS(B12-(B11+((L18-C11)/((L18-C11)-(L18-C12)))*(B12-B11)))))))+(IF(AND((L18-C12)&lt;=0,(L18-C13)&lt;=0),0,IF(AND((L18-C12)&gt;=0,(L18-C13)&gt;=0),0.5*((L18-C12)+(L18-C13))*ABS(B13-B12),IF((L18-C12)&gt;0,0.5*(L18-C12)*ABS((B12+((L18-C12)/((L18-C12)-(L18-C13)))*(B13-B12))-B12),0.5*(L18-C13)*ABS(B13-(B12+((L18-C12)/((L18-C12)-(L18-C13)))*(B13-B12)))))))+(IF(AND((L18-C13)&lt;=0,(L18-C14)&lt;=0),0,IF(AND((L18-C13)&gt;=0,(L18-C14)&gt;=0),0.5*((L18-C13)+(L18-C14))*ABS(B14-B13),IF((L18-C13)&gt;0,0.5*(L18-C13)*ABS((B13+((L18-C13)/((L18-C13)-(L18-C14)))*(B14-B13))-B13),0.5*(L18-C14)*ABS(B14-(B13+((L18-C13)/((L18-C13)-(L18-C14)))*(B14-B13)))))))+(IF(AND((L18-C14)&lt;=0,(L18-C15)&lt;=0),0,IF(AND((L18-C14)&gt;=0,(L18-C15)&gt;=0),0.5*((L18-C14)+(L18-C15))*ABS(B15-B14),IF((L18-C14)&gt;0,0.5*(L18-C14)*ABS((B14+((L18-C14)/((L18-C14)-(L18-C15)))*(B15-B14))-B14),0.5*(L18-C15)*ABS(B15-(B14+((L18-C14)/((L18-C14)-(L18-C15)))*(B15-B14)))))))+(IF(AND((L18-C15)&lt;=0,(L18-C16)&lt;=0),0,IF(AND((L18-C15)&gt;=0,(L18-C16)&gt;=0),0.5*((L18-C15)+(L18-C16))*ABS(B16-B15),IF((L18-C15)&gt;0,0.5*(L18-C15)*ABS((B15+((L18-C15)/((L18-C15)-(L18-C16)))*(B16-B15))-B15),0.5*(L18-C16)*ABS(B16-(B15+((L18-C15)/((L18-C15)-(L18-C16)))*(B16-B15)))))))+(IF(AND((L18-C16)&lt;=0,(L18-C17)&lt;=0),0,IF(AND((L18-C16)&gt;=0,(L18-C17)&gt;=0),0.5*((L18-C16)+(L18-C17))*ABS(B17-B16),IF((L18-C16)&gt;0,0.5*(L18-C16)*ABS((B16+((L18-C16)/((L18-C16)-(L18-C17)))*(B17-B16))-B16),0.5*(L18-C17)*ABS(B17-(B16+((L18-C16)/((L18-C16)-(L18-C17)))*(B17-B16)))))))+(IF(AND((L18-C17)&lt;=0,(L18-C18)&lt;=0),0,IF(AND((L18-C17)&gt;=0,(L18-C18)&gt;=0),0.5*((L18-C17)+(L18-C18))*ABS(B18-B17),IF((L18-C17)&gt;0,0.5*(L18-C17)*ABS((B17+((L18-C17)/((L18-C17)-(L18-C18)))*(B18-B17))-B17),0.5*(L18-C18)*ABS(B18-(B17+((L18-C17)/((L18-C17)-(L18-C18)))*(B18-B17)))))))</f>
        <v/>
      </c>
      <c r="N18">
        <f>(IF(AND((L18-C9)&lt;=0,(L18-C10)&lt;=0),0,IF(AND((L18-C9)&gt;=0,(L18-C10)&gt;=0),SQRT((B10-B9)^2+(C10-C9)^2),IF((L18-C9)&gt;0,SQRT(((B9+((L18-C9)/((L18-C9)-(L18-C10)))*(B10-B9))-B9)^2+(L18-C9)^2),SQRT((B10-(B9+((L18-C9)/((L18-C9)-(L18-C10)))*(B10-B9)))^2+(L18-C10)^2)))))+(IF(AND((L18-C10)&lt;=0,(L18-C11)&lt;=0),0,IF(AND((L18-C10)&gt;=0,(L18-C11)&gt;=0),SQRT((B11-B10)^2+(C11-C10)^2),IF((L18-C10)&gt;0,SQRT(((B10+((L18-C10)/((L18-C10)-(L18-C11)))*(B11-B10))-B10)^2+(L18-C10)^2),SQRT((B11-(B10+((L18-C10)/((L18-C10)-(L18-C11)))*(B11-B10)))^2+(L18-C11)^2)))))+(IF(AND((L18-C11)&lt;=0,(L18-C12)&lt;=0),0,IF(AND((L18-C11)&gt;=0,(L18-C12)&gt;=0),SQRT((B12-B11)^2+(C12-C11)^2),IF((L18-C11)&gt;0,SQRT(((B11+((L18-C11)/((L18-C11)-(L18-C12)))*(B12-B11))-B11)^2+(L18-C11)^2),SQRT((B12-(B11+((L18-C11)/((L18-C11)-(L18-C12)))*(B12-B11)))^2+(L18-C12)^2)))))+(IF(AND((L18-C12)&lt;=0,(L18-C13)&lt;=0),0,IF(AND((L18-C12)&gt;=0,(L18-C13)&gt;=0),SQRT((B13-B12)^2+(C13-C12)^2),IF((L18-C12)&gt;0,SQRT(((B12+((L18-C12)/((L18-C12)-(L18-C13)))*(B13-B12))-B12)^2+(L18-C12)^2),SQRT((B13-(B12+((L18-C12)/((L18-C12)-(L18-C13)))*(B13-B12)))^2+(L18-C13)^2)))))+(IF(AND((L18-C13)&lt;=0,(L18-C14)&lt;=0),0,IF(AND((L18-C13)&gt;=0,(L18-C14)&gt;=0),SQRT((B14-B13)^2+(C14-C13)^2),IF((L18-C13)&gt;0,SQRT(((B13+((L18-C13)/((L18-C13)-(L18-C14)))*(B14-B13))-B13)^2+(L18-C13)^2),SQRT((B14-(B13+((L18-C13)/((L18-C13)-(L18-C14)))*(B14-B13)))^2+(L18-C14)^2)))))+(IF(AND((L18-C14)&lt;=0,(L18-C15)&lt;=0),0,IF(AND((L18-C14)&gt;=0,(L18-C15)&gt;=0),SQRT((B15-B14)^2+(C15-C14)^2),IF((L18-C14)&gt;0,SQRT(((B14+((L18-C14)/((L18-C14)-(L18-C15)))*(B15-B14))-B14)^2+(L18-C14)^2),SQRT((B15-(B14+((L18-C14)/((L18-C14)-(L18-C15)))*(B15-B14)))^2+(L18-C15)^2)))))+(IF(AND((L18-C15)&lt;=0,(L18-C16)&lt;=0),0,IF(AND((L18-C15)&gt;=0,(L18-C16)&gt;=0),SQRT((B16-B15)^2+(C16-C15)^2),IF((L18-C15)&gt;0,SQRT(((B15+((L18-C15)/((L18-C15)-(L18-C16)))*(B16-B15))-B15)^2+(L18-C15)^2),SQRT((B16-(B15+((L18-C15)/((L18-C15)-(L18-C16)))*(B16-B15)))^2+(L18-C16)^2)))))+(IF(AND((L18-C16)&lt;=0,(L18-C17)&lt;=0),0,IF(AND((L18-C16)&gt;=0,(L18-C17)&gt;=0),SQRT((B17-B16)^2+(C17-C16)^2),IF((L18-C16)&gt;0,SQRT(((B16+((L18-C16)/((L18-C16)-(L18-C17)))*(B17-B16))-B16)^2+(L18-C16)^2),SQRT((B17-(B16+((L18-C16)/((L18-C16)-(L18-C17)))*(B17-B16)))^2+(L18-C17)^2)))))+(IF(AND((L18-C17)&lt;=0,(L18-C18)&lt;=0),0,IF(AND((L18-C17)&gt;=0,(L18-C18)&gt;=0),SQRT((B18-B17)^2+(C18-C17)^2),IF((L18-C17)&gt;0,SQRT(((B17+((L18-C17)/((L18-C17)-(L18-C18)))*(B18-B17))-B17)^2+(L18-C17)^2),SQRT((B18-(B17+((L18-C17)/((L18-C17)-(L18-C18)))*(B18-B17)))^2+(L18-C18)^2)))))</f>
        <v/>
      </c>
      <c r="O18">
        <f>IF(OR($B$6&lt;=0,M18&lt;=0,N18&lt;=0,$B$4&lt;=0),0,(1/$B$6)*M18*((M18/N18)^(2/3))*SQRT($B$4))</f>
        <v/>
      </c>
    </row>
    <row r="19">
      <c r="G19" t="inlineStr">
        <is>
          <t>P = Σ Pi</t>
        </is>
      </c>
      <c r="I19" t="n">
        <v>11</v>
      </c>
      <c r="J19">
        <f>IF(O18&lt;$B$5,L18,J18)</f>
        <v/>
      </c>
      <c r="K19">
        <f>IF(O18&lt;$B$5,K18,L18)</f>
        <v/>
      </c>
      <c r="L19">
        <f>(J19+K19)/2</f>
        <v/>
      </c>
      <c r="M19">
        <f>(IF(AND((L19-C9)&lt;=0,(L19-C10)&lt;=0),0,IF(AND((L19-C9)&gt;=0,(L19-C10)&gt;=0),0.5*((L19-C9)+(L19-C10))*ABS(B10-B9),IF((L19-C9)&gt;0,0.5*(L19-C9)*ABS((B9+((L19-C9)/((L19-C9)-(L19-C10)))*(B10-B9))-B9),0.5*(L19-C10)*ABS(B10-(B9+((L19-C9)/((L19-C9)-(L19-C10)))*(B10-B9)))))))+(IF(AND((L19-C10)&lt;=0,(L19-C11)&lt;=0),0,IF(AND((L19-C10)&gt;=0,(L19-C11)&gt;=0),0.5*((L19-C10)+(L19-C11))*ABS(B11-B10),IF((L19-C10)&gt;0,0.5*(L19-C10)*ABS((B10+((L19-C10)/((L19-C10)-(L19-C11)))*(B11-B10))-B10),0.5*(L19-C11)*ABS(B11-(B10+((L19-C10)/((L19-C10)-(L19-C11)))*(B11-B10)))))))+(IF(AND((L19-C11)&lt;=0,(L19-C12)&lt;=0),0,IF(AND((L19-C11)&gt;=0,(L19-C12)&gt;=0),0.5*((L19-C11)+(L19-C12))*ABS(B12-B11),IF((L19-C11)&gt;0,0.5*(L19-C11)*ABS((B11+((L19-C11)/((L19-C11)-(L19-C12)))*(B12-B11))-B11),0.5*(L19-C12)*ABS(B12-(B11+((L19-C11)/((L19-C11)-(L19-C12)))*(B12-B11)))))))+(IF(AND((L19-C12)&lt;=0,(L19-C13)&lt;=0),0,IF(AND((L19-C12)&gt;=0,(L19-C13)&gt;=0),0.5*((L19-C12)+(L19-C13))*ABS(B13-B12),IF((L19-C12)&gt;0,0.5*(L19-C12)*ABS((B12+((L19-C12)/((L19-C12)-(L19-C13)))*(B13-B12))-B12),0.5*(L19-C13)*ABS(B13-(B12+((L19-C12)/((L19-C12)-(L19-C13)))*(B13-B12)))))))+(IF(AND((L19-C13)&lt;=0,(L19-C14)&lt;=0),0,IF(AND((L19-C13)&gt;=0,(L19-C14)&gt;=0),0.5*((L19-C13)+(L19-C14))*ABS(B14-B13),IF((L19-C13)&gt;0,0.5*(L19-C13)*ABS((B13+((L19-C13)/((L19-C13)-(L19-C14)))*(B14-B13))-B13),0.5*(L19-C14)*ABS(B14-(B13+((L19-C13)/((L19-C13)-(L19-C14)))*(B14-B13)))))))+(IF(AND((L19-C14)&lt;=0,(L19-C15)&lt;=0),0,IF(AND((L19-C14)&gt;=0,(L19-C15)&gt;=0),0.5*((L19-C14)+(L19-C15))*ABS(B15-B14),IF((L19-C14)&gt;0,0.5*(L19-C14)*ABS((B14+((L19-C14)/((L19-C14)-(L19-C15)))*(B15-B14))-B14),0.5*(L19-C15)*ABS(B15-(B14+((L19-C14)/((L19-C14)-(L19-C15)))*(B15-B14)))))))+(IF(AND((L19-C15)&lt;=0,(L19-C16)&lt;=0),0,IF(AND((L19-C15)&gt;=0,(L19-C16)&gt;=0),0.5*((L19-C15)+(L19-C16))*ABS(B16-B15),IF((L19-C15)&gt;0,0.5*(L19-C15)*ABS((B15+((L19-C15)/((L19-C15)-(L19-C16)))*(B16-B15))-B15),0.5*(L19-C16)*ABS(B16-(B15+((L19-C15)/((L19-C15)-(L19-C16)))*(B16-B15)))))))+(IF(AND((L19-C16)&lt;=0,(L19-C17)&lt;=0),0,IF(AND((L19-C16)&gt;=0,(L19-C17)&gt;=0),0.5*((L19-C16)+(L19-C17))*ABS(B17-B16),IF((L19-C16)&gt;0,0.5*(L19-C16)*ABS((B16+((L19-C16)/((L19-C16)-(L19-C17)))*(B17-B16))-B16),0.5*(L19-C17)*ABS(B17-(B16+((L19-C16)/((L19-C16)-(L19-C17)))*(B17-B16)))))))+(IF(AND((L19-C17)&lt;=0,(L19-C18)&lt;=0),0,IF(AND((L19-C17)&gt;=0,(L19-C18)&gt;=0),0.5*((L19-C17)+(L19-C18))*ABS(B18-B17),IF((L19-C17)&gt;0,0.5*(L19-C17)*ABS((B17+((L19-C17)/((L19-C17)-(L19-C18)))*(B18-B17))-B17),0.5*(L19-C18)*ABS(B18-(B17+((L19-C17)/((L19-C17)-(L19-C18)))*(B18-B17)))))))</f>
        <v/>
      </c>
      <c r="N19">
        <f>(IF(AND((L19-C9)&lt;=0,(L19-C10)&lt;=0),0,IF(AND((L19-C9)&gt;=0,(L19-C10)&gt;=0),SQRT((B10-B9)^2+(C10-C9)^2),IF((L19-C9)&gt;0,SQRT(((B9+((L19-C9)/((L19-C9)-(L19-C10)))*(B10-B9))-B9)^2+(L19-C9)^2),SQRT((B10-(B9+((L19-C9)/((L19-C9)-(L19-C10)))*(B10-B9)))^2+(L19-C10)^2)))))+(IF(AND((L19-C10)&lt;=0,(L19-C11)&lt;=0),0,IF(AND((L19-C10)&gt;=0,(L19-C11)&gt;=0),SQRT((B11-B10)^2+(C11-C10)^2),IF((L19-C10)&gt;0,SQRT(((B10+((L19-C10)/((L19-C10)-(L19-C11)))*(B11-B10))-B10)^2+(L19-C10)^2),SQRT((B11-(B10+((L19-C10)/((L19-C10)-(L19-C11)))*(B11-B10)))^2+(L19-C11)^2)))))+(IF(AND((L19-C11)&lt;=0,(L19-C12)&lt;=0),0,IF(AND((L19-C11)&gt;=0,(L19-C12)&gt;=0),SQRT((B12-B11)^2+(C12-C11)^2),IF((L19-C11)&gt;0,SQRT(((B11+((L19-C11)/((L19-C11)-(L19-C12)))*(B12-B11))-B11)^2+(L19-C11)^2),SQRT((B12-(B11+((L19-C11)/((L19-C11)-(L19-C12)))*(B12-B11)))^2+(L19-C12)^2)))))+(IF(AND((L19-C12)&lt;=0,(L19-C13)&lt;=0),0,IF(AND((L19-C12)&gt;=0,(L19-C13)&gt;=0),SQRT((B13-B12)^2+(C13-C12)^2),IF((L19-C12)&gt;0,SQRT(((B12+((L19-C12)/((L19-C12)-(L19-C13)))*(B13-B12))-B12)^2+(L19-C12)^2),SQRT((B13-(B12+((L19-C12)/((L19-C12)-(L19-C13)))*(B13-B12)))^2+(L19-C13)^2)))))+(IF(AND((L19-C13)&lt;=0,(L19-C14)&lt;=0),0,IF(AND((L19-C13)&gt;=0,(L19-C14)&gt;=0),SQRT((B14-B13)^2+(C14-C13)^2),IF((L19-C13)&gt;0,SQRT(((B13+((L19-C13)/((L19-C13)-(L19-C14)))*(B14-B13))-B13)^2+(L19-C13)^2),SQRT((B14-(B13+((L19-C13)/((L19-C13)-(L19-C14)))*(B14-B13)))^2+(L19-C14)^2)))))+(IF(AND((L19-C14)&lt;=0,(L19-C15)&lt;=0),0,IF(AND((L19-C14)&gt;=0,(L19-C15)&gt;=0),SQRT((B15-B14)^2+(C15-C14)^2),IF((L19-C14)&gt;0,SQRT(((B14+((L19-C14)/((L19-C14)-(L19-C15)))*(B15-B14))-B14)^2+(L19-C14)^2),SQRT((B15-(B14+((L19-C14)/((L19-C14)-(L19-C15)))*(B15-B14)))^2+(L19-C15)^2)))))+(IF(AND((L19-C15)&lt;=0,(L19-C16)&lt;=0),0,IF(AND((L19-C15)&gt;=0,(L19-C16)&gt;=0),SQRT((B16-B15)^2+(C16-C15)^2),IF((L19-C15)&gt;0,SQRT(((B15+((L19-C15)/((L19-C15)-(L19-C16)))*(B16-B15))-B15)^2+(L19-C15)^2),SQRT((B16-(B15+((L19-C15)/((L19-C15)-(L19-C16)))*(B16-B15)))^2+(L19-C16)^2)))))+(IF(AND((L19-C16)&lt;=0,(L19-C17)&lt;=0),0,IF(AND((L19-C16)&gt;=0,(L19-C17)&gt;=0),SQRT((B17-B16)^2+(C17-C16)^2),IF((L19-C16)&gt;0,SQRT(((B16+((L19-C16)/((L19-C16)-(L19-C17)))*(B17-B16))-B16)^2+(L19-C16)^2),SQRT((B17-(B16+((L19-C16)/((L19-C16)-(L19-C17)))*(B17-B16)))^2+(L19-C17)^2)))))+(IF(AND((L19-C17)&lt;=0,(L19-C18)&lt;=0),0,IF(AND((L19-C17)&gt;=0,(L19-C18)&gt;=0),SQRT((B18-B17)^2+(C18-C17)^2),IF((L19-C17)&gt;0,SQRT(((B17+((L19-C17)/((L19-C17)-(L19-C18)))*(B18-B17))-B17)^2+(L19-C17)^2),SQRT((B18-(B17+((L19-C17)/((L19-C17)-(L19-C18)))*(B18-B17)))^2+(L19-C18)^2)))))</f>
        <v/>
      </c>
      <c r="O19">
        <f>IF(OR($B$6&lt;=0,M19&lt;=0,N19&lt;=0,$B$4&lt;=0),0,(1/$B$6)*M19*((M19/N19)^(2/3))*SQRT($B$4))</f>
        <v/>
      </c>
    </row>
    <row r="20">
      <c r="A20" s="10" t="inlineStr">
        <is>
          <t>Totaux</t>
        </is>
      </c>
      <c r="E20" t="inlineStr">
        <is>
          <t>A = Σ Ai</t>
        </is>
      </c>
      <c r="F20" s="17">
        <f>SUM(F9:F17)</f>
        <v/>
      </c>
      <c r="G20" s="17">
        <f>SUM(G9:G17)</f>
        <v/>
      </c>
      <c r="I20" t="n">
        <v>12</v>
      </c>
      <c r="J20">
        <f>IF(O19&lt;$B$5,L19,J19)</f>
        <v/>
      </c>
      <c r="K20">
        <f>IF(O19&lt;$B$5,K19,L19)</f>
        <v/>
      </c>
      <c r="L20">
        <f>(J20+K20)/2</f>
        <v/>
      </c>
      <c r="M20">
        <f>(IF(AND((L20-C9)&lt;=0,(L20-C10)&lt;=0),0,IF(AND((L20-C9)&gt;=0,(L20-C10)&gt;=0),0.5*((L20-C9)+(L20-C10))*ABS(B10-B9),IF((L20-C9)&gt;0,0.5*(L20-C9)*ABS((B9+((L20-C9)/((L20-C9)-(L20-C10)))*(B10-B9))-B9),0.5*(L20-C10)*ABS(B10-(B9+((L20-C9)/((L20-C9)-(L20-C10)))*(B10-B9)))))))+(IF(AND((L20-C10)&lt;=0,(L20-C11)&lt;=0),0,IF(AND((L20-C10)&gt;=0,(L20-C11)&gt;=0),0.5*((L20-C10)+(L20-C11))*ABS(B11-B10),IF((L20-C10)&gt;0,0.5*(L20-C10)*ABS((B10+((L20-C10)/((L20-C10)-(L20-C11)))*(B11-B10))-B10),0.5*(L20-C11)*ABS(B11-(B10+((L20-C10)/((L20-C10)-(L20-C11)))*(B11-B10)))))))+(IF(AND((L20-C11)&lt;=0,(L20-C12)&lt;=0),0,IF(AND((L20-C11)&gt;=0,(L20-C12)&gt;=0),0.5*((L20-C11)+(L20-C12))*ABS(B12-B11),IF((L20-C11)&gt;0,0.5*(L20-C11)*ABS((B11+((L20-C11)/((L20-C11)-(L20-C12)))*(B12-B11))-B11),0.5*(L20-C12)*ABS(B12-(B11+((L20-C11)/((L20-C11)-(L20-C12)))*(B12-B11)))))))+(IF(AND((L20-C12)&lt;=0,(L20-C13)&lt;=0),0,IF(AND((L20-C12)&gt;=0,(L20-C13)&gt;=0),0.5*((L20-C12)+(L20-C13))*ABS(B13-B12),IF((L20-C12)&gt;0,0.5*(L20-C12)*ABS((B12+((L20-C12)/((L20-C12)-(L20-C13)))*(B13-B12))-B12),0.5*(L20-C13)*ABS(B13-(B12+((L20-C12)/((L20-C12)-(L20-C13)))*(B13-B12)))))))+(IF(AND((L20-C13)&lt;=0,(L20-C14)&lt;=0),0,IF(AND((L20-C13)&gt;=0,(L20-C14)&gt;=0),0.5*((L20-C13)+(L20-C14))*ABS(B14-B13),IF((L20-C13)&gt;0,0.5*(L20-C13)*ABS((B13+((L20-C13)/((L20-C13)-(L20-C14)))*(B14-B13))-B13),0.5*(L20-C14)*ABS(B14-(B13+((L20-C13)/((L20-C13)-(L20-C14)))*(B14-B13)))))))+(IF(AND((L20-C14)&lt;=0,(L20-C15)&lt;=0),0,IF(AND((L20-C14)&gt;=0,(L20-C15)&gt;=0),0.5*((L20-C14)+(L20-C15))*ABS(B15-B14),IF((L20-C14)&gt;0,0.5*(L20-C14)*ABS((B14+((L20-C14)/((L20-C14)-(L20-C15)))*(B15-B14))-B14),0.5*(L20-C15)*ABS(B15-(B14+((L20-C14)/((L20-C14)-(L20-C15)))*(B15-B14)))))))+(IF(AND((L20-C15)&lt;=0,(L20-C16)&lt;=0),0,IF(AND((L20-C15)&gt;=0,(L20-C16)&gt;=0),0.5*((L20-C15)+(L20-C16))*ABS(B16-B15),IF((L20-C15)&gt;0,0.5*(L20-C15)*ABS((B15+((L20-C15)/((L20-C15)-(L20-C16)))*(B16-B15))-B15),0.5*(L20-C16)*ABS(B16-(B15+((L20-C15)/((L20-C15)-(L20-C16)))*(B16-B15)))))))+(IF(AND((L20-C16)&lt;=0,(L20-C17)&lt;=0),0,IF(AND((L20-C16)&gt;=0,(L20-C17)&gt;=0),0.5*((L20-C16)+(L20-C17))*ABS(B17-B16),IF((L20-C16)&gt;0,0.5*(L20-C16)*ABS((B16+((L20-C16)/((L20-C16)-(L20-C17)))*(B17-B16))-B16),0.5*(L20-C17)*ABS(B17-(B16+((L20-C16)/((L20-C16)-(L20-C17)))*(B17-B16)))))))+(IF(AND((L20-C17)&lt;=0,(L20-C18)&lt;=0),0,IF(AND((L20-C17)&gt;=0,(L20-C18)&gt;=0),0.5*((L20-C17)+(L20-C18))*ABS(B18-B17),IF((L20-C17)&gt;0,0.5*(L20-C17)*ABS((B17+((L20-C17)/((L20-C17)-(L20-C18)))*(B18-B17))-B17),0.5*(L20-C18)*ABS(B18-(B17+((L20-C17)/((L20-C17)-(L20-C18)))*(B18-B17)))))))</f>
        <v/>
      </c>
      <c r="N20">
        <f>(IF(AND((L20-C9)&lt;=0,(L20-C10)&lt;=0),0,IF(AND((L20-C9)&gt;=0,(L20-C10)&gt;=0),SQRT((B10-B9)^2+(C10-C9)^2),IF((L20-C9)&gt;0,SQRT(((B9+((L20-C9)/((L20-C9)-(L20-C10)))*(B10-B9))-B9)^2+(L20-C9)^2),SQRT((B10-(B9+((L20-C9)/((L20-C9)-(L20-C10)))*(B10-B9)))^2+(L20-C10)^2)))))+(IF(AND((L20-C10)&lt;=0,(L20-C11)&lt;=0),0,IF(AND((L20-C10)&gt;=0,(L20-C11)&gt;=0),SQRT((B11-B10)^2+(C11-C10)^2),IF((L20-C10)&gt;0,SQRT(((B10+((L20-C10)/((L20-C10)-(L20-C11)))*(B11-B10))-B10)^2+(L20-C10)^2),SQRT((B11-(B10+((L20-C10)/((L20-C10)-(L20-C11)))*(B11-B10)))^2+(L20-C11)^2)))))+(IF(AND((L20-C11)&lt;=0,(L20-C12)&lt;=0),0,IF(AND((L20-C11)&gt;=0,(L20-C12)&gt;=0),SQRT((B12-B11)^2+(C12-C11)^2),IF((L20-C11)&gt;0,SQRT(((B11+((L20-C11)/((L20-C11)-(L20-C12)))*(B12-B11))-B11)^2+(L20-C11)^2),SQRT((B12-(B11+((L20-C11)/((L20-C11)-(L20-C12)))*(B12-B11)))^2+(L20-C12)^2)))))+(IF(AND((L20-C12)&lt;=0,(L20-C13)&lt;=0),0,IF(AND((L20-C12)&gt;=0,(L20-C13)&gt;=0),SQRT((B13-B12)^2+(C13-C12)^2),IF((L20-C12)&gt;0,SQRT(((B12+((L20-C12)/((L20-C12)-(L20-C13)))*(B13-B12))-B12)^2+(L20-C12)^2),SQRT((B13-(B12+((L20-C12)/((L20-C12)-(L20-C13)))*(B13-B12)))^2+(L20-C13)^2)))))+(IF(AND((L20-C13)&lt;=0,(L20-C14)&lt;=0),0,IF(AND((L20-C13)&gt;=0,(L20-C14)&gt;=0),SQRT((B14-B13)^2+(C14-C13)^2),IF((L20-C13)&gt;0,SQRT(((B13+((L20-C13)/((L20-C13)-(L20-C14)))*(B14-B13))-B13)^2+(L20-C13)^2),SQRT((B14-(B13+((L20-C13)/((L20-C13)-(L20-C14)))*(B14-B13)))^2+(L20-C14)^2)))))+(IF(AND((L20-C14)&lt;=0,(L20-C15)&lt;=0),0,IF(AND((L20-C14)&gt;=0,(L20-C15)&gt;=0),SQRT((B15-B14)^2+(C15-C14)^2),IF((L20-C14)&gt;0,SQRT(((B14+((L20-C14)/((L20-C14)-(L20-C15)))*(B15-B14))-B14)^2+(L20-C14)^2),SQRT((B15-(B14+((L20-C14)/((L20-C14)-(L20-C15)))*(B15-B14)))^2+(L20-C15)^2)))))+(IF(AND((L20-C15)&lt;=0,(L20-C16)&lt;=0),0,IF(AND((L20-C15)&gt;=0,(L20-C16)&gt;=0),SQRT((B16-B15)^2+(C16-C15)^2),IF((L20-C15)&gt;0,SQRT(((B15+((L20-C15)/((L20-C15)-(L20-C16)))*(B16-B15))-B15)^2+(L20-C15)^2),SQRT((B16-(B15+((L20-C15)/((L20-C15)-(L20-C16)))*(B16-B15)))^2+(L20-C16)^2)))))+(IF(AND((L20-C16)&lt;=0,(L20-C17)&lt;=0),0,IF(AND((L20-C16)&gt;=0,(L20-C17)&gt;=0),SQRT((B17-B16)^2+(C17-C16)^2),IF((L20-C16)&gt;0,SQRT(((B16+((L20-C16)/((L20-C16)-(L20-C17)))*(B17-B16))-B16)^2+(L20-C16)^2),SQRT((B17-(B16+((L20-C16)/((L20-C16)-(L20-C17)))*(B17-B16)))^2+(L20-C17)^2)))))+(IF(AND((L20-C17)&lt;=0,(L20-C18)&lt;=0),0,IF(AND((L20-C17)&gt;=0,(L20-C18)&gt;=0),SQRT((B18-B17)^2+(C18-C17)^2),IF((L20-C17)&gt;0,SQRT(((B17+((L20-C17)/((L20-C17)-(L20-C18)))*(B18-B17))-B17)^2+(L20-C17)^2),SQRT((B18-(B17+((L20-C17)/((L20-C17)-(L20-C18)))*(B18-B17)))^2+(L20-C18)^2)))))</f>
        <v/>
      </c>
      <c r="O20">
        <f>IF(OR($B$6&lt;=0,M20&lt;=0,N20&lt;=0,$B$4&lt;=0),0,(1/$B$6)*M20*((M20/N20)^(2/3))*SQRT($B$4))</f>
        <v/>
      </c>
    </row>
    <row r="21">
      <c r="I21" t="n">
        <v>13</v>
      </c>
      <c r="J21">
        <f>IF(O20&lt;$B$5,L20,J20)</f>
        <v/>
      </c>
      <c r="K21">
        <f>IF(O20&lt;$B$5,K20,L20)</f>
        <v/>
      </c>
      <c r="L21">
        <f>(J21+K21)/2</f>
        <v/>
      </c>
      <c r="M21">
        <f>(IF(AND((L21-C9)&lt;=0,(L21-C10)&lt;=0),0,IF(AND((L21-C9)&gt;=0,(L21-C10)&gt;=0),0.5*((L21-C9)+(L21-C10))*ABS(B10-B9),IF((L21-C9)&gt;0,0.5*(L21-C9)*ABS((B9+((L21-C9)/((L21-C9)-(L21-C10)))*(B10-B9))-B9),0.5*(L21-C10)*ABS(B10-(B9+((L21-C9)/((L21-C9)-(L21-C10)))*(B10-B9)))))))+(IF(AND((L21-C10)&lt;=0,(L21-C11)&lt;=0),0,IF(AND((L21-C10)&gt;=0,(L21-C11)&gt;=0),0.5*((L21-C10)+(L21-C11))*ABS(B11-B10),IF((L21-C10)&gt;0,0.5*(L21-C10)*ABS((B10+((L21-C10)/((L21-C10)-(L21-C11)))*(B11-B10))-B10),0.5*(L21-C11)*ABS(B11-(B10+((L21-C10)/((L21-C10)-(L21-C11)))*(B11-B10)))))))+(IF(AND((L21-C11)&lt;=0,(L21-C12)&lt;=0),0,IF(AND((L21-C11)&gt;=0,(L21-C12)&gt;=0),0.5*((L21-C11)+(L21-C12))*ABS(B12-B11),IF((L21-C11)&gt;0,0.5*(L21-C11)*ABS((B11+((L21-C11)/((L21-C11)-(L21-C12)))*(B12-B11))-B11),0.5*(L21-C12)*ABS(B12-(B11+((L21-C11)/((L21-C11)-(L21-C12)))*(B12-B11)))))))+(IF(AND((L21-C12)&lt;=0,(L21-C13)&lt;=0),0,IF(AND((L21-C12)&gt;=0,(L21-C13)&gt;=0),0.5*((L21-C12)+(L21-C13))*ABS(B13-B12),IF((L21-C12)&gt;0,0.5*(L21-C12)*ABS((B12+((L21-C12)/((L21-C12)-(L21-C13)))*(B13-B12))-B12),0.5*(L21-C13)*ABS(B13-(B12+((L21-C12)/((L21-C12)-(L21-C13)))*(B13-B12)))))))+(IF(AND((L21-C13)&lt;=0,(L21-C14)&lt;=0),0,IF(AND((L21-C13)&gt;=0,(L21-C14)&gt;=0),0.5*((L21-C13)+(L21-C14))*ABS(B14-B13),IF((L21-C13)&gt;0,0.5*(L21-C13)*ABS((B13+((L21-C13)/((L21-C13)-(L21-C14)))*(B14-B13))-B13),0.5*(L21-C14)*ABS(B14-(B13+((L21-C13)/((L21-C13)-(L21-C14)))*(B14-B13)))))))+(IF(AND((L21-C14)&lt;=0,(L21-C15)&lt;=0),0,IF(AND((L21-C14)&gt;=0,(L21-C15)&gt;=0),0.5*((L21-C14)+(L21-C15))*ABS(B15-B14),IF((L21-C14)&gt;0,0.5*(L21-C14)*ABS((B14+((L21-C14)/((L21-C14)-(L21-C15)))*(B15-B14))-B14),0.5*(L21-C15)*ABS(B15-(B14+((L21-C14)/((L21-C14)-(L21-C15)))*(B15-B14)))))))+(IF(AND((L21-C15)&lt;=0,(L21-C16)&lt;=0),0,IF(AND((L21-C15)&gt;=0,(L21-C16)&gt;=0),0.5*((L21-C15)+(L21-C16))*ABS(B16-B15),IF((L21-C15)&gt;0,0.5*(L21-C15)*ABS((B15+((L21-C15)/((L21-C15)-(L21-C16)))*(B16-B15))-B15),0.5*(L21-C16)*ABS(B16-(B15+((L21-C15)/((L21-C15)-(L21-C16)))*(B16-B15)))))))+(IF(AND((L21-C16)&lt;=0,(L21-C17)&lt;=0),0,IF(AND((L21-C16)&gt;=0,(L21-C17)&gt;=0),0.5*((L21-C16)+(L21-C17))*ABS(B17-B16),IF((L21-C16)&gt;0,0.5*(L21-C16)*ABS((B16+((L21-C16)/((L21-C16)-(L21-C17)))*(B17-B16))-B16),0.5*(L21-C17)*ABS(B17-(B16+((L21-C16)/((L21-C16)-(L21-C17)))*(B17-B16)))))))+(IF(AND((L21-C17)&lt;=0,(L21-C18)&lt;=0),0,IF(AND((L21-C17)&gt;=0,(L21-C18)&gt;=0),0.5*((L21-C17)+(L21-C18))*ABS(B18-B17),IF((L21-C17)&gt;0,0.5*(L21-C17)*ABS((B17+((L21-C17)/((L21-C17)-(L21-C18)))*(B18-B17))-B17),0.5*(L21-C18)*ABS(B18-(B17+((L21-C17)/((L21-C17)-(L21-C18)))*(B18-B17)))))))</f>
        <v/>
      </c>
      <c r="N21">
        <f>(IF(AND((L21-C9)&lt;=0,(L21-C10)&lt;=0),0,IF(AND((L21-C9)&gt;=0,(L21-C10)&gt;=0),SQRT((B10-B9)^2+(C10-C9)^2),IF((L21-C9)&gt;0,SQRT(((B9+((L21-C9)/((L21-C9)-(L21-C10)))*(B10-B9))-B9)^2+(L21-C9)^2),SQRT((B10-(B9+((L21-C9)/((L21-C9)-(L21-C10)))*(B10-B9)))^2+(L21-C10)^2)))))+(IF(AND((L21-C10)&lt;=0,(L21-C11)&lt;=0),0,IF(AND((L21-C10)&gt;=0,(L21-C11)&gt;=0),SQRT((B11-B10)^2+(C11-C10)^2),IF((L21-C10)&gt;0,SQRT(((B10+((L21-C10)/((L21-C10)-(L21-C11)))*(B11-B10))-B10)^2+(L21-C10)^2),SQRT((B11-(B10+((L21-C10)/((L21-C10)-(L21-C11)))*(B11-B10)))^2+(L21-C11)^2)))))+(IF(AND((L21-C11)&lt;=0,(L21-C12)&lt;=0),0,IF(AND((L21-C11)&gt;=0,(L21-C12)&gt;=0),SQRT((B12-B11)^2+(C12-C11)^2),IF((L21-C11)&gt;0,SQRT(((B11+((L21-C11)/((L21-C11)-(L21-C12)))*(B12-B11))-B11)^2+(L21-C11)^2),SQRT((B12-(B11+((L21-C11)/((L21-C11)-(L21-C12)))*(B12-B11)))^2+(L21-C12)^2)))))+(IF(AND((L21-C12)&lt;=0,(L21-C13)&lt;=0),0,IF(AND((L21-C12)&gt;=0,(L21-C13)&gt;=0),SQRT((B13-B12)^2+(C13-C12)^2),IF((L21-C12)&gt;0,SQRT(((B12+((L21-C12)/((L21-C12)-(L21-C13)))*(B13-B12))-B12)^2+(L21-C12)^2),SQRT((B13-(B12+((L21-C12)/((L21-C12)-(L21-C13)))*(B13-B12)))^2+(L21-C13)^2)))))+(IF(AND((L21-C13)&lt;=0,(L21-C14)&lt;=0),0,IF(AND((L21-C13)&gt;=0,(L21-C14)&gt;=0),SQRT((B14-B13)^2+(C14-C13)^2),IF((L21-C13)&gt;0,SQRT(((B13+((L21-C13)/((L21-C13)-(L21-C14)))*(B14-B13))-B13)^2+(L21-C13)^2),SQRT((B14-(B13+((L21-C13)/((L21-C13)-(L21-C14)))*(B14-B13)))^2+(L21-C14)^2)))))+(IF(AND((L21-C14)&lt;=0,(L21-C15)&lt;=0),0,IF(AND((L21-C14)&gt;=0,(L21-C15)&gt;=0),SQRT((B15-B14)^2+(C15-C14)^2),IF((L21-C14)&gt;0,SQRT(((B14+((L21-C14)/((L21-C14)-(L21-C15)))*(B15-B14))-B14)^2+(L21-C14)^2),SQRT((B15-(B14+((L21-C14)/((L21-C14)-(L21-C15)))*(B15-B14)))^2+(L21-C15)^2)))))+(IF(AND((L21-C15)&lt;=0,(L21-C16)&lt;=0),0,IF(AND((L21-C15)&gt;=0,(L21-C16)&gt;=0),SQRT((B16-B15)^2+(C16-C15)^2),IF((L21-C15)&gt;0,SQRT(((B15+((L21-C15)/((L21-C15)-(L21-C16)))*(B16-B15))-B15)^2+(L21-C15)^2),SQRT((B16-(B15+((L21-C15)/((L21-C15)-(L21-C16)))*(B16-B15)))^2+(L21-C16)^2)))))+(IF(AND((L21-C16)&lt;=0,(L21-C17)&lt;=0),0,IF(AND((L21-C16)&gt;=0,(L21-C17)&gt;=0),SQRT((B17-B16)^2+(C17-C16)^2),IF((L21-C16)&gt;0,SQRT(((B16+((L21-C16)/((L21-C16)-(L21-C17)))*(B17-B16))-B16)^2+(L21-C16)^2),SQRT((B17-(B16+((L21-C16)/((L21-C16)-(L21-C17)))*(B17-B16)))^2+(L21-C17)^2)))))+(IF(AND((L21-C17)&lt;=0,(L21-C18)&lt;=0),0,IF(AND((L21-C17)&gt;=0,(L21-C18)&gt;=0),SQRT((B18-B17)^2+(C18-C17)^2),IF((L21-C17)&gt;0,SQRT(((B17+((L21-C17)/((L21-C17)-(L21-C18)))*(B18-B17))-B17)^2+(L21-C17)^2),SQRT((B18-(B17+((L21-C17)/((L21-C17)-(L21-C18)))*(B18-B17)))^2+(L21-C18)^2)))))</f>
        <v/>
      </c>
      <c r="O21">
        <f>IF(OR($B$6&lt;=0,M21&lt;=0,N21&lt;=0,$B$4&lt;=0),0,(1/$B$6)*M21*((M21/N21)^(2/3))*SQRT($B$4))</f>
        <v/>
      </c>
    </row>
    <row r="22">
      <c r="A22" t="inlineStr">
        <is>
          <t>Fond min (m)</t>
        </is>
      </c>
      <c r="B22">
        <f>MIN(C9:C18)</f>
        <v/>
      </c>
      <c r="I22" t="n">
        <v>14</v>
      </c>
      <c r="J22">
        <f>IF(O21&lt;$B$5,L21,J21)</f>
        <v/>
      </c>
      <c r="K22">
        <f>IF(O21&lt;$B$5,K21,L21)</f>
        <v/>
      </c>
      <c r="L22">
        <f>(J22+K22)/2</f>
        <v/>
      </c>
      <c r="M22">
        <f>(IF(AND((L22-C9)&lt;=0,(L22-C10)&lt;=0),0,IF(AND((L22-C9)&gt;=0,(L22-C10)&gt;=0),0.5*((L22-C9)+(L22-C10))*ABS(B10-B9),IF((L22-C9)&gt;0,0.5*(L22-C9)*ABS((B9+((L22-C9)/((L22-C9)-(L22-C10)))*(B10-B9))-B9),0.5*(L22-C10)*ABS(B10-(B9+((L22-C9)/((L22-C9)-(L22-C10)))*(B10-B9)))))))+(IF(AND((L22-C10)&lt;=0,(L22-C11)&lt;=0),0,IF(AND((L22-C10)&gt;=0,(L22-C11)&gt;=0),0.5*((L22-C10)+(L22-C11))*ABS(B11-B10),IF((L22-C10)&gt;0,0.5*(L22-C10)*ABS((B10+((L22-C10)/((L22-C10)-(L22-C11)))*(B11-B10))-B10),0.5*(L22-C11)*ABS(B11-(B10+((L22-C10)/((L22-C10)-(L22-C11)))*(B11-B10)))))))+(IF(AND((L22-C11)&lt;=0,(L22-C12)&lt;=0),0,IF(AND((L22-C11)&gt;=0,(L22-C12)&gt;=0),0.5*((L22-C11)+(L22-C12))*ABS(B12-B11),IF((L22-C11)&gt;0,0.5*(L22-C11)*ABS((B11+((L22-C11)/((L22-C11)-(L22-C12)))*(B12-B11))-B11),0.5*(L22-C12)*ABS(B12-(B11+((L22-C11)/((L22-C11)-(L22-C12)))*(B12-B11)))))))+(IF(AND((L22-C12)&lt;=0,(L22-C13)&lt;=0),0,IF(AND((L22-C12)&gt;=0,(L22-C13)&gt;=0),0.5*((L22-C12)+(L22-C13))*ABS(B13-B12),IF((L22-C12)&gt;0,0.5*(L22-C12)*ABS((B12+((L22-C12)/((L22-C12)-(L22-C13)))*(B13-B12))-B12),0.5*(L22-C13)*ABS(B13-(B12+((L22-C12)/((L22-C12)-(L22-C13)))*(B13-B12)))))))+(IF(AND((L22-C13)&lt;=0,(L22-C14)&lt;=0),0,IF(AND((L22-C13)&gt;=0,(L22-C14)&gt;=0),0.5*((L22-C13)+(L22-C14))*ABS(B14-B13),IF((L22-C13)&gt;0,0.5*(L22-C13)*ABS((B13+((L22-C13)/((L22-C13)-(L22-C14)))*(B14-B13))-B13),0.5*(L22-C14)*ABS(B14-(B13+((L22-C13)/((L22-C13)-(L22-C14)))*(B14-B13)))))))+(IF(AND((L22-C14)&lt;=0,(L22-C15)&lt;=0),0,IF(AND((L22-C14)&gt;=0,(L22-C15)&gt;=0),0.5*((L22-C14)+(L22-C15))*ABS(B15-B14),IF((L22-C14)&gt;0,0.5*(L22-C14)*ABS((B14+((L22-C14)/((L22-C14)-(L22-C15)))*(B15-B14))-B14),0.5*(L22-C15)*ABS(B15-(B14+((L22-C14)/((L22-C14)-(L22-C15)))*(B15-B14)))))))+(IF(AND((L22-C15)&lt;=0,(L22-C16)&lt;=0),0,IF(AND((L22-C15)&gt;=0,(L22-C16)&gt;=0),0.5*((L22-C15)+(L22-C16))*ABS(B16-B15),IF((L22-C15)&gt;0,0.5*(L22-C15)*ABS((B15+((L22-C15)/((L22-C15)-(L22-C16)))*(B16-B15))-B15),0.5*(L22-C16)*ABS(B16-(B15+((L22-C15)/((L22-C15)-(L22-C16)))*(B16-B15)))))))+(IF(AND((L22-C16)&lt;=0,(L22-C17)&lt;=0),0,IF(AND((L22-C16)&gt;=0,(L22-C17)&gt;=0),0.5*((L22-C16)+(L22-C17))*ABS(B17-B16),IF((L22-C16)&gt;0,0.5*(L22-C16)*ABS((B16+((L22-C16)/((L22-C16)-(L22-C17)))*(B17-B16))-B16),0.5*(L22-C17)*ABS(B17-(B16+((L22-C16)/((L22-C16)-(L22-C17)))*(B17-B16)))))))+(IF(AND((L22-C17)&lt;=0,(L22-C18)&lt;=0),0,IF(AND((L22-C17)&gt;=0,(L22-C18)&gt;=0),0.5*((L22-C17)+(L22-C18))*ABS(B18-B17),IF((L22-C17)&gt;0,0.5*(L22-C17)*ABS((B17+((L22-C17)/((L22-C17)-(L22-C18)))*(B18-B17))-B17),0.5*(L22-C18)*ABS(B18-(B17+((L22-C17)/((L22-C17)-(L22-C18)))*(B18-B17)))))))</f>
        <v/>
      </c>
      <c r="N22">
        <f>(IF(AND((L22-C9)&lt;=0,(L22-C10)&lt;=0),0,IF(AND((L22-C9)&gt;=0,(L22-C10)&gt;=0),SQRT((B10-B9)^2+(C10-C9)^2),IF((L22-C9)&gt;0,SQRT(((B9+((L22-C9)/((L22-C9)-(L22-C10)))*(B10-B9))-B9)^2+(L22-C9)^2),SQRT((B10-(B9+((L22-C9)/((L22-C9)-(L22-C10)))*(B10-B9)))^2+(L22-C10)^2)))))+(IF(AND((L22-C10)&lt;=0,(L22-C11)&lt;=0),0,IF(AND((L22-C10)&gt;=0,(L22-C11)&gt;=0),SQRT((B11-B10)^2+(C11-C10)^2),IF((L22-C10)&gt;0,SQRT(((B10+((L22-C10)/((L22-C10)-(L22-C11)))*(B11-B10))-B10)^2+(L22-C10)^2),SQRT((B11-(B10+((L22-C10)/((L22-C10)-(L22-C11)))*(B11-B10)))^2+(L22-C11)^2)))))+(IF(AND((L22-C11)&lt;=0,(L22-C12)&lt;=0),0,IF(AND((L22-C11)&gt;=0,(L22-C12)&gt;=0),SQRT((B12-B11)^2+(C12-C11)^2),IF((L22-C11)&gt;0,SQRT(((B11+((L22-C11)/((L22-C11)-(L22-C12)))*(B12-B11))-B11)^2+(L22-C11)^2),SQRT((B12-(B11+((L22-C11)/((L22-C11)-(L22-C12)))*(B12-B11)))^2+(L22-C12)^2)))))+(IF(AND((L22-C12)&lt;=0,(L22-C13)&lt;=0),0,IF(AND((L22-C12)&gt;=0,(L22-C13)&gt;=0),SQRT((B13-B12)^2+(C13-C12)^2),IF((L22-C12)&gt;0,SQRT(((B12+((L22-C12)/((L22-C12)-(L22-C13)))*(B13-B12))-B12)^2+(L22-C12)^2),SQRT((B13-(B12+((L22-C12)/((L22-C12)-(L22-C13)))*(B13-B12)))^2+(L22-C13)^2)))))+(IF(AND((L22-C13)&lt;=0,(L22-C14)&lt;=0),0,IF(AND((L22-C13)&gt;=0,(L22-C14)&gt;=0),SQRT((B14-B13)^2+(C14-C13)^2),IF((L22-C13)&gt;0,SQRT(((B13+((L22-C13)/((L22-C13)-(L22-C14)))*(B14-B13))-B13)^2+(L22-C13)^2),SQRT((B14-(B13+((L22-C13)/((L22-C13)-(L22-C14)))*(B14-B13)))^2+(L22-C14)^2)))))+(IF(AND((L22-C14)&lt;=0,(L22-C15)&lt;=0),0,IF(AND((L22-C14)&gt;=0,(L22-C15)&gt;=0),SQRT((B15-B14)^2+(C15-C14)^2),IF((L22-C14)&gt;0,SQRT(((B14+((L22-C14)/((L22-C14)-(L22-C15)))*(B15-B14))-B14)^2+(L22-C14)^2),SQRT((B15-(B14+((L22-C14)/((L22-C14)-(L22-C15)))*(B15-B14)))^2+(L22-C15)^2)))))+(IF(AND((L22-C15)&lt;=0,(L22-C16)&lt;=0),0,IF(AND((L22-C15)&gt;=0,(L22-C16)&gt;=0),SQRT((B16-B15)^2+(C16-C15)^2),IF((L22-C15)&gt;0,SQRT(((B15+((L22-C15)/((L22-C15)-(L22-C16)))*(B16-B15))-B15)^2+(L22-C15)^2),SQRT((B16-(B15+((L22-C15)/((L22-C15)-(L22-C16)))*(B16-B15)))^2+(L22-C16)^2)))))+(IF(AND((L22-C16)&lt;=0,(L22-C17)&lt;=0),0,IF(AND((L22-C16)&gt;=0,(L22-C17)&gt;=0),SQRT((B17-B16)^2+(C17-C16)^2),IF((L22-C16)&gt;0,SQRT(((B16+((L22-C16)/((L22-C16)-(L22-C17)))*(B17-B16))-B16)^2+(L22-C16)^2),SQRT((B17-(B16+((L22-C16)/((L22-C16)-(L22-C17)))*(B17-B16)))^2+(L22-C17)^2)))))+(IF(AND((L22-C17)&lt;=0,(L22-C18)&lt;=0),0,IF(AND((L22-C17)&gt;=0,(L22-C18)&gt;=0),SQRT((B18-B17)^2+(C18-C17)^2),IF((L22-C17)&gt;0,SQRT(((B17+((L22-C17)/((L22-C17)-(L22-C18)))*(B18-B17))-B17)^2+(L22-C17)^2),SQRT((B18-(B17+((L22-C17)/((L22-C17)-(L22-C18)))*(B18-B17)))^2+(L22-C18)^2)))))</f>
        <v/>
      </c>
      <c r="O22">
        <f>IF(OR($B$6&lt;=0,M22&lt;=0,N22&lt;=0,$B$4&lt;=0),0,(1/$B$6)*M22*((M22/N22)^(2/3))*SQRT($B$4))</f>
        <v/>
      </c>
    </row>
    <row r="23">
      <c r="A23" t="inlineStr">
        <is>
          <t>y = WSE − fond (m)</t>
        </is>
      </c>
      <c r="B23">
        <f>IF(ISNUMBER(B2),B2-B22,"")</f>
        <v/>
      </c>
      <c r="I23" t="n">
        <v>15</v>
      </c>
      <c r="J23">
        <f>IF(O22&lt;$B$5,L22,J22)</f>
        <v/>
      </c>
      <c r="K23">
        <f>IF(O22&lt;$B$5,K22,L22)</f>
        <v/>
      </c>
      <c r="L23">
        <f>(J23+K23)/2</f>
        <v/>
      </c>
      <c r="M23">
        <f>(IF(AND((L23-C9)&lt;=0,(L23-C10)&lt;=0),0,IF(AND((L23-C9)&gt;=0,(L23-C10)&gt;=0),0.5*((L23-C9)+(L23-C10))*ABS(B10-B9),IF((L23-C9)&gt;0,0.5*(L23-C9)*ABS((B9+((L23-C9)/((L23-C9)-(L23-C10)))*(B10-B9))-B9),0.5*(L23-C10)*ABS(B10-(B9+((L23-C9)/((L23-C9)-(L23-C10)))*(B10-B9)))))))+(IF(AND((L23-C10)&lt;=0,(L23-C11)&lt;=0),0,IF(AND((L23-C10)&gt;=0,(L23-C11)&gt;=0),0.5*((L23-C10)+(L23-C11))*ABS(B11-B10),IF((L23-C10)&gt;0,0.5*(L23-C10)*ABS((B10+((L23-C10)/((L23-C10)-(L23-C11)))*(B11-B10))-B10),0.5*(L23-C11)*ABS(B11-(B10+((L23-C10)/((L23-C10)-(L23-C11)))*(B11-B10)))))))+(IF(AND((L23-C11)&lt;=0,(L23-C12)&lt;=0),0,IF(AND((L23-C11)&gt;=0,(L23-C12)&gt;=0),0.5*((L23-C11)+(L23-C12))*ABS(B12-B11),IF((L23-C11)&gt;0,0.5*(L23-C11)*ABS((B11+((L23-C11)/((L23-C11)-(L23-C12)))*(B12-B11))-B11),0.5*(L23-C12)*ABS(B12-(B11+((L23-C11)/((L23-C11)-(L23-C12)))*(B12-B11)))))))+(IF(AND((L23-C12)&lt;=0,(L23-C13)&lt;=0),0,IF(AND((L23-C12)&gt;=0,(L23-C13)&gt;=0),0.5*((L23-C12)+(L23-C13))*ABS(B13-B12),IF((L23-C12)&gt;0,0.5*(L23-C12)*ABS((B12+((L23-C12)/((L23-C12)-(L23-C13)))*(B13-B12))-B12),0.5*(L23-C13)*ABS(B13-(B12+((L23-C12)/((L23-C12)-(L23-C13)))*(B13-B12)))))))+(IF(AND((L23-C13)&lt;=0,(L23-C14)&lt;=0),0,IF(AND((L23-C13)&gt;=0,(L23-C14)&gt;=0),0.5*((L23-C13)+(L23-C14))*ABS(B14-B13),IF((L23-C13)&gt;0,0.5*(L23-C13)*ABS((B13+((L23-C13)/((L23-C13)-(L23-C14)))*(B14-B13))-B13),0.5*(L23-C14)*ABS(B14-(B13+((L23-C13)/((L23-C13)-(L23-C14)))*(B14-B13)))))))+(IF(AND((L23-C14)&lt;=0,(L23-C15)&lt;=0),0,IF(AND((L23-C14)&gt;=0,(L23-C15)&gt;=0),0.5*((L23-C14)+(L23-C15))*ABS(B15-B14),IF((L23-C14)&gt;0,0.5*(L23-C14)*ABS((B14+((L23-C14)/((L23-C14)-(L23-C15)))*(B15-B14))-B14),0.5*(L23-C15)*ABS(B15-(B14+((L23-C14)/((L23-C14)-(L23-C15)))*(B15-B14)))))))+(IF(AND((L23-C15)&lt;=0,(L23-C16)&lt;=0),0,IF(AND((L23-C15)&gt;=0,(L23-C16)&gt;=0),0.5*((L23-C15)+(L23-C16))*ABS(B16-B15),IF((L23-C15)&gt;0,0.5*(L23-C15)*ABS((B15+((L23-C15)/((L23-C15)-(L23-C16)))*(B16-B15))-B15),0.5*(L23-C16)*ABS(B16-(B15+((L23-C15)/((L23-C15)-(L23-C16)))*(B16-B15)))))))+(IF(AND((L23-C16)&lt;=0,(L23-C17)&lt;=0),0,IF(AND((L23-C16)&gt;=0,(L23-C17)&gt;=0),0.5*((L23-C16)+(L23-C17))*ABS(B17-B16),IF((L23-C16)&gt;0,0.5*(L23-C16)*ABS((B16+((L23-C16)/((L23-C16)-(L23-C17)))*(B17-B16))-B16),0.5*(L23-C17)*ABS(B17-(B16+((L23-C16)/((L23-C16)-(L23-C17)))*(B17-B16)))))))+(IF(AND((L23-C17)&lt;=0,(L23-C18)&lt;=0),0,IF(AND((L23-C17)&gt;=0,(L23-C18)&gt;=0),0.5*((L23-C17)+(L23-C18))*ABS(B18-B17),IF((L23-C17)&gt;0,0.5*(L23-C17)*ABS((B17+((L23-C17)/((L23-C17)-(L23-C18)))*(B18-B17))-B17),0.5*(L23-C18)*ABS(B18-(B17+((L23-C17)/((L23-C17)-(L23-C18)))*(B18-B17)))))))</f>
        <v/>
      </c>
      <c r="N23">
        <f>(IF(AND((L23-C9)&lt;=0,(L23-C10)&lt;=0),0,IF(AND((L23-C9)&gt;=0,(L23-C10)&gt;=0),SQRT((B10-B9)^2+(C10-C9)^2),IF((L23-C9)&gt;0,SQRT(((B9+((L23-C9)/((L23-C9)-(L23-C10)))*(B10-B9))-B9)^2+(L23-C9)^2),SQRT((B10-(B9+((L23-C9)/((L23-C9)-(L23-C10)))*(B10-B9)))^2+(L23-C10)^2)))))+(IF(AND((L23-C10)&lt;=0,(L23-C11)&lt;=0),0,IF(AND((L23-C10)&gt;=0,(L23-C11)&gt;=0),SQRT((B11-B10)^2+(C11-C10)^2),IF((L23-C10)&gt;0,SQRT(((B10+((L23-C10)/((L23-C10)-(L23-C11)))*(B11-B10))-B10)^2+(L23-C10)^2),SQRT((B11-(B10+((L23-C10)/((L23-C10)-(L23-C11)))*(B11-B10)))^2+(L23-C11)^2)))))+(IF(AND((L23-C11)&lt;=0,(L23-C12)&lt;=0),0,IF(AND((L23-C11)&gt;=0,(L23-C12)&gt;=0),SQRT((B12-B11)^2+(C12-C11)^2),IF((L23-C11)&gt;0,SQRT(((B11+((L23-C11)/((L23-C11)-(L23-C12)))*(B12-B11))-B11)^2+(L23-C11)^2),SQRT((B12-(B11+((L23-C11)/((L23-C11)-(L23-C12)))*(B12-B11)))^2+(L23-C12)^2)))))+(IF(AND((L23-C12)&lt;=0,(L23-C13)&lt;=0),0,IF(AND((L23-C12)&gt;=0,(L23-C13)&gt;=0),SQRT((B13-B12)^2+(C13-C12)^2),IF((L23-C12)&gt;0,SQRT(((B12+((L23-C12)/((L23-C12)-(L23-C13)))*(B13-B12))-B12)^2+(L23-C12)^2),SQRT((B13-(B12+((L23-C12)/((L23-C12)-(L23-C13)))*(B13-B12)))^2+(L23-C13)^2)))))+(IF(AND((L23-C13)&lt;=0,(L23-C14)&lt;=0),0,IF(AND((L23-C13)&gt;=0,(L23-C14)&gt;=0),SQRT((B14-B13)^2+(C14-C13)^2),IF((L23-C13)&gt;0,SQRT(((B13+((L23-C13)/((L23-C13)-(L23-C14)))*(B14-B13))-B13)^2+(L23-C13)^2),SQRT((B14-(B13+((L23-C13)/((L23-C13)-(L23-C14)))*(B14-B13)))^2+(L23-C14)^2)))))+(IF(AND((L23-C14)&lt;=0,(L23-C15)&lt;=0),0,IF(AND((L23-C14)&gt;=0,(L23-C15)&gt;=0),SQRT((B15-B14)^2+(C15-C14)^2),IF((L23-C14)&gt;0,SQRT(((B14+((L23-C14)/((L23-C14)-(L23-C15)))*(B15-B14))-B14)^2+(L23-C14)^2),SQRT((B15-(B14+((L23-C14)/((L23-C14)-(L23-C15)))*(B15-B14)))^2+(L23-C15)^2)))))+(IF(AND((L23-C15)&lt;=0,(L23-C16)&lt;=0),0,IF(AND((L23-C15)&gt;=0,(L23-C16)&gt;=0),SQRT((B16-B15)^2+(C16-C15)^2),IF((L23-C15)&gt;0,SQRT(((B15+((L23-C15)/((L23-C15)-(L23-C16)))*(B16-B15))-B15)^2+(L23-C15)^2),SQRT((B16-(B15+((L23-C15)/((L23-C15)-(L23-C16)))*(B16-B15)))^2+(L23-C16)^2)))))+(IF(AND((L23-C16)&lt;=0,(L23-C17)&lt;=0),0,IF(AND((L23-C16)&gt;=0,(L23-C17)&gt;=0),SQRT((B17-B16)^2+(C17-C16)^2),IF((L23-C16)&gt;0,SQRT(((B16+((L23-C16)/((L23-C16)-(L23-C17)))*(B17-B16))-B16)^2+(L23-C16)^2),SQRT((B17-(B16+((L23-C16)/((L23-C16)-(L23-C17)))*(B17-B16)))^2+(L23-C17)^2)))))+(IF(AND((L23-C17)&lt;=0,(L23-C18)&lt;=0),0,IF(AND((L23-C17)&gt;=0,(L23-C18)&gt;=0),SQRT((B18-B17)^2+(C18-C17)^2),IF((L23-C17)&gt;0,SQRT(((B17+((L23-C17)/((L23-C17)-(L23-C18)))*(B18-B17))-B17)^2+(L23-C17)^2),SQRT((B18-(B17+((L23-C17)/((L23-C17)-(L23-C18)))*(B18-B17)))^2+(L23-C18)^2)))))</f>
        <v/>
      </c>
      <c r="O23">
        <f>IF(OR($B$6&lt;=0,M23&lt;=0,N23&lt;=0,$B$4&lt;=0),0,(1/$B$6)*M23*((M23/N23)^(2/3))*SQRT($B$4))</f>
        <v/>
      </c>
    </row>
    <row r="24">
      <c r="A24" t="inlineStr">
        <is>
          <t>A (m²)</t>
        </is>
      </c>
      <c r="B24" s="9">
        <f>F20</f>
        <v/>
      </c>
      <c r="I24" t="n">
        <v>16</v>
      </c>
      <c r="J24">
        <f>IF(O23&lt;$B$5,L23,J23)</f>
        <v/>
      </c>
      <c r="K24">
        <f>IF(O23&lt;$B$5,K23,L23)</f>
        <v/>
      </c>
      <c r="L24">
        <f>(J24+K24)/2</f>
        <v/>
      </c>
      <c r="M24">
        <f>(IF(AND((L24-C9)&lt;=0,(L24-C10)&lt;=0),0,IF(AND((L24-C9)&gt;=0,(L24-C10)&gt;=0),0.5*((L24-C9)+(L24-C10))*ABS(B10-B9),IF((L24-C9)&gt;0,0.5*(L24-C9)*ABS((B9+((L24-C9)/((L24-C9)-(L24-C10)))*(B10-B9))-B9),0.5*(L24-C10)*ABS(B10-(B9+((L24-C9)/((L24-C9)-(L24-C10)))*(B10-B9)))))))+(IF(AND((L24-C10)&lt;=0,(L24-C11)&lt;=0),0,IF(AND((L24-C10)&gt;=0,(L24-C11)&gt;=0),0.5*((L24-C10)+(L24-C11))*ABS(B11-B10),IF((L24-C10)&gt;0,0.5*(L24-C10)*ABS((B10+((L24-C10)/((L24-C10)-(L24-C11)))*(B11-B10))-B10),0.5*(L24-C11)*ABS(B11-(B10+((L24-C10)/((L24-C10)-(L24-C11)))*(B11-B10)))))))+(IF(AND((L24-C11)&lt;=0,(L24-C12)&lt;=0),0,IF(AND((L24-C11)&gt;=0,(L24-C12)&gt;=0),0.5*((L24-C11)+(L24-C12))*ABS(B12-B11),IF((L24-C11)&gt;0,0.5*(L24-C11)*ABS((B11+((L24-C11)/((L24-C11)-(L24-C12)))*(B12-B11))-B11),0.5*(L24-C12)*ABS(B12-(B11+((L24-C11)/((L24-C11)-(L24-C12)))*(B12-B11)))))))+(IF(AND((L24-C12)&lt;=0,(L24-C13)&lt;=0),0,IF(AND((L24-C12)&gt;=0,(L24-C13)&gt;=0),0.5*((L24-C12)+(L24-C13))*ABS(B13-B12),IF((L24-C12)&gt;0,0.5*(L24-C12)*ABS((B12+((L24-C12)/((L24-C12)-(L24-C13)))*(B13-B12))-B12),0.5*(L24-C13)*ABS(B13-(B12+((L24-C12)/((L24-C12)-(L24-C13)))*(B13-B12)))))))+(IF(AND((L24-C13)&lt;=0,(L24-C14)&lt;=0),0,IF(AND((L24-C13)&gt;=0,(L24-C14)&gt;=0),0.5*((L24-C13)+(L24-C14))*ABS(B14-B13),IF((L24-C13)&gt;0,0.5*(L24-C13)*ABS((B13+((L24-C13)/((L24-C13)-(L24-C14)))*(B14-B13))-B13),0.5*(L24-C14)*ABS(B14-(B13+((L24-C13)/((L24-C13)-(L24-C14)))*(B14-B13)))))))+(IF(AND((L24-C14)&lt;=0,(L24-C15)&lt;=0),0,IF(AND((L24-C14)&gt;=0,(L24-C15)&gt;=0),0.5*((L24-C14)+(L24-C15))*ABS(B15-B14),IF((L24-C14)&gt;0,0.5*(L24-C14)*ABS((B14+((L24-C14)/((L24-C14)-(L24-C15)))*(B15-B14))-B14),0.5*(L24-C15)*ABS(B15-(B14+((L24-C14)/((L24-C14)-(L24-C15)))*(B15-B14)))))))+(IF(AND((L24-C15)&lt;=0,(L24-C16)&lt;=0),0,IF(AND((L24-C15)&gt;=0,(L24-C16)&gt;=0),0.5*((L24-C15)+(L24-C16))*ABS(B16-B15),IF((L24-C15)&gt;0,0.5*(L24-C15)*ABS((B15+((L24-C15)/((L24-C15)-(L24-C16)))*(B16-B15))-B15),0.5*(L24-C16)*ABS(B16-(B15+((L24-C15)/((L24-C15)-(L24-C16)))*(B16-B15)))))))+(IF(AND((L24-C16)&lt;=0,(L24-C17)&lt;=0),0,IF(AND((L24-C16)&gt;=0,(L24-C17)&gt;=0),0.5*((L24-C16)+(L24-C17))*ABS(B17-B16),IF((L24-C16)&gt;0,0.5*(L24-C16)*ABS((B16+((L24-C16)/((L24-C16)-(L24-C17)))*(B17-B16))-B16),0.5*(L24-C17)*ABS(B17-(B16+((L24-C16)/((L24-C16)-(L24-C17)))*(B17-B16)))))))+(IF(AND((L24-C17)&lt;=0,(L24-C18)&lt;=0),0,IF(AND((L24-C17)&gt;=0,(L24-C18)&gt;=0),0.5*((L24-C17)+(L24-C18))*ABS(B18-B17),IF((L24-C17)&gt;0,0.5*(L24-C17)*ABS((B17+((L24-C17)/((L24-C17)-(L24-C18)))*(B18-B17))-B17),0.5*(L24-C18)*ABS(B18-(B17+((L24-C17)/((L24-C17)-(L24-C18)))*(B18-B17)))))))</f>
        <v/>
      </c>
      <c r="N24">
        <f>(IF(AND((L24-C9)&lt;=0,(L24-C10)&lt;=0),0,IF(AND((L24-C9)&gt;=0,(L24-C10)&gt;=0),SQRT((B10-B9)^2+(C10-C9)^2),IF((L24-C9)&gt;0,SQRT(((B9+((L24-C9)/((L24-C9)-(L24-C10)))*(B10-B9))-B9)^2+(L24-C9)^2),SQRT((B10-(B9+((L24-C9)/((L24-C9)-(L24-C10)))*(B10-B9)))^2+(L24-C10)^2)))))+(IF(AND((L24-C10)&lt;=0,(L24-C11)&lt;=0),0,IF(AND((L24-C10)&gt;=0,(L24-C11)&gt;=0),SQRT((B11-B10)^2+(C11-C10)^2),IF((L24-C10)&gt;0,SQRT(((B10+((L24-C10)/((L24-C10)-(L24-C11)))*(B11-B10))-B10)^2+(L24-C10)^2),SQRT((B11-(B10+((L24-C10)/((L24-C10)-(L24-C11)))*(B11-B10)))^2+(L24-C11)^2)))))+(IF(AND((L24-C11)&lt;=0,(L24-C12)&lt;=0),0,IF(AND((L24-C11)&gt;=0,(L24-C12)&gt;=0),SQRT((B12-B11)^2+(C12-C11)^2),IF((L24-C11)&gt;0,SQRT(((B11+((L24-C11)/((L24-C11)-(L24-C12)))*(B12-B11))-B11)^2+(L24-C11)^2),SQRT((B12-(B11+((L24-C11)/((L24-C11)-(L24-C12)))*(B12-B11)))^2+(L24-C12)^2)))))+(IF(AND((L24-C12)&lt;=0,(L24-C13)&lt;=0),0,IF(AND((L24-C12)&gt;=0,(L24-C13)&gt;=0),SQRT((B13-B12)^2+(C13-C12)^2),IF((L24-C12)&gt;0,SQRT(((B12+((L24-C12)/((L24-C12)-(L24-C13)))*(B13-B12))-B12)^2+(L24-C12)^2),SQRT((B13-(B12+((L24-C12)/((L24-C12)-(L24-C13)))*(B13-B12)))^2+(L24-C13)^2)))))+(IF(AND((L24-C13)&lt;=0,(L24-C14)&lt;=0),0,IF(AND((L24-C13)&gt;=0,(L24-C14)&gt;=0),SQRT((B14-B13)^2+(C14-C13)^2),IF((L24-C13)&gt;0,SQRT(((B13+((L24-C13)/((L24-C13)-(L24-C14)))*(B14-B13))-B13)^2+(L24-C13)^2),SQRT((B14-(B13+((L24-C13)/((L24-C13)-(L24-C14)))*(B14-B13)))^2+(L24-C14)^2)))))+(IF(AND((L24-C14)&lt;=0,(L24-C15)&lt;=0),0,IF(AND((L24-C14)&gt;=0,(L24-C15)&gt;=0),SQRT((B15-B14)^2+(C15-C14)^2),IF((L24-C14)&gt;0,SQRT(((B14+((L24-C14)/((L24-C14)-(L24-C15)))*(B15-B14))-B14)^2+(L24-C14)^2),SQRT((B15-(B14+((L24-C14)/((L24-C14)-(L24-C15)))*(B15-B14)))^2+(L24-C15)^2)))))+(IF(AND((L24-C15)&lt;=0,(L24-C16)&lt;=0),0,IF(AND((L24-C15)&gt;=0,(L24-C16)&gt;=0),SQRT((B16-B15)^2+(C16-C15)^2),IF((L24-C15)&gt;0,SQRT(((B15+((L24-C15)/((L24-C15)-(L24-C16)))*(B16-B15))-B15)^2+(L24-C15)^2),SQRT((B16-(B15+((L24-C15)/((L24-C15)-(L24-C16)))*(B16-B15)))^2+(L24-C16)^2)))))+(IF(AND((L24-C16)&lt;=0,(L24-C17)&lt;=0),0,IF(AND((L24-C16)&gt;=0,(L24-C17)&gt;=0),SQRT((B17-B16)^2+(C17-C16)^2),IF((L24-C16)&gt;0,SQRT(((B16+((L24-C16)/((L24-C16)-(L24-C17)))*(B17-B16))-B16)^2+(L24-C16)^2),SQRT((B17-(B16+((L24-C16)/((L24-C16)-(L24-C17)))*(B17-B16)))^2+(L24-C17)^2)))))+(IF(AND((L24-C17)&lt;=0,(L24-C18)&lt;=0),0,IF(AND((L24-C17)&gt;=0,(L24-C18)&gt;=0),SQRT((B18-B17)^2+(C18-C17)^2),IF((L24-C17)&gt;0,SQRT(((B17+((L24-C17)/((L24-C17)-(L24-C18)))*(B18-B17))-B17)^2+(L24-C17)^2),SQRT((B18-(B17+((L24-C17)/((L24-C17)-(L24-C18)))*(B18-B17)))^2+(L24-C18)^2)))))</f>
        <v/>
      </c>
      <c r="O24">
        <f>IF(OR($B$6&lt;=0,M24&lt;=0,N24&lt;=0,$B$4&lt;=0),0,(1/$B$6)*M24*((M24/N24)^(2/3))*SQRT($B$4))</f>
        <v/>
      </c>
    </row>
    <row r="25">
      <c r="A25" t="inlineStr">
        <is>
          <t>P (m)</t>
        </is>
      </c>
      <c r="B25" s="9">
        <f>G20</f>
        <v/>
      </c>
      <c r="I25" t="n">
        <v>17</v>
      </c>
      <c r="J25">
        <f>IF(O24&lt;$B$5,L24,J24)</f>
        <v/>
      </c>
      <c r="K25">
        <f>IF(O24&lt;$B$5,K24,L24)</f>
        <v/>
      </c>
      <c r="L25">
        <f>(J25+K25)/2</f>
        <v/>
      </c>
      <c r="M25">
        <f>(IF(AND((L25-C9)&lt;=0,(L25-C10)&lt;=0),0,IF(AND((L25-C9)&gt;=0,(L25-C10)&gt;=0),0.5*((L25-C9)+(L25-C10))*ABS(B10-B9),IF((L25-C9)&gt;0,0.5*(L25-C9)*ABS((B9+((L25-C9)/((L25-C9)-(L25-C10)))*(B10-B9))-B9),0.5*(L25-C10)*ABS(B10-(B9+((L25-C9)/((L25-C9)-(L25-C10)))*(B10-B9)))))))+(IF(AND((L25-C10)&lt;=0,(L25-C11)&lt;=0),0,IF(AND((L25-C10)&gt;=0,(L25-C11)&gt;=0),0.5*((L25-C10)+(L25-C11))*ABS(B11-B10),IF((L25-C10)&gt;0,0.5*(L25-C10)*ABS((B10+((L25-C10)/((L25-C10)-(L25-C11)))*(B11-B10))-B10),0.5*(L25-C11)*ABS(B11-(B10+((L25-C10)/((L25-C10)-(L25-C11)))*(B11-B10)))))))+(IF(AND((L25-C11)&lt;=0,(L25-C12)&lt;=0),0,IF(AND((L25-C11)&gt;=0,(L25-C12)&gt;=0),0.5*((L25-C11)+(L25-C12))*ABS(B12-B11),IF((L25-C11)&gt;0,0.5*(L25-C11)*ABS((B11+((L25-C11)/((L25-C11)-(L25-C12)))*(B12-B11))-B11),0.5*(L25-C12)*ABS(B12-(B11+((L25-C11)/((L25-C11)-(L25-C12)))*(B12-B11)))))))+(IF(AND((L25-C12)&lt;=0,(L25-C13)&lt;=0),0,IF(AND((L25-C12)&gt;=0,(L25-C13)&gt;=0),0.5*((L25-C12)+(L25-C13))*ABS(B13-B12),IF((L25-C12)&gt;0,0.5*(L25-C12)*ABS((B12+((L25-C12)/((L25-C12)-(L25-C13)))*(B13-B12))-B12),0.5*(L25-C13)*ABS(B13-(B12+((L25-C12)/((L25-C12)-(L25-C13)))*(B13-B12)))))))+(IF(AND((L25-C13)&lt;=0,(L25-C14)&lt;=0),0,IF(AND((L25-C13)&gt;=0,(L25-C14)&gt;=0),0.5*((L25-C13)+(L25-C14))*ABS(B14-B13),IF((L25-C13)&gt;0,0.5*(L25-C13)*ABS((B13+((L25-C13)/((L25-C13)-(L25-C14)))*(B14-B13))-B13),0.5*(L25-C14)*ABS(B14-(B13+((L25-C13)/((L25-C13)-(L25-C14)))*(B14-B13)))))))+(IF(AND((L25-C14)&lt;=0,(L25-C15)&lt;=0),0,IF(AND((L25-C14)&gt;=0,(L25-C15)&gt;=0),0.5*((L25-C14)+(L25-C15))*ABS(B15-B14),IF((L25-C14)&gt;0,0.5*(L25-C14)*ABS((B14+((L25-C14)/((L25-C14)-(L25-C15)))*(B15-B14))-B14),0.5*(L25-C15)*ABS(B15-(B14+((L25-C14)/((L25-C14)-(L25-C15)))*(B15-B14)))))))+(IF(AND((L25-C15)&lt;=0,(L25-C16)&lt;=0),0,IF(AND((L25-C15)&gt;=0,(L25-C16)&gt;=0),0.5*((L25-C15)+(L25-C16))*ABS(B16-B15),IF((L25-C15)&gt;0,0.5*(L25-C15)*ABS((B15+((L25-C15)/((L25-C15)-(L25-C16)))*(B16-B15))-B15),0.5*(L25-C16)*ABS(B16-(B15+((L25-C15)/((L25-C15)-(L25-C16)))*(B16-B15)))))))+(IF(AND((L25-C16)&lt;=0,(L25-C17)&lt;=0),0,IF(AND((L25-C16)&gt;=0,(L25-C17)&gt;=0),0.5*((L25-C16)+(L25-C17))*ABS(B17-B16),IF((L25-C16)&gt;0,0.5*(L25-C16)*ABS((B16+((L25-C16)/((L25-C16)-(L25-C17)))*(B17-B16))-B16),0.5*(L25-C17)*ABS(B17-(B16+((L25-C16)/((L25-C16)-(L25-C17)))*(B17-B16)))))))+(IF(AND((L25-C17)&lt;=0,(L25-C18)&lt;=0),0,IF(AND((L25-C17)&gt;=0,(L25-C18)&gt;=0),0.5*((L25-C17)+(L25-C18))*ABS(B18-B17),IF((L25-C17)&gt;0,0.5*(L25-C17)*ABS((B17+((L25-C17)/((L25-C17)-(L25-C18)))*(B18-B17))-B17),0.5*(L25-C18)*ABS(B18-(B17+((L25-C17)/((L25-C17)-(L25-C18)))*(B18-B17)))))))</f>
        <v/>
      </c>
      <c r="N25">
        <f>(IF(AND((L25-C9)&lt;=0,(L25-C10)&lt;=0),0,IF(AND((L25-C9)&gt;=0,(L25-C10)&gt;=0),SQRT((B10-B9)^2+(C10-C9)^2),IF((L25-C9)&gt;0,SQRT(((B9+((L25-C9)/((L25-C9)-(L25-C10)))*(B10-B9))-B9)^2+(L25-C9)^2),SQRT((B10-(B9+((L25-C9)/((L25-C9)-(L25-C10)))*(B10-B9)))^2+(L25-C10)^2)))))+(IF(AND((L25-C10)&lt;=0,(L25-C11)&lt;=0),0,IF(AND((L25-C10)&gt;=0,(L25-C11)&gt;=0),SQRT((B11-B10)^2+(C11-C10)^2),IF((L25-C10)&gt;0,SQRT(((B10+((L25-C10)/((L25-C10)-(L25-C11)))*(B11-B10))-B10)^2+(L25-C10)^2),SQRT((B11-(B10+((L25-C10)/((L25-C10)-(L25-C11)))*(B11-B10)))^2+(L25-C11)^2)))))+(IF(AND((L25-C11)&lt;=0,(L25-C12)&lt;=0),0,IF(AND((L25-C11)&gt;=0,(L25-C12)&gt;=0),SQRT((B12-B11)^2+(C12-C11)^2),IF((L25-C11)&gt;0,SQRT(((B11+((L25-C11)/((L25-C11)-(L25-C12)))*(B12-B11))-B11)^2+(L25-C11)^2),SQRT((B12-(B11+((L25-C11)/((L25-C11)-(L25-C12)))*(B12-B11)))^2+(L25-C12)^2)))))+(IF(AND((L25-C12)&lt;=0,(L25-C13)&lt;=0),0,IF(AND((L25-C12)&gt;=0,(L25-C13)&gt;=0),SQRT((B13-B12)^2+(C13-C12)^2),IF((L25-C12)&gt;0,SQRT(((B12+((L25-C12)/((L25-C12)-(L25-C13)))*(B13-B12))-B12)^2+(L25-C12)^2),SQRT((B13-(B12+((L25-C12)/((L25-C12)-(L25-C13)))*(B13-B12)))^2+(L25-C13)^2)))))+(IF(AND((L25-C13)&lt;=0,(L25-C14)&lt;=0),0,IF(AND((L25-C13)&gt;=0,(L25-C14)&gt;=0),SQRT((B14-B13)^2+(C14-C13)^2),IF((L25-C13)&gt;0,SQRT(((B13+((L25-C13)/((L25-C13)-(L25-C14)))*(B14-B13))-B13)^2+(L25-C13)^2),SQRT((B14-(B13+((L25-C13)/((L25-C13)-(L25-C14)))*(B14-B13)))^2+(L25-C14)^2)))))+(IF(AND((L25-C14)&lt;=0,(L25-C15)&lt;=0),0,IF(AND((L25-C14)&gt;=0,(L25-C15)&gt;=0),SQRT((B15-B14)^2+(C15-C14)^2),IF((L25-C14)&gt;0,SQRT(((B14+((L25-C14)/((L25-C14)-(L25-C15)))*(B15-B14))-B14)^2+(L25-C14)^2),SQRT((B15-(B14+((L25-C14)/((L25-C14)-(L25-C15)))*(B15-B14)))^2+(L25-C15)^2)))))+(IF(AND((L25-C15)&lt;=0,(L25-C16)&lt;=0),0,IF(AND((L25-C15)&gt;=0,(L25-C16)&gt;=0),SQRT((B16-B15)^2+(C16-C15)^2),IF((L25-C15)&gt;0,SQRT(((B15+((L25-C15)/((L25-C15)-(L25-C16)))*(B16-B15))-B15)^2+(L25-C15)^2),SQRT((B16-(B15+((L25-C15)/((L25-C15)-(L25-C16)))*(B16-B15)))^2+(L25-C16)^2)))))+(IF(AND((L25-C16)&lt;=0,(L25-C17)&lt;=0),0,IF(AND((L25-C16)&gt;=0,(L25-C17)&gt;=0),SQRT((B17-B16)^2+(C17-C16)^2),IF((L25-C16)&gt;0,SQRT(((B16+((L25-C16)/((L25-C16)-(L25-C17)))*(B17-B16))-B16)^2+(L25-C16)^2),SQRT((B17-(B16+((L25-C16)/((L25-C16)-(L25-C17)))*(B17-B16)))^2+(L25-C17)^2)))))+(IF(AND((L25-C17)&lt;=0,(L25-C18)&lt;=0),0,IF(AND((L25-C17)&gt;=0,(L25-C18)&gt;=0),SQRT((B18-B17)^2+(C18-C17)^2),IF((L25-C17)&gt;0,SQRT(((B17+((L25-C17)/((L25-C17)-(L25-C18)))*(B18-B17))-B17)^2+(L25-C17)^2),SQRT((B18-(B17+((L25-C17)/((L25-C17)-(L25-C18)))*(B18-B17)))^2+(L25-C18)^2)))))</f>
        <v/>
      </c>
      <c r="O25">
        <f>IF(OR($B$6&lt;=0,M25&lt;=0,N25&lt;=0,$B$4&lt;=0),0,(1/$B$6)*M25*((M25/N25)^(2/3))*SQRT($B$4))</f>
        <v/>
      </c>
    </row>
    <row r="26">
      <c r="A26" t="inlineStr">
        <is>
          <t>R = A/P (m)</t>
        </is>
      </c>
      <c r="B26">
        <f>IF(B25&gt;0,B24/B25,0)</f>
        <v/>
      </c>
      <c r="I26" t="n">
        <v>18</v>
      </c>
      <c r="J26">
        <f>IF(O25&lt;$B$5,L25,J25)</f>
        <v/>
      </c>
      <c r="K26">
        <f>IF(O25&lt;$B$5,K25,L25)</f>
        <v/>
      </c>
      <c r="L26">
        <f>(J26+K26)/2</f>
        <v/>
      </c>
      <c r="M26">
        <f>(IF(AND((L26-C9)&lt;=0,(L26-C10)&lt;=0),0,IF(AND((L26-C9)&gt;=0,(L26-C10)&gt;=0),0.5*((L26-C9)+(L26-C10))*ABS(B10-B9),IF((L26-C9)&gt;0,0.5*(L26-C9)*ABS((B9+((L26-C9)/((L26-C9)-(L26-C10)))*(B10-B9))-B9),0.5*(L26-C10)*ABS(B10-(B9+((L26-C9)/((L26-C9)-(L26-C10)))*(B10-B9)))))))+(IF(AND((L26-C10)&lt;=0,(L26-C11)&lt;=0),0,IF(AND((L26-C10)&gt;=0,(L26-C11)&gt;=0),0.5*((L26-C10)+(L26-C11))*ABS(B11-B10),IF((L26-C10)&gt;0,0.5*(L26-C10)*ABS((B10+((L26-C10)/((L26-C10)-(L26-C11)))*(B11-B10))-B10),0.5*(L26-C11)*ABS(B11-(B10+((L26-C10)/((L26-C10)-(L26-C11)))*(B11-B10)))))))+(IF(AND((L26-C11)&lt;=0,(L26-C12)&lt;=0),0,IF(AND((L26-C11)&gt;=0,(L26-C12)&gt;=0),0.5*((L26-C11)+(L26-C12))*ABS(B12-B11),IF((L26-C11)&gt;0,0.5*(L26-C11)*ABS((B11+((L26-C11)/((L26-C11)-(L26-C12)))*(B12-B11))-B11),0.5*(L26-C12)*ABS(B12-(B11+((L26-C11)/((L26-C11)-(L26-C12)))*(B12-B11)))))))+(IF(AND((L26-C12)&lt;=0,(L26-C13)&lt;=0),0,IF(AND((L26-C12)&gt;=0,(L26-C13)&gt;=0),0.5*((L26-C12)+(L26-C13))*ABS(B13-B12),IF((L26-C12)&gt;0,0.5*(L26-C12)*ABS((B12+((L26-C12)/((L26-C12)-(L26-C13)))*(B13-B12))-B12),0.5*(L26-C13)*ABS(B13-(B12+((L26-C12)/((L26-C12)-(L26-C13)))*(B13-B12)))))))+(IF(AND((L26-C13)&lt;=0,(L26-C14)&lt;=0),0,IF(AND((L26-C13)&gt;=0,(L26-C14)&gt;=0),0.5*((L26-C13)+(L26-C14))*ABS(B14-B13),IF((L26-C13)&gt;0,0.5*(L26-C13)*ABS((B13+((L26-C13)/((L26-C13)-(L26-C14)))*(B14-B13))-B13),0.5*(L26-C14)*ABS(B14-(B13+((L26-C13)/((L26-C13)-(L26-C14)))*(B14-B13)))))))+(IF(AND((L26-C14)&lt;=0,(L26-C15)&lt;=0),0,IF(AND((L26-C14)&gt;=0,(L26-C15)&gt;=0),0.5*((L26-C14)+(L26-C15))*ABS(B15-B14),IF((L26-C14)&gt;0,0.5*(L26-C14)*ABS((B14+((L26-C14)/((L26-C14)-(L26-C15)))*(B15-B14))-B14),0.5*(L26-C15)*ABS(B15-(B14+((L26-C14)/((L26-C14)-(L26-C15)))*(B15-B14)))))))+(IF(AND((L26-C15)&lt;=0,(L26-C16)&lt;=0),0,IF(AND((L26-C15)&gt;=0,(L26-C16)&gt;=0),0.5*((L26-C15)+(L26-C16))*ABS(B16-B15),IF((L26-C15)&gt;0,0.5*(L26-C15)*ABS((B15+((L26-C15)/((L26-C15)-(L26-C16)))*(B16-B15))-B15),0.5*(L26-C16)*ABS(B16-(B15+((L26-C15)/((L26-C15)-(L26-C16)))*(B16-B15)))))))+(IF(AND((L26-C16)&lt;=0,(L26-C17)&lt;=0),0,IF(AND((L26-C16)&gt;=0,(L26-C17)&gt;=0),0.5*((L26-C16)+(L26-C17))*ABS(B17-B16),IF((L26-C16)&gt;0,0.5*(L26-C16)*ABS((B16+((L26-C16)/((L26-C16)-(L26-C17)))*(B17-B16))-B16),0.5*(L26-C17)*ABS(B17-(B16+((L26-C16)/((L26-C16)-(L26-C17)))*(B17-B16)))))))+(IF(AND((L26-C17)&lt;=0,(L26-C18)&lt;=0),0,IF(AND((L26-C17)&gt;=0,(L26-C18)&gt;=0),0.5*((L26-C17)+(L26-C18))*ABS(B18-B17),IF((L26-C17)&gt;0,0.5*(L26-C17)*ABS((B17+((L26-C17)/((L26-C17)-(L26-C18)))*(B18-B17))-B17),0.5*(L26-C18)*ABS(B18-(B17+((L26-C17)/((L26-C17)-(L26-C18)))*(B18-B17)))))))</f>
        <v/>
      </c>
      <c r="N26">
        <f>(IF(AND((L26-C9)&lt;=0,(L26-C10)&lt;=0),0,IF(AND((L26-C9)&gt;=0,(L26-C10)&gt;=0),SQRT((B10-B9)^2+(C10-C9)^2),IF((L26-C9)&gt;0,SQRT(((B9+((L26-C9)/((L26-C9)-(L26-C10)))*(B10-B9))-B9)^2+(L26-C9)^2),SQRT((B10-(B9+((L26-C9)/((L26-C9)-(L26-C10)))*(B10-B9)))^2+(L26-C10)^2)))))+(IF(AND((L26-C10)&lt;=0,(L26-C11)&lt;=0),0,IF(AND((L26-C10)&gt;=0,(L26-C11)&gt;=0),SQRT((B11-B10)^2+(C11-C10)^2),IF((L26-C10)&gt;0,SQRT(((B10+((L26-C10)/((L26-C10)-(L26-C11)))*(B11-B10))-B10)^2+(L26-C10)^2),SQRT((B11-(B10+((L26-C10)/((L26-C10)-(L26-C11)))*(B11-B10)))^2+(L26-C11)^2)))))+(IF(AND((L26-C11)&lt;=0,(L26-C12)&lt;=0),0,IF(AND((L26-C11)&gt;=0,(L26-C12)&gt;=0),SQRT((B12-B11)^2+(C12-C11)^2),IF((L26-C11)&gt;0,SQRT(((B11+((L26-C11)/((L26-C11)-(L26-C12)))*(B12-B11))-B11)^2+(L26-C11)^2),SQRT((B12-(B11+((L26-C11)/((L26-C11)-(L26-C12)))*(B12-B11)))^2+(L26-C12)^2)))))+(IF(AND((L26-C12)&lt;=0,(L26-C13)&lt;=0),0,IF(AND((L26-C12)&gt;=0,(L26-C13)&gt;=0),SQRT((B13-B12)^2+(C13-C12)^2),IF((L26-C12)&gt;0,SQRT(((B12+((L26-C12)/((L26-C12)-(L26-C13)))*(B13-B12))-B12)^2+(L26-C12)^2),SQRT((B13-(B12+((L26-C12)/((L26-C12)-(L26-C13)))*(B13-B12)))^2+(L26-C13)^2)))))+(IF(AND((L26-C13)&lt;=0,(L26-C14)&lt;=0),0,IF(AND((L26-C13)&gt;=0,(L26-C14)&gt;=0),SQRT((B14-B13)^2+(C14-C13)^2),IF((L26-C13)&gt;0,SQRT(((B13+((L26-C13)/((L26-C13)-(L26-C14)))*(B14-B13))-B13)^2+(L26-C13)^2),SQRT((B14-(B13+((L26-C13)/((L26-C13)-(L26-C14)))*(B14-B13)))^2+(L26-C14)^2)))))+(IF(AND((L26-C14)&lt;=0,(L26-C15)&lt;=0),0,IF(AND((L26-C14)&gt;=0,(L26-C15)&gt;=0),SQRT((B15-B14)^2+(C15-C14)^2),IF((L26-C14)&gt;0,SQRT(((B14+((L26-C14)/((L26-C14)-(L26-C15)))*(B15-B14))-B14)^2+(L26-C14)^2),SQRT((B15-(B14+((L26-C14)/((L26-C14)-(L26-C15)))*(B15-B14)))^2+(L26-C15)^2)))))+(IF(AND((L26-C15)&lt;=0,(L26-C16)&lt;=0),0,IF(AND((L26-C15)&gt;=0,(L26-C16)&gt;=0),SQRT((B16-B15)^2+(C16-C15)^2),IF((L26-C15)&gt;0,SQRT(((B15+((L26-C15)/((L26-C15)-(L26-C16)))*(B16-B15))-B15)^2+(L26-C15)^2),SQRT((B16-(B15+((L26-C15)/((L26-C15)-(L26-C16)))*(B16-B15)))^2+(L26-C16)^2)))))+(IF(AND((L26-C16)&lt;=0,(L26-C17)&lt;=0),0,IF(AND((L26-C16)&gt;=0,(L26-C17)&gt;=0),SQRT((B17-B16)^2+(C17-C16)^2),IF((L26-C16)&gt;0,SQRT(((B16+((L26-C16)/((L26-C16)-(L26-C17)))*(B17-B16))-B16)^2+(L26-C16)^2),SQRT((B17-(B16+((L26-C16)/((L26-C16)-(L26-C17)))*(B17-B16)))^2+(L26-C17)^2)))))+(IF(AND((L26-C17)&lt;=0,(L26-C18)&lt;=0),0,IF(AND((L26-C17)&gt;=0,(L26-C18)&gt;=0),SQRT((B18-B17)^2+(C18-C17)^2),IF((L26-C17)&gt;0,SQRT(((B17+((L26-C17)/((L26-C17)-(L26-C18)))*(B18-B17))-B17)^2+(L26-C17)^2),SQRT((B18-(B17+((L26-C17)/((L26-C17)-(L26-C18)))*(B18-B17)))^2+(L26-C18)^2)))))</f>
        <v/>
      </c>
      <c r="O26">
        <f>IF(OR($B$6&lt;=0,M26&lt;=0,N26&lt;=0,$B$4&lt;=0),0,(1/$B$6)*M26*((M26/N26)^(2/3))*SQRT($B$4))</f>
        <v/>
      </c>
    </row>
    <row r="27">
      <c r="A27" t="inlineStr">
        <is>
          <t>Q_manning à WSE (m³/s)</t>
        </is>
      </c>
      <c r="B27">
        <f>IF(OR(B6&lt;=0,B24&lt;=0,B4&lt;=0),0,(1/B6)*B24*(B26^(2/3))*SQRT(B4))</f>
        <v/>
      </c>
      <c r="I27" t="n">
        <v>19</v>
      </c>
      <c r="J27">
        <f>IF(O26&lt;$B$5,L26,J26)</f>
        <v/>
      </c>
      <c r="K27">
        <f>IF(O26&lt;$B$5,K26,L26)</f>
        <v/>
      </c>
      <c r="L27">
        <f>(J27+K27)/2</f>
        <v/>
      </c>
      <c r="M27">
        <f>(IF(AND((L27-C9)&lt;=0,(L27-C10)&lt;=0),0,IF(AND((L27-C9)&gt;=0,(L27-C10)&gt;=0),0.5*((L27-C9)+(L27-C10))*ABS(B10-B9),IF((L27-C9)&gt;0,0.5*(L27-C9)*ABS((B9+((L27-C9)/((L27-C9)-(L27-C10)))*(B10-B9))-B9),0.5*(L27-C10)*ABS(B10-(B9+((L27-C9)/((L27-C9)-(L27-C10)))*(B10-B9)))))))+(IF(AND((L27-C10)&lt;=0,(L27-C11)&lt;=0),0,IF(AND((L27-C10)&gt;=0,(L27-C11)&gt;=0),0.5*((L27-C10)+(L27-C11))*ABS(B11-B10),IF((L27-C10)&gt;0,0.5*(L27-C10)*ABS((B10+((L27-C10)/((L27-C10)-(L27-C11)))*(B11-B10))-B10),0.5*(L27-C11)*ABS(B11-(B10+((L27-C10)/((L27-C10)-(L27-C11)))*(B11-B10)))))))+(IF(AND((L27-C11)&lt;=0,(L27-C12)&lt;=0),0,IF(AND((L27-C11)&gt;=0,(L27-C12)&gt;=0),0.5*((L27-C11)+(L27-C12))*ABS(B12-B11),IF((L27-C11)&gt;0,0.5*(L27-C11)*ABS((B11+((L27-C11)/((L27-C11)-(L27-C12)))*(B12-B11))-B11),0.5*(L27-C12)*ABS(B12-(B11+((L27-C11)/((L27-C11)-(L27-C12)))*(B12-B11)))))))+(IF(AND((L27-C12)&lt;=0,(L27-C13)&lt;=0),0,IF(AND((L27-C12)&gt;=0,(L27-C13)&gt;=0),0.5*((L27-C12)+(L27-C13))*ABS(B13-B12),IF((L27-C12)&gt;0,0.5*(L27-C12)*ABS((B12+((L27-C12)/((L27-C12)-(L27-C13)))*(B13-B12))-B12),0.5*(L27-C13)*ABS(B13-(B12+((L27-C12)/((L27-C12)-(L27-C13)))*(B13-B12)))))))+(IF(AND((L27-C13)&lt;=0,(L27-C14)&lt;=0),0,IF(AND((L27-C13)&gt;=0,(L27-C14)&gt;=0),0.5*((L27-C13)+(L27-C14))*ABS(B14-B13),IF((L27-C13)&gt;0,0.5*(L27-C13)*ABS((B13+((L27-C13)/((L27-C13)-(L27-C14)))*(B14-B13))-B13),0.5*(L27-C14)*ABS(B14-(B13+((L27-C13)/((L27-C13)-(L27-C14)))*(B14-B13)))))))+(IF(AND((L27-C14)&lt;=0,(L27-C15)&lt;=0),0,IF(AND((L27-C14)&gt;=0,(L27-C15)&gt;=0),0.5*((L27-C14)+(L27-C15))*ABS(B15-B14),IF((L27-C14)&gt;0,0.5*(L27-C14)*ABS((B14+((L27-C14)/((L27-C14)-(L27-C15)))*(B15-B14))-B14),0.5*(L27-C15)*ABS(B15-(B14+((L27-C14)/((L27-C14)-(L27-C15)))*(B15-B14)))))))+(IF(AND((L27-C15)&lt;=0,(L27-C16)&lt;=0),0,IF(AND((L27-C15)&gt;=0,(L27-C16)&gt;=0),0.5*((L27-C15)+(L27-C16))*ABS(B16-B15),IF((L27-C15)&gt;0,0.5*(L27-C15)*ABS((B15+((L27-C15)/((L27-C15)-(L27-C16)))*(B16-B15))-B15),0.5*(L27-C16)*ABS(B16-(B15+((L27-C15)/((L27-C15)-(L27-C16)))*(B16-B15)))))))+(IF(AND((L27-C16)&lt;=0,(L27-C17)&lt;=0),0,IF(AND((L27-C16)&gt;=0,(L27-C17)&gt;=0),0.5*((L27-C16)+(L27-C17))*ABS(B17-B16),IF((L27-C16)&gt;0,0.5*(L27-C16)*ABS((B16+((L27-C16)/((L27-C16)-(L27-C17)))*(B17-B16))-B16),0.5*(L27-C17)*ABS(B17-(B16+((L27-C16)/((L27-C16)-(L27-C17)))*(B17-B16)))))))+(IF(AND((L27-C17)&lt;=0,(L27-C18)&lt;=0),0,IF(AND((L27-C17)&gt;=0,(L27-C18)&gt;=0),0.5*((L27-C17)+(L27-C18))*ABS(B18-B17),IF((L27-C17)&gt;0,0.5*(L27-C17)*ABS((B17+((L27-C17)/((L27-C17)-(L27-C18)))*(B18-B17))-B17),0.5*(L27-C18)*ABS(B18-(B17+((L27-C17)/((L27-C17)-(L27-C18)))*(B18-B17)))))))</f>
        <v/>
      </c>
      <c r="N27">
        <f>(IF(AND((L27-C9)&lt;=0,(L27-C10)&lt;=0),0,IF(AND((L27-C9)&gt;=0,(L27-C10)&gt;=0),SQRT((B10-B9)^2+(C10-C9)^2),IF((L27-C9)&gt;0,SQRT(((B9+((L27-C9)/((L27-C9)-(L27-C10)))*(B10-B9))-B9)^2+(L27-C9)^2),SQRT((B10-(B9+((L27-C9)/((L27-C9)-(L27-C10)))*(B10-B9)))^2+(L27-C10)^2)))))+(IF(AND((L27-C10)&lt;=0,(L27-C11)&lt;=0),0,IF(AND((L27-C10)&gt;=0,(L27-C11)&gt;=0),SQRT((B11-B10)^2+(C11-C10)^2),IF((L27-C10)&gt;0,SQRT(((B10+((L27-C10)/((L27-C10)-(L27-C11)))*(B11-B10))-B10)^2+(L27-C10)^2),SQRT((B11-(B10+((L27-C10)/((L27-C10)-(L27-C11)))*(B11-B10)))^2+(L27-C11)^2)))))+(IF(AND((L27-C11)&lt;=0,(L27-C12)&lt;=0),0,IF(AND((L27-C11)&gt;=0,(L27-C12)&gt;=0),SQRT((B12-B11)^2+(C12-C11)^2),IF((L27-C11)&gt;0,SQRT(((B11+((L27-C11)/((L27-C11)-(L27-C12)))*(B12-B11))-B11)^2+(L27-C11)^2),SQRT((B12-(B11+((L27-C11)/((L27-C11)-(L27-C12)))*(B12-B11)))^2+(L27-C12)^2)))))+(IF(AND((L27-C12)&lt;=0,(L27-C13)&lt;=0),0,IF(AND((L27-C12)&gt;=0,(L27-C13)&gt;=0),SQRT((B13-B12)^2+(C13-C12)^2),IF((L27-C12)&gt;0,SQRT(((B12+((L27-C12)/((L27-C12)-(L27-C13)))*(B13-B12))-B12)^2+(L27-C12)^2),SQRT((B13-(B12+((L27-C12)/((L27-C12)-(L27-C13)))*(B13-B12)))^2+(L27-C13)^2)))))+(IF(AND((L27-C13)&lt;=0,(L27-C14)&lt;=0),0,IF(AND((L27-C13)&gt;=0,(L27-C14)&gt;=0),SQRT((B14-B13)^2+(C14-C13)^2),IF((L27-C13)&gt;0,SQRT(((B13+((L27-C13)/((L27-C13)-(L27-C14)))*(B14-B13))-B13)^2+(L27-C13)^2),SQRT((B14-(B13+((L27-C13)/((L27-C13)-(L27-C14)))*(B14-B13)))^2+(L27-C14)^2)))))+(IF(AND((L27-C14)&lt;=0,(L27-C15)&lt;=0),0,IF(AND((L27-C14)&gt;=0,(L27-C15)&gt;=0),SQRT((B15-B14)^2+(C15-C14)^2),IF((L27-C14)&gt;0,SQRT(((B14+((L27-C14)/((L27-C14)-(L27-C15)))*(B15-B14))-B14)^2+(L27-C14)^2),SQRT((B15-(B14+((L27-C14)/((L27-C14)-(L27-C15)))*(B15-B14)))^2+(L27-C15)^2)))))+(IF(AND((L27-C15)&lt;=0,(L27-C16)&lt;=0),0,IF(AND((L27-C15)&gt;=0,(L27-C16)&gt;=0),SQRT((B16-B15)^2+(C16-C15)^2),IF((L27-C15)&gt;0,SQRT(((B15+((L27-C15)/((L27-C15)-(L27-C16)))*(B16-B15))-B15)^2+(L27-C15)^2),SQRT((B16-(B15+((L27-C15)/((L27-C15)-(L27-C16)))*(B16-B15)))^2+(L27-C16)^2)))))+(IF(AND((L27-C16)&lt;=0,(L27-C17)&lt;=0),0,IF(AND((L27-C16)&gt;=0,(L27-C17)&gt;=0),SQRT((B17-B16)^2+(C17-C16)^2),IF((L27-C16)&gt;0,SQRT(((B16+((L27-C16)/((L27-C16)-(L27-C17)))*(B17-B16))-B16)^2+(L27-C16)^2),SQRT((B17-(B16+((L27-C16)/((L27-C16)-(L27-C17)))*(B17-B16)))^2+(L27-C17)^2)))))+(IF(AND((L27-C17)&lt;=0,(L27-C18)&lt;=0),0,IF(AND((L27-C17)&gt;=0,(L27-C18)&gt;=0),SQRT((B18-B17)^2+(C18-C17)^2),IF((L27-C17)&gt;0,SQRT(((B17+((L27-C17)/((L27-C17)-(L27-C18)))*(B18-B17))-B17)^2+(L27-C17)^2),SQRT((B18-(B17+((L27-C17)/((L27-C17)-(L27-C18)))*(B18-B17)))^2+(L27-C18)^2)))))</f>
        <v/>
      </c>
      <c r="O27">
        <f>IF(OR($B$6&lt;=0,M27&lt;=0,N27&lt;=0,$B$4&lt;=0),0,(1/$B$6)*M27*((M27/N27)^(2/3))*SQRT($B$4))</f>
        <v/>
      </c>
    </row>
    <row r="28">
      <c r="A28" t="inlineStr">
        <is>
          <t>V = Q/A (m/s)</t>
        </is>
      </c>
      <c r="B28" s="19">
        <f>IF(B24&gt;0,B5/B24,0)</f>
        <v/>
      </c>
      <c r="I28" t="n">
        <v>20</v>
      </c>
      <c r="J28">
        <f>IF(O27&lt;$B$5,L27,J27)</f>
        <v/>
      </c>
      <c r="K28">
        <f>IF(O27&lt;$B$5,K27,L27)</f>
        <v/>
      </c>
      <c r="L28">
        <f>(J28+K28)/2</f>
        <v/>
      </c>
      <c r="M28">
        <f>(IF(AND((L28-C9)&lt;=0,(L28-C10)&lt;=0),0,IF(AND((L28-C9)&gt;=0,(L28-C10)&gt;=0),0.5*((L28-C9)+(L28-C10))*ABS(B10-B9),IF((L28-C9)&gt;0,0.5*(L28-C9)*ABS((B9+((L28-C9)/((L28-C9)-(L28-C10)))*(B10-B9))-B9),0.5*(L28-C10)*ABS(B10-(B9+((L28-C9)/((L28-C9)-(L28-C10)))*(B10-B9)))))))+(IF(AND((L28-C10)&lt;=0,(L28-C11)&lt;=0),0,IF(AND((L28-C10)&gt;=0,(L28-C11)&gt;=0),0.5*((L28-C10)+(L28-C11))*ABS(B11-B10),IF((L28-C10)&gt;0,0.5*(L28-C10)*ABS((B10+((L28-C10)/((L28-C10)-(L28-C11)))*(B11-B10))-B10),0.5*(L28-C11)*ABS(B11-(B10+((L28-C10)/((L28-C10)-(L28-C11)))*(B11-B10)))))))+(IF(AND((L28-C11)&lt;=0,(L28-C12)&lt;=0),0,IF(AND((L28-C11)&gt;=0,(L28-C12)&gt;=0),0.5*((L28-C11)+(L28-C12))*ABS(B12-B11),IF((L28-C11)&gt;0,0.5*(L28-C11)*ABS((B11+((L28-C11)/((L28-C11)-(L28-C12)))*(B12-B11))-B11),0.5*(L28-C12)*ABS(B12-(B11+((L28-C11)/((L28-C11)-(L28-C12)))*(B12-B11)))))))+(IF(AND((L28-C12)&lt;=0,(L28-C13)&lt;=0),0,IF(AND((L28-C12)&gt;=0,(L28-C13)&gt;=0),0.5*((L28-C12)+(L28-C13))*ABS(B13-B12),IF((L28-C12)&gt;0,0.5*(L28-C12)*ABS((B12+((L28-C12)/((L28-C12)-(L28-C13)))*(B13-B12))-B12),0.5*(L28-C13)*ABS(B13-(B12+((L28-C12)/((L28-C12)-(L28-C13)))*(B13-B12)))))))+(IF(AND((L28-C13)&lt;=0,(L28-C14)&lt;=0),0,IF(AND((L28-C13)&gt;=0,(L28-C14)&gt;=0),0.5*((L28-C13)+(L28-C14))*ABS(B14-B13),IF((L28-C13)&gt;0,0.5*(L28-C13)*ABS((B13+((L28-C13)/((L28-C13)-(L28-C14)))*(B14-B13))-B13),0.5*(L28-C14)*ABS(B14-(B13+((L28-C13)/((L28-C13)-(L28-C14)))*(B14-B13)))))))+(IF(AND((L28-C14)&lt;=0,(L28-C15)&lt;=0),0,IF(AND((L28-C14)&gt;=0,(L28-C15)&gt;=0),0.5*((L28-C14)+(L28-C15))*ABS(B15-B14),IF((L28-C14)&gt;0,0.5*(L28-C14)*ABS((B14+((L28-C14)/((L28-C14)-(L28-C15)))*(B15-B14))-B14),0.5*(L28-C15)*ABS(B15-(B14+((L28-C14)/((L28-C14)-(L28-C15)))*(B15-B14)))))))+(IF(AND((L28-C15)&lt;=0,(L28-C16)&lt;=0),0,IF(AND((L28-C15)&gt;=0,(L28-C16)&gt;=0),0.5*((L28-C15)+(L28-C16))*ABS(B16-B15),IF((L28-C15)&gt;0,0.5*(L28-C15)*ABS((B15+((L28-C15)/((L28-C15)-(L28-C16)))*(B16-B15))-B15),0.5*(L28-C16)*ABS(B16-(B15+((L28-C15)/((L28-C15)-(L28-C16)))*(B16-B15)))))))+(IF(AND((L28-C16)&lt;=0,(L28-C17)&lt;=0),0,IF(AND((L28-C16)&gt;=0,(L28-C17)&gt;=0),0.5*((L28-C16)+(L28-C17))*ABS(B17-B16),IF((L28-C16)&gt;0,0.5*(L28-C16)*ABS((B16+((L28-C16)/((L28-C16)-(L28-C17)))*(B17-B16))-B16),0.5*(L28-C17)*ABS(B17-(B16+((L28-C16)/((L28-C16)-(L28-C17)))*(B17-B16)))))))+(IF(AND((L28-C17)&lt;=0,(L28-C18)&lt;=0),0,IF(AND((L28-C17)&gt;=0,(L28-C18)&gt;=0),0.5*((L28-C17)+(L28-C18))*ABS(B18-B17),IF((L28-C17)&gt;0,0.5*(L28-C17)*ABS((B17+((L28-C17)/((L28-C17)-(L28-C18)))*(B18-B17))-B17),0.5*(L28-C18)*ABS(B18-(B17+((L28-C17)/((L28-C17)-(L28-C18)))*(B18-B17)))))))</f>
        <v/>
      </c>
      <c r="N28">
        <f>(IF(AND((L28-C9)&lt;=0,(L28-C10)&lt;=0),0,IF(AND((L28-C9)&gt;=0,(L28-C10)&gt;=0),SQRT((B10-B9)^2+(C10-C9)^2),IF((L28-C9)&gt;0,SQRT(((B9+((L28-C9)/((L28-C9)-(L28-C10)))*(B10-B9))-B9)^2+(L28-C9)^2),SQRT((B10-(B9+((L28-C9)/((L28-C9)-(L28-C10)))*(B10-B9)))^2+(L28-C10)^2)))))+(IF(AND((L28-C10)&lt;=0,(L28-C11)&lt;=0),0,IF(AND((L28-C10)&gt;=0,(L28-C11)&gt;=0),SQRT((B11-B10)^2+(C11-C10)^2),IF((L28-C10)&gt;0,SQRT(((B10+((L28-C10)/((L28-C10)-(L28-C11)))*(B11-B10))-B10)^2+(L28-C10)^2),SQRT((B11-(B10+((L28-C10)/((L28-C10)-(L28-C11)))*(B11-B10)))^2+(L28-C11)^2)))))+(IF(AND((L28-C11)&lt;=0,(L28-C12)&lt;=0),0,IF(AND((L28-C11)&gt;=0,(L28-C12)&gt;=0),SQRT((B12-B11)^2+(C12-C11)^2),IF((L28-C11)&gt;0,SQRT(((B11+((L28-C11)/((L28-C11)-(L28-C12)))*(B12-B11))-B11)^2+(L28-C11)^2),SQRT((B12-(B11+((L28-C11)/((L28-C11)-(L28-C12)))*(B12-B11)))^2+(L28-C12)^2)))))+(IF(AND((L28-C12)&lt;=0,(L28-C13)&lt;=0),0,IF(AND((L28-C12)&gt;=0,(L28-C13)&gt;=0),SQRT((B13-B12)^2+(C13-C12)^2),IF((L28-C12)&gt;0,SQRT(((B12+((L28-C12)/((L28-C12)-(L28-C13)))*(B13-B12))-B12)^2+(L28-C12)^2),SQRT((B13-(B12+((L28-C12)/((L28-C12)-(L28-C13)))*(B13-B12)))^2+(L28-C13)^2)))))+(IF(AND((L28-C13)&lt;=0,(L28-C14)&lt;=0),0,IF(AND((L28-C13)&gt;=0,(L28-C14)&gt;=0),SQRT((B14-B13)^2+(C14-C13)^2),IF((L28-C13)&gt;0,SQRT(((B13+((L28-C13)/((L28-C13)-(L28-C14)))*(B14-B13))-B13)^2+(L28-C13)^2),SQRT((B14-(B13+((L28-C13)/((L28-C13)-(L28-C14)))*(B14-B13)))^2+(L28-C14)^2)))))+(IF(AND((L28-C14)&lt;=0,(L28-C15)&lt;=0),0,IF(AND((L28-C14)&gt;=0,(L28-C15)&gt;=0),SQRT((B15-B14)^2+(C15-C14)^2),IF((L28-C14)&gt;0,SQRT(((B14+((L28-C14)/((L28-C14)-(L28-C15)))*(B15-B14))-B14)^2+(L28-C14)^2),SQRT((B15-(B14+((L28-C14)/((L28-C14)-(L28-C15)))*(B15-B14)))^2+(L28-C15)^2)))))+(IF(AND((L28-C15)&lt;=0,(L28-C16)&lt;=0),0,IF(AND((L28-C15)&gt;=0,(L28-C16)&gt;=0),SQRT((B16-B15)^2+(C16-C15)^2),IF((L28-C15)&gt;0,SQRT(((B15+((L28-C15)/((L28-C15)-(L28-C16)))*(B16-B15))-B15)^2+(L28-C15)^2),SQRT((B16-(B15+((L28-C15)/((L28-C15)-(L28-C16)))*(B16-B15)))^2+(L28-C16)^2)))))+(IF(AND((L28-C16)&lt;=0,(L28-C17)&lt;=0),0,IF(AND((L28-C16)&gt;=0,(L28-C17)&gt;=0),SQRT((B17-B16)^2+(C17-C16)^2),IF((L28-C16)&gt;0,SQRT(((B16+((L28-C16)/((L28-C16)-(L28-C17)))*(B17-B16))-B16)^2+(L28-C16)^2),SQRT((B17-(B16+((L28-C16)/((L28-C16)-(L28-C17)))*(B17-B16)))^2+(L28-C17)^2)))))+(IF(AND((L28-C17)&lt;=0,(L28-C18)&lt;=0),0,IF(AND((L28-C17)&gt;=0,(L28-C18)&gt;=0),SQRT((B18-B17)^2+(C18-C17)^2),IF((L28-C17)&gt;0,SQRT(((B17+((L28-C17)/((L28-C17)-(L28-C18)))*(B18-B17))-B17)^2+(L28-C17)^2),SQRT((B18-(B17+((L28-C17)/((L28-C17)-(L28-C18)))*(B18-B17)))^2+(L28-C18)^2)))))</f>
        <v/>
      </c>
      <c r="O28">
        <f>IF(OR($B$6&lt;=0,M28&lt;=0,N28&lt;=0,$B$4&lt;=0),0,(1/$B$6)*M28*((M28/N28)^(2/3))*SQRT($B$4))</f>
        <v/>
      </c>
    </row>
    <row r="29">
      <c r="A29" t="inlineStr">
        <is>
          <t>Écart Q_manning − Q</t>
        </is>
      </c>
      <c r="B29" s="20">
        <f>B27-B5</f>
        <v/>
      </c>
      <c r="I29" t="n">
        <v>21</v>
      </c>
      <c r="J29">
        <f>IF(O28&lt;$B$5,L28,J28)</f>
        <v/>
      </c>
      <c r="K29">
        <f>IF(O28&lt;$B$5,K28,L28)</f>
        <v/>
      </c>
      <c r="L29">
        <f>(J29+K29)/2</f>
        <v/>
      </c>
      <c r="M29">
        <f>(IF(AND((L29-C9)&lt;=0,(L29-C10)&lt;=0),0,IF(AND((L29-C9)&gt;=0,(L29-C10)&gt;=0),0.5*((L29-C9)+(L29-C10))*ABS(B10-B9),IF((L29-C9)&gt;0,0.5*(L29-C9)*ABS((B9+((L29-C9)/((L29-C9)-(L29-C10)))*(B10-B9))-B9),0.5*(L29-C10)*ABS(B10-(B9+((L29-C9)/((L29-C9)-(L29-C10)))*(B10-B9)))))))+(IF(AND((L29-C10)&lt;=0,(L29-C11)&lt;=0),0,IF(AND((L29-C10)&gt;=0,(L29-C11)&gt;=0),0.5*((L29-C10)+(L29-C11))*ABS(B11-B10),IF((L29-C10)&gt;0,0.5*(L29-C10)*ABS((B10+((L29-C10)/((L29-C10)-(L29-C11)))*(B11-B10))-B10),0.5*(L29-C11)*ABS(B11-(B10+((L29-C10)/((L29-C10)-(L29-C11)))*(B11-B10)))))))+(IF(AND((L29-C11)&lt;=0,(L29-C12)&lt;=0),0,IF(AND((L29-C11)&gt;=0,(L29-C12)&gt;=0),0.5*((L29-C11)+(L29-C12))*ABS(B12-B11),IF((L29-C11)&gt;0,0.5*(L29-C11)*ABS((B11+((L29-C11)/((L29-C11)-(L29-C12)))*(B12-B11))-B11),0.5*(L29-C12)*ABS(B12-(B11+((L29-C11)/((L29-C11)-(L29-C12)))*(B12-B11)))))))+(IF(AND((L29-C12)&lt;=0,(L29-C13)&lt;=0),0,IF(AND((L29-C12)&gt;=0,(L29-C13)&gt;=0),0.5*((L29-C12)+(L29-C13))*ABS(B13-B12),IF((L29-C12)&gt;0,0.5*(L29-C12)*ABS((B12+((L29-C12)/((L29-C12)-(L29-C13)))*(B13-B12))-B12),0.5*(L29-C13)*ABS(B13-(B12+((L29-C12)/((L29-C12)-(L29-C13)))*(B13-B12)))))))+(IF(AND((L29-C13)&lt;=0,(L29-C14)&lt;=0),0,IF(AND((L29-C13)&gt;=0,(L29-C14)&gt;=0),0.5*((L29-C13)+(L29-C14))*ABS(B14-B13),IF((L29-C13)&gt;0,0.5*(L29-C13)*ABS((B13+((L29-C13)/((L29-C13)-(L29-C14)))*(B14-B13))-B13),0.5*(L29-C14)*ABS(B14-(B13+((L29-C13)/((L29-C13)-(L29-C14)))*(B14-B13)))))))+(IF(AND((L29-C14)&lt;=0,(L29-C15)&lt;=0),0,IF(AND((L29-C14)&gt;=0,(L29-C15)&gt;=0),0.5*((L29-C14)+(L29-C15))*ABS(B15-B14),IF((L29-C14)&gt;0,0.5*(L29-C14)*ABS((B14+((L29-C14)/((L29-C14)-(L29-C15)))*(B15-B14))-B14),0.5*(L29-C15)*ABS(B15-(B14+((L29-C14)/((L29-C14)-(L29-C15)))*(B15-B14)))))))+(IF(AND((L29-C15)&lt;=0,(L29-C16)&lt;=0),0,IF(AND((L29-C15)&gt;=0,(L29-C16)&gt;=0),0.5*((L29-C15)+(L29-C16))*ABS(B16-B15),IF((L29-C15)&gt;0,0.5*(L29-C15)*ABS((B15+((L29-C15)/((L29-C15)-(L29-C16)))*(B16-B15))-B15),0.5*(L29-C16)*ABS(B16-(B15+((L29-C15)/((L29-C15)-(L29-C16)))*(B16-B15)))))))+(IF(AND((L29-C16)&lt;=0,(L29-C17)&lt;=0),0,IF(AND((L29-C16)&gt;=0,(L29-C17)&gt;=0),0.5*((L29-C16)+(L29-C17))*ABS(B17-B16),IF((L29-C16)&gt;0,0.5*(L29-C16)*ABS((B16+((L29-C16)/((L29-C16)-(L29-C17)))*(B17-B16))-B16),0.5*(L29-C17)*ABS(B17-(B16+((L29-C16)/((L29-C16)-(L29-C17)))*(B17-B16)))))))+(IF(AND((L29-C17)&lt;=0,(L29-C18)&lt;=0),0,IF(AND((L29-C17)&gt;=0,(L29-C18)&gt;=0),0.5*((L29-C17)+(L29-C18))*ABS(B18-B17),IF((L29-C17)&gt;0,0.5*(L29-C17)*ABS((B17+((L29-C17)/((L29-C17)-(L29-C18)))*(B18-B17))-B17),0.5*(L29-C18)*ABS(B18-(B17+((L29-C17)/((L29-C17)-(L29-C18)))*(B18-B17)))))))</f>
        <v/>
      </c>
      <c r="N29">
        <f>(IF(AND((L29-C9)&lt;=0,(L29-C10)&lt;=0),0,IF(AND((L29-C9)&gt;=0,(L29-C10)&gt;=0),SQRT((B10-B9)^2+(C10-C9)^2),IF((L29-C9)&gt;0,SQRT(((B9+((L29-C9)/((L29-C9)-(L29-C10)))*(B10-B9))-B9)^2+(L29-C9)^2),SQRT((B10-(B9+((L29-C9)/((L29-C9)-(L29-C10)))*(B10-B9)))^2+(L29-C10)^2)))))+(IF(AND((L29-C10)&lt;=0,(L29-C11)&lt;=0),0,IF(AND((L29-C10)&gt;=0,(L29-C11)&gt;=0),SQRT((B11-B10)^2+(C11-C10)^2),IF((L29-C10)&gt;0,SQRT(((B10+((L29-C10)/((L29-C10)-(L29-C11)))*(B11-B10))-B10)^2+(L29-C10)^2),SQRT((B11-(B10+((L29-C10)/((L29-C10)-(L29-C11)))*(B11-B10)))^2+(L29-C11)^2)))))+(IF(AND((L29-C11)&lt;=0,(L29-C12)&lt;=0),0,IF(AND((L29-C11)&gt;=0,(L29-C12)&gt;=0),SQRT((B12-B11)^2+(C12-C11)^2),IF((L29-C11)&gt;0,SQRT(((B11+((L29-C11)/((L29-C11)-(L29-C12)))*(B12-B11))-B11)^2+(L29-C11)^2),SQRT((B12-(B11+((L29-C11)/((L29-C11)-(L29-C12)))*(B12-B11)))^2+(L29-C12)^2)))))+(IF(AND((L29-C12)&lt;=0,(L29-C13)&lt;=0),0,IF(AND((L29-C12)&gt;=0,(L29-C13)&gt;=0),SQRT((B13-B12)^2+(C13-C12)^2),IF((L29-C12)&gt;0,SQRT(((B12+((L29-C12)/((L29-C12)-(L29-C13)))*(B13-B12))-B12)^2+(L29-C12)^2),SQRT((B13-(B12+((L29-C12)/((L29-C12)-(L29-C13)))*(B13-B12)))^2+(L29-C13)^2)))))+(IF(AND((L29-C13)&lt;=0,(L29-C14)&lt;=0),0,IF(AND((L29-C13)&gt;=0,(L29-C14)&gt;=0),SQRT((B14-B13)^2+(C14-C13)^2),IF((L29-C13)&gt;0,SQRT(((B13+((L29-C13)/((L29-C13)-(L29-C14)))*(B14-B13))-B13)^2+(L29-C13)^2),SQRT((B14-(B13+((L29-C13)/((L29-C13)-(L29-C14)))*(B14-B13)))^2+(L29-C14)^2)))))+(IF(AND((L29-C14)&lt;=0,(L29-C15)&lt;=0),0,IF(AND((L29-C14)&gt;=0,(L29-C15)&gt;=0),SQRT((B15-B14)^2+(C15-C14)^2),IF((L29-C14)&gt;0,SQRT(((B14+((L29-C14)/((L29-C14)-(L29-C15)))*(B15-B14))-B14)^2+(L29-C14)^2),SQRT((B15-(B14+((L29-C14)/((L29-C14)-(L29-C15)))*(B15-B14)))^2+(L29-C15)^2)))))+(IF(AND((L29-C15)&lt;=0,(L29-C16)&lt;=0),0,IF(AND((L29-C15)&gt;=0,(L29-C16)&gt;=0),SQRT((B16-B15)^2+(C16-C15)^2),IF((L29-C15)&gt;0,SQRT(((B15+((L29-C15)/((L29-C15)-(L29-C16)))*(B16-B15))-B15)^2+(L29-C15)^2),SQRT((B16-(B15+((L29-C15)/((L29-C15)-(L29-C16)))*(B16-B15)))^2+(L29-C16)^2)))))+(IF(AND((L29-C16)&lt;=0,(L29-C17)&lt;=0),0,IF(AND((L29-C16)&gt;=0,(L29-C17)&gt;=0),SQRT((B17-B16)^2+(C17-C16)^2),IF((L29-C16)&gt;0,SQRT(((B16+((L29-C16)/((L29-C16)-(L29-C17)))*(B17-B16))-B16)^2+(L29-C16)^2),SQRT((B17-(B16+((L29-C16)/((L29-C16)-(L29-C17)))*(B17-B16)))^2+(L29-C17)^2)))))+(IF(AND((L29-C17)&lt;=0,(L29-C18)&lt;=0),0,IF(AND((L29-C17)&gt;=0,(L29-C18)&gt;=0),SQRT((B18-B17)^2+(C18-C17)^2),IF((L29-C17)&gt;0,SQRT(((B17+((L29-C17)/((L29-C17)-(L29-C18)))*(B18-B17))-B17)^2+(L29-C17)^2),SQRT((B18-(B17+((L29-C17)/((L29-C17)-(L29-C18)))*(B18-B17)))^2+(L29-C18)^2)))))</f>
        <v/>
      </c>
      <c r="O29">
        <f>IF(OR($B$6&lt;=0,M29&lt;=0,N29&lt;=0,$B$4&lt;=0),0,(1/$B$6)*M29*((M29/N29)^(2/3))*SQRT($B$4))</f>
        <v/>
      </c>
    </row>
    <row r="30">
      <c r="A30" t="inlineStr">
        <is>
          <t>Note</t>
        </is>
      </c>
      <c r="B30" t="inlineStr">
        <is>
          <t>Changer Q (B5) ou n (B6) → WSE, A, V se recalculent seuls. S0 vient du longitudinal.</t>
        </is>
      </c>
      <c r="I30" t="n">
        <v>22</v>
      </c>
      <c r="J30">
        <f>IF(O29&lt;$B$5,L29,J29)</f>
        <v/>
      </c>
      <c r="K30">
        <f>IF(O29&lt;$B$5,K29,L29)</f>
        <v/>
      </c>
      <c r="L30">
        <f>(J30+K30)/2</f>
        <v/>
      </c>
      <c r="M30">
        <f>(IF(AND((L30-C9)&lt;=0,(L30-C10)&lt;=0),0,IF(AND((L30-C9)&gt;=0,(L30-C10)&gt;=0),0.5*((L30-C9)+(L30-C10))*ABS(B10-B9),IF((L30-C9)&gt;0,0.5*(L30-C9)*ABS((B9+((L30-C9)/((L30-C9)-(L30-C10)))*(B10-B9))-B9),0.5*(L30-C10)*ABS(B10-(B9+((L30-C9)/((L30-C9)-(L30-C10)))*(B10-B9)))))))+(IF(AND((L30-C10)&lt;=0,(L30-C11)&lt;=0),0,IF(AND((L30-C10)&gt;=0,(L30-C11)&gt;=0),0.5*((L30-C10)+(L30-C11))*ABS(B11-B10),IF((L30-C10)&gt;0,0.5*(L30-C10)*ABS((B10+((L30-C10)/((L30-C10)-(L30-C11)))*(B11-B10))-B10),0.5*(L30-C11)*ABS(B11-(B10+((L30-C10)/((L30-C10)-(L30-C11)))*(B11-B10)))))))+(IF(AND((L30-C11)&lt;=0,(L30-C12)&lt;=0),0,IF(AND((L30-C11)&gt;=0,(L30-C12)&gt;=0),0.5*((L30-C11)+(L30-C12))*ABS(B12-B11),IF((L30-C11)&gt;0,0.5*(L30-C11)*ABS((B11+((L30-C11)/((L30-C11)-(L30-C12)))*(B12-B11))-B11),0.5*(L30-C12)*ABS(B12-(B11+((L30-C11)/((L30-C11)-(L30-C12)))*(B12-B11)))))))+(IF(AND((L30-C12)&lt;=0,(L30-C13)&lt;=0),0,IF(AND((L30-C12)&gt;=0,(L30-C13)&gt;=0),0.5*((L30-C12)+(L30-C13))*ABS(B13-B12),IF((L30-C12)&gt;0,0.5*(L30-C12)*ABS((B12+((L30-C12)/((L30-C12)-(L30-C13)))*(B13-B12))-B12),0.5*(L30-C13)*ABS(B13-(B12+((L30-C12)/((L30-C12)-(L30-C13)))*(B13-B12)))))))+(IF(AND((L30-C13)&lt;=0,(L30-C14)&lt;=0),0,IF(AND((L30-C13)&gt;=0,(L30-C14)&gt;=0),0.5*((L30-C13)+(L30-C14))*ABS(B14-B13),IF((L30-C13)&gt;0,0.5*(L30-C13)*ABS((B13+((L30-C13)/((L30-C13)-(L30-C14)))*(B14-B13))-B13),0.5*(L30-C14)*ABS(B14-(B13+((L30-C13)/((L30-C13)-(L30-C14)))*(B14-B13)))))))+(IF(AND((L30-C14)&lt;=0,(L30-C15)&lt;=0),0,IF(AND((L30-C14)&gt;=0,(L30-C15)&gt;=0),0.5*((L30-C14)+(L30-C15))*ABS(B15-B14),IF((L30-C14)&gt;0,0.5*(L30-C14)*ABS((B14+((L30-C14)/((L30-C14)-(L30-C15)))*(B15-B14))-B14),0.5*(L30-C15)*ABS(B15-(B14+((L30-C14)/((L30-C14)-(L30-C15)))*(B15-B14)))))))+(IF(AND((L30-C15)&lt;=0,(L30-C16)&lt;=0),0,IF(AND((L30-C15)&gt;=0,(L30-C16)&gt;=0),0.5*((L30-C15)+(L30-C16))*ABS(B16-B15),IF((L30-C15)&gt;0,0.5*(L30-C15)*ABS((B15+((L30-C15)/((L30-C15)-(L30-C16)))*(B16-B15))-B15),0.5*(L30-C16)*ABS(B16-(B15+((L30-C15)/((L30-C15)-(L30-C16)))*(B16-B15)))))))+(IF(AND((L30-C16)&lt;=0,(L30-C17)&lt;=0),0,IF(AND((L30-C16)&gt;=0,(L30-C17)&gt;=0),0.5*((L30-C16)+(L30-C17))*ABS(B17-B16),IF((L30-C16)&gt;0,0.5*(L30-C16)*ABS((B16+((L30-C16)/((L30-C16)-(L30-C17)))*(B17-B16))-B16),0.5*(L30-C17)*ABS(B17-(B16+((L30-C16)/((L30-C16)-(L30-C17)))*(B17-B16)))))))+(IF(AND((L30-C17)&lt;=0,(L30-C18)&lt;=0),0,IF(AND((L30-C17)&gt;=0,(L30-C18)&gt;=0),0.5*((L30-C17)+(L30-C18))*ABS(B18-B17),IF((L30-C17)&gt;0,0.5*(L30-C17)*ABS((B17+((L30-C17)/((L30-C17)-(L30-C18)))*(B18-B17))-B17),0.5*(L30-C18)*ABS(B18-(B17+((L30-C17)/((L30-C17)-(L30-C18)))*(B18-B17)))))))</f>
        <v/>
      </c>
      <c r="N30">
        <f>(IF(AND((L30-C9)&lt;=0,(L30-C10)&lt;=0),0,IF(AND((L30-C9)&gt;=0,(L30-C10)&gt;=0),SQRT((B10-B9)^2+(C10-C9)^2),IF((L30-C9)&gt;0,SQRT(((B9+((L30-C9)/((L30-C9)-(L30-C10)))*(B10-B9))-B9)^2+(L30-C9)^2),SQRT((B10-(B9+((L30-C9)/((L30-C9)-(L30-C10)))*(B10-B9)))^2+(L30-C10)^2)))))+(IF(AND((L30-C10)&lt;=0,(L30-C11)&lt;=0),0,IF(AND((L30-C10)&gt;=0,(L30-C11)&gt;=0),SQRT((B11-B10)^2+(C11-C10)^2),IF((L30-C10)&gt;0,SQRT(((B10+((L30-C10)/((L30-C10)-(L30-C11)))*(B11-B10))-B10)^2+(L30-C10)^2),SQRT((B11-(B10+((L30-C10)/((L30-C10)-(L30-C11)))*(B11-B10)))^2+(L30-C11)^2)))))+(IF(AND((L30-C11)&lt;=0,(L30-C12)&lt;=0),0,IF(AND((L30-C11)&gt;=0,(L30-C12)&gt;=0),SQRT((B12-B11)^2+(C12-C11)^2),IF((L30-C11)&gt;0,SQRT(((B11+((L30-C11)/((L30-C11)-(L30-C12)))*(B12-B11))-B11)^2+(L30-C11)^2),SQRT((B12-(B11+((L30-C11)/((L30-C11)-(L30-C12)))*(B12-B11)))^2+(L30-C12)^2)))))+(IF(AND((L30-C12)&lt;=0,(L30-C13)&lt;=0),0,IF(AND((L30-C12)&gt;=0,(L30-C13)&gt;=0),SQRT((B13-B12)^2+(C13-C12)^2),IF((L30-C12)&gt;0,SQRT(((B12+((L30-C12)/((L30-C12)-(L30-C13)))*(B13-B12))-B12)^2+(L30-C12)^2),SQRT((B13-(B12+((L30-C12)/((L30-C12)-(L30-C13)))*(B13-B12)))^2+(L30-C13)^2)))))+(IF(AND((L30-C13)&lt;=0,(L30-C14)&lt;=0),0,IF(AND((L30-C13)&gt;=0,(L30-C14)&gt;=0),SQRT((B14-B13)^2+(C14-C13)^2),IF((L30-C13)&gt;0,SQRT(((B13+((L30-C13)/((L30-C13)-(L30-C14)))*(B14-B13))-B13)^2+(L30-C13)^2),SQRT((B14-(B13+((L30-C13)/((L30-C13)-(L30-C14)))*(B14-B13)))^2+(L30-C14)^2)))))+(IF(AND((L30-C14)&lt;=0,(L30-C15)&lt;=0),0,IF(AND((L30-C14)&gt;=0,(L30-C15)&gt;=0),SQRT((B15-B14)^2+(C15-C14)^2),IF((L30-C14)&gt;0,SQRT(((B14+((L30-C14)/((L30-C14)-(L30-C15)))*(B15-B14))-B14)^2+(L30-C14)^2),SQRT((B15-(B14+((L30-C14)/((L30-C14)-(L30-C15)))*(B15-B14)))^2+(L30-C15)^2)))))+(IF(AND((L30-C15)&lt;=0,(L30-C16)&lt;=0),0,IF(AND((L30-C15)&gt;=0,(L30-C16)&gt;=0),SQRT((B16-B15)^2+(C16-C15)^2),IF((L30-C15)&gt;0,SQRT(((B15+((L30-C15)/((L30-C15)-(L30-C16)))*(B16-B15))-B15)^2+(L30-C15)^2),SQRT((B16-(B15+((L30-C15)/((L30-C15)-(L30-C16)))*(B16-B15)))^2+(L30-C16)^2)))))+(IF(AND((L30-C16)&lt;=0,(L30-C17)&lt;=0),0,IF(AND((L30-C16)&gt;=0,(L30-C17)&gt;=0),SQRT((B17-B16)^2+(C17-C16)^2),IF((L30-C16)&gt;0,SQRT(((B16+((L30-C16)/((L30-C16)-(L30-C17)))*(B17-B16))-B16)^2+(L30-C16)^2),SQRT((B17-(B16+((L30-C16)/((L30-C16)-(L30-C17)))*(B17-B16)))^2+(L30-C17)^2)))))+(IF(AND((L30-C17)&lt;=0,(L30-C18)&lt;=0),0,IF(AND((L30-C17)&gt;=0,(L30-C18)&gt;=0),SQRT((B18-B17)^2+(C18-C17)^2),IF((L30-C17)&gt;0,SQRT(((B17+((L30-C17)/((L30-C17)-(L30-C18)))*(B18-B17))-B17)^2+(L30-C17)^2),SQRT((B18-(B17+((L30-C17)/((L30-C17)-(L30-C18)))*(B18-B17)))^2+(L30-C18)^2)))))</f>
        <v/>
      </c>
      <c r="O30">
        <f>IF(OR($B$6&lt;=0,M30&lt;=0,N30&lt;=0,$B$4&lt;=0),0,(1/$B$6)*M30*((M30/N30)^(2/3))*SQRT($B$4))</f>
        <v/>
      </c>
    </row>
    <row r="31">
      <c r="I31" t="n">
        <v>23</v>
      </c>
      <c r="J31">
        <f>IF(O30&lt;$B$5,L30,J30)</f>
        <v/>
      </c>
      <c r="K31">
        <f>IF(O30&lt;$B$5,K30,L30)</f>
        <v/>
      </c>
      <c r="L31">
        <f>(J31+K31)/2</f>
        <v/>
      </c>
      <c r="M31">
        <f>(IF(AND((L31-C9)&lt;=0,(L31-C10)&lt;=0),0,IF(AND((L31-C9)&gt;=0,(L31-C10)&gt;=0),0.5*((L31-C9)+(L31-C10))*ABS(B10-B9),IF((L31-C9)&gt;0,0.5*(L31-C9)*ABS((B9+((L31-C9)/((L31-C9)-(L31-C10)))*(B10-B9))-B9),0.5*(L31-C10)*ABS(B10-(B9+((L31-C9)/((L31-C9)-(L31-C10)))*(B10-B9)))))))+(IF(AND((L31-C10)&lt;=0,(L31-C11)&lt;=0),0,IF(AND((L31-C10)&gt;=0,(L31-C11)&gt;=0),0.5*((L31-C10)+(L31-C11))*ABS(B11-B10),IF((L31-C10)&gt;0,0.5*(L31-C10)*ABS((B10+((L31-C10)/((L31-C10)-(L31-C11)))*(B11-B10))-B10),0.5*(L31-C11)*ABS(B11-(B10+((L31-C10)/((L31-C10)-(L31-C11)))*(B11-B10)))))))+(IF(AND((L31-C11)&lt;=0,(L31-C12)&lt;=0),0,IF(AND((L31-C11)&gt;=0,(L31-C12)&gt;=0),0.5*((L31-C11)+(L31-C12))*ABS(B12-B11),IF((L31-C11)&gt;0,0.5*(L31-C11)*ABS((B11+((L31-C11)/((L31-C11)-(L31-C12)))*(B12-B11))-B11),0.5*(L31-C12)*ABS(B12-(B11+((L31-C11)/((L31-C11)-(L31-C12)))*(B12-B11)))))))+(IF(AND((L31-C12)&lt;=0,(L31-C13)&lt;=0),0,IF(AND((L31-C12)&gt;=0,(L31-C13)&gt;=0),0.5*((L31-C12)+(L31-C13))*ABS(B13-B12),IF((L31-C12)&gt;0,0.5*(L31-C12)*ABS((B12+((L31-C12)/((L31-C12)-(L31-C13)))*(B13-B12))-B12),0.5*(L31-C13)*ABS(B13-(B12+((L31-C12)/((L31-C12)-(L31-C13)))*(B13-B12)))))))+(IF(AND((L31-C13)&lt;=0,(L31-C14)&lt;=0),0,IF(AND((L31-C13)&gt;=0,(L31-C14)&gt;=0),0.5*((L31-C13)+(L31-C14))*ABS(B14-B13),IF((L31-C13)&gt;0,0.5*(L31-C13)*ABS((B13+((L31-C13)/((L31-C13)-(L31-C14)))*(B14-B13))-B13),0.5*(L31-C14)*ABS(B14-(B13+((L31-C13)/((L31-C13)-(L31-C14)))*(B14-B13)))))))+(IF(AND((L31-C14)&lt;=0,(L31-C15)&lt;=0),0,IF(AND((L31-C14)&gt;=0,(L31-C15)&gt;=0),0.5*((L31-C14)+(L31-C15))*ABS(B15-B14),IF((L31-C14)&gt;0,0.5*(L31-C14)*ABS((B14+((L31-C14)/((L31-C14)-(L31-C15)))*(B15-B14))-B14),0.5*(L31-C15)*ABS(B15-(B14+((L31-C14)/((L31-C14)-(L31-C15)))*(B15-B14)))))))+(IF(AND((L31-C15)&lt;=0,(L31-C16)&lt;=0),0,IF(AND((L31-C15)&gt;=0,(L31-C16)&gt;=0),0.5*((L31-C15)+(L31-C16))*ABS(B16-B15),IF((L31-C15)&gt;0,0.5*(L31-C15)*ABS((B15+((L31-C15)/((L31-C15)-(L31-C16)))*(B16-B15))-B15),0.5*(L31-C16)*ABS(B16-(B15+((L31-C15)/((L31-C15)-(L31-C16)))*(B16-B15)))))))+(IF(AND((L31-C16)&lt;=0,(L31-C17)&lt;=0),0,IF(AND((L31-C16)&gt;=0,(L31-C17)&gt;=0),0.5*((L31-C16)+(L31-C17))*ABS(B17-B16),IF((L31-C16)&gt;0,0.5*(L31-C16)*ABS((B16+((L31-C16)/((L31-C16)-(L31-C17)))*(B17-B16))-B16),0.5*(L31-C17)*ABS(B17-(B16+((L31-C16)/((L31-C16)-(L31-C17)))*(B17-B16)))))))+(IF(AND((L31-C17)&lt;=0,(L31-C18)&lt;=0),0,IF(AND((L31-C17)&gt;=0,(L31-C18)&gt;=0),0.5*((L31-C17)+(L31-C18))*ABS(B18-B17),IF((L31-C17)&gt;0,0.5*(L31-C17)*ABS((B17+((L31-C17)/((L31-C17)-(L31-C18)))*(B18-B17))-B17),0.5*(L31-C18)*ABS(B18-(B17+((L31-C17)/((L31-C17)-(L31-C18)))*(B18-B17)))))))</f>
        <v/>
      </c>
      <c r="N31">
        <f>(IF(AND((L31-C9)&lt;=0,(L31-C10)&lt;=0),0,IF(AND((L31-C9)&gt;=0,(L31-C10)&gt;=0),SQRT((B10-B9)^2+(C10-C9)^2),IF((L31-C9)&gt;0,SQRT(((B9+((L31-C9)/((L31-C9)-(L31-C10)))*(B10-B9))-B9)^2+(L31-C9)^2),SQRT((B10-(B9+((L31-C9)/((L31-C9)-(L31-C10)))*(B10-B9)))^2+(L31-C10)^2)))))+(IF(AND((L31-C10)&lt;=0,(L31-C11)&lt;=0),0,IF(AND((L31-C10)&gt;=0,(L31-C11)&gt;=0),SQRT((B11-B10)^2+(C11-C10)^2),IF((L31-C10)&gt;0,SQRT(((B10+((L31-C10)/((L31-C10)-(L31-C11)))*(B11-B10))-B10)^2+(L31-C10)^2),SQRT((B11-(B10+((L31-C10)/((L31-C10)-(L31-C11)))*(B11-B10)))^2+(L31-C11)^2)))))+(IF(AND((L31-C11)&lt;=0,(L31-C12)&lt;=0),0,IF(AND((L31-C11)&gt;=0,(L31-C12)&gt;=0),SQRT((B12-B11)^2+(C12-C11)^2),IF((L31-C11)&gt;0,SQRT(((B11+((L31-C11)/((L31-C11)-(L31-C12)))*(B12-B11))-B11)^2+(L31-C11)^2),SQRT((B12-(B11+((L31-C11)/((L31-C11)-(L31-C12)))*(B12-B11)))^2+(L31-C12)^2)))))+(IF(AND((L31-C12)&lt;=0,(L31-C13)&lt;=0),0,IF(AND((L31-C12)&gt;=0,(L31-C13)&gt;=0),SQRT((B13-B12)^2+(C13-C12)^2),IF((L31-C12)&gt;0,SQRT(((B12+((L31-C12)/((L31-C12)-(L31-C13)))*(B13-B12))-B12)^2+(L31-C12)^2),SQRT((B13-(B12+((L31-C12)/((L31-C12)-(L31-C13)))*(B13-B12)))^2+(L31-C13)^2)))))+(IF(AND((L31-C13)&lt;=0,(L31-C14)&lt;=0),0,IF(AND((L31-C13)&gt;=0,(L31-C14)&gt;=0),SQRT((B14-B13)^2+(C14-C13)^2),IF((L31-C13)&gt;0,SQRT(((B13+((L31-C13)/((L31-C13)-(L31-C14)))*(B14-B13))-B13)^2+(L31-C13)^2),SQRT((B14-(B13+((L31-C13)/((L31-C13)-(L31-C14)))*(B14-B13)))^2+(L31-C14)^2)))))+(IF(AND((L31-C14)&lt;=0,(L31-C15)&lt;=0),0,IF(AND((L31-C14)&gt;=0,(L31-C15)&gt;=0),SQRT((B15-B14)^2+(C15-C14)^2),IF((L31-C14)&gt;0,SQRT(((B14+((L31-C14)/((L31-C14)-(L31-C15)))*(B15-B14))-B14)^2+(L31-C14)^2),SQRT((B15-(B14+((L31-C14)/((L31-C14)-(L31-C15)))*(B15-B14)))^2+(L31-C15)^2)))))+(IF(AND((L31-C15)&lt;=0,(L31-C16)&lt;=0),0,IF(AND((L31-C15)&gt;=0,(L31-C16)&gt;=0),SQRT((B16-B15)^2+(C16-C15)^2),IF((L31-C15)&gt;0,SQRT(((B15+((L31-C15)/((L31-C15)-(L31-C16)))*(B16-B15))-B15)^2+(L31-C15)^2),SQRT((B16-(B15+((L31-C15)/((L31-C15)-(L31-C16)))*(B16-B15)))^2+(L31-C16)^2)))))+(IF(AND((L31-C16)&lt;=0,(L31-C17)&lt;=0),0,IF(AND((L31-C16)&gt;=0,(L31-C17)&gt;=0),SQRT((B17-B16)^2+(C17-C16)^2),IF((L31-C16)&gt;0,SQRT(((B16+((L31-C16)/((L31-C16)-(L31-C17)))*(B17-B16))-B16)^2+(L31-C16)^2),SQRT((B17-(B16+((L31-C16)/((L31-C16)-(L31-C17)))*(B17-B16)))^2+(L31-C17)^2)))))+(IF(AND((L31-C17)&lt;=0,(L31-C18)&lt;=0),0,IF(AND((L31-C17)&gt;=0,(L31-C18)&gt;=0),SQRT((B18-B17)^2+(C18-C17)^2),IF((L31-C17)&gt;0,SQRT(((B17+((L31-C17)/((L31-C17)-(L31-C18)))*(B18-B17))-B17)^2+(L31-C17)^2),SQRT((B18-(B17+((L31-C17)/((L31-C17)-(L31-C18)))*(B18-B17)))^2+(L31-C18)^2)))))</f>
        <v/>
      </c>
      <c r="O31">
        <f>IF(OR($B$6&lt;=0,M31&lt;=0,N31&lt;=0,$B$4&lt;=0),0,(1/$B$6)*M31*((M31/N31)^(2/3))*SQRT($B$4))</f>
        <v/>
      </c>
    </row>
    <row r="32">
      <c r="I32" t="n">
        <v>24</v>
      </c>
      <c r="J32">
        <f>IF(O31&lt;$B$5,L31,J31)</f>
        <v/>
      </c>
      <c r="K32">
        <f>IF(O31&lt;$B$5,K31,L31)</f>
        <v/>
      </c>
      <c r="L32">
        <f>(J32+K32)/2</f>
        <v/>
      </c>
      <c r="M32">
        <f>(IF(AND((L32-C9)&lt;=0,(L32-C10)&lt;=0),0,IF(AND((L32-C9)&gt;=0,(L32-C10)&gt;=0),0.5*((L32-C9)+(L32-C10))*ABS(B10-B9),IF((L32-C9)&gt;0,0.5*(L32-C9)*ABS((B9+((L32-C9)/((L32-C9)-(L32-C10)))*(B10-B9))-B9),0.5*(L32-C10)*ABS(B10-(B9+((L32-C9)/((L32-C9)-(L32-C10)))*(B10-B9)))))))+(IF(AND((L32-C10)&lt;=0,(L32-C11)&lt;=0),0,IF(AND((L32-C10)&gt;=0,(L32-C11)&gt;=0),0.5*((L32-C10)+(L32-C11))*ABS(B11-B10),IF((L32-C10)&gt;0,0.5*(L32-C10)*ABS((B10+((L32-C10)/((L32-C10)-(L32-C11)))*(B11-B10))-B10),0.5*(L32-C11)*ABS(B11-(B10+((L32-C10)/((L32-C10)-(L32-C11)))*(B11-B10)))))))+(IF(AND((L32-C11)&lt;=0,(L32-C12)&lt;=0),0,IF(AND((L32-C11)&gt;=0,(L32-C12)&gt;=0),0.5*((L32-C11)+(L32-C12))*ABS(B12-B11),IF((L32-C11)&gt;0,0.5*(L32-C11)*ABS((B11+((L32-C11)/((L32-C11)-(L32-C12)))*(B12-B11))-B11),0.5*(L32-C12)*ABS(B12-(B11+((L32-C11)/((L32-C11)-(L32-C12)))*(B12-B11)))))))+(IF(AND((L32-C12)&lt;=0,(L32-C13)&lt;=0),0,IF(AND((L32-C12)&gt;=0,(L32-C13)&gt;=0),0.5*((L32-C12)+(L32-C13))*ABS(B13-B12),IF((L32-C12)&gt;0,0.5*(L32-C12)*ABS((B12+((L32-C12)/((L32-C12)-(L32-C13)))*(B13-B12))-B12),0.5*(L32-C13)*ABS(B13-(B12+((L32-C12)/((L32-C12)-(L32-C13)))*(B13-B12)))))))+(IF(AND((L32-C13)&lt;=0,(L32-C14)&lt;=0),0,IF(AND((L32-C13)&gt;=0,(L32-C14)&gt;=0),0.5*((L32-C13)+(L32-C14))*ABS(B14-B13),IF((L32-C13)&gt;0,0.5*(L32-C13)*ABS((B13+((L32-C13)/((L32-C13)-(L32-C14)))*(B14-B13))-B13),0.5*(L32-C14)*ABS(B14-(B13+((L32-C13)/((L32-C13)-(L32-C14)))*(B14-B13)))))))+(IF(AND((L32-C14)&lt;=0,(L32-C15)&lt;=0),0,IF(AND((L32-C14)&gt;=0,(L32-C15)&gt;=0),0.5*((L32-C14)+(L32-C15))*ABS(B15-B14),IF((L32-C14)&gt;0,0.5*(L32-C14)*ABS((B14+((L32-C14)/((L32-C14)-(L32-C15)))*(B15-B14))-B14),0.5*(L32-C15)*ABS(B15-(B14+((L32-C14)/((L32-C14)-(L32-C15)))*(B15-B14)))))))+(IF(AND((L32-C15)&lt;=0,(L32-C16)&lt;=0),0,IF(AND((L32-C15)&gt;=0,(L32-C16)&gt;=0),0.5*((L32-C15)+(L32-C16))*ABS(B16-B15),IF((L32-C15)&gt;0,0.5*(L32-C15)*ABS((B15+((L32-C15)/((L32-C15)-(L32-C16)))*(B16-B15))-B15),0.5*(L32-C16)*ABS(B16-(B15+((L32-C15)/((L32-C15)-(L32-C16)))*(B16-B15)))))))+(IF(AND((L32-C16)&lt;=0,(L32-C17)&lt;=0),0,IF(AND((L32-C16)&gt;=0,(L32-C17)&gt;=0),0.5*((L32-C16)+(L32-C17))*ABS(B17-B16),IF((L32-C16)&gt;0,0.5*(L32-C16)*ABS((B16+((L32-C16)/((L32-C16)-(L32-C17)))*(B17-B16))-B16),0.5*(L32-C17)*ABS(B17-(B16+((L32-C16)/((L32-C16)-(L32-C17)))*(B17-B16)))))))+(IF(AND((L32-C17)&lt;=0,(L32-C18)&lt;=0),0,IF(AND((L32-C17)&gt;=0,(L32-C18)&gt;=0),0.5*((L32-C17)+(L32-C18))*ABS(B18-B17),IF((L32-C17)&gt;0,0.5*(L32-C17)*ABS((B17+((L32-C17)/((L32-C17)-(L32-C18)))*(B18-B17))-B17),0.5*(L32-C18)*ABS(B18-(B17+((L32-C17)/((L32-C17)-(L32-C18)))*(B18-B17)))))))</f>
        <v/>
      </c>
      <c r="N32">
        <f>(IF(AND((L32-C9)&lt;=0,(L32-C10)&lt;=0),0,IF(AND((L32-C9)&gt;=0,(L32-C10)&gt;=0),SQRT((B10-B9)^2+(C10-C9)^2),IF((L32-C9)&gt;0,SQRT(((B9+((L32-C9)/((L32-C9)-(L32-C10)))*(B10-B9))-B9)^2+(L32-C9)^2),SQRT((B10-(B9+((L32-C9)/((L32-C9)-(L32-C10)))*(B10-B9)))^2+(L32-C10)^2)))))+(IF(AND((L32-C10)&lt;=0,(L32-C11)&lt;=0),0,IF(AND((L32-C10)&gt;=0,(L32-C11)&gt;=0),SQRT((B11-B10)^2+(C11-C10)^2),IF((L32-C10)&gt;0,SQRT(((B10+((L32-C10)/((L32-C10)-(L32-C11)))*(B11-B10))-B10)^2+(L32-C10)^2),SQRT((B11-(B10+((L32-C10)/((L32-C10)-(L32-C11)))*(B11-B10)))^2+(L32-C11)^2)))))+(IF(AND((L32-C11)&lt;=0,(L32-C12)&lt;=0),0,IF(AND((L32-C11)&gt;=0,(L32-C12)&gt;=0),SQRT((B12-B11)^2+(C12-C11)^2),IF((L32-C11)&gt;0,SQRT(((B11+((L32-C11)/((L32-C11)-(L32-C12)))*(B12-B11))-B11)^2+(L32-C11)^2),SQRT((B12-(B11+((L32-C11)/((L32-C11)-(L32-C12)))*(B12-B11)))^2+(L32-C12)^2)))))+(IF(AND((L32-C12)&lt;=0,(L32-C13)&lt;=0),0,IF(AND((L32-C12)&gt;=0,(L32-C13)&gt;=0),SQRT((B13-B12)^2+(C13-C12)^2),IF((L32-C12)&gt;0,SQRT(((B12+((L32-C12)/((L32-C12)-(L32-C13)))*(B13-B12))-B12)^2+(L32-C12)^2),SQRT((B13-(B12+((L32-C12)/((L32-C12)-(L32-C13)))*(B13-B12)))^2+(L32-C13)^2)))))+(IF(AND((L32-C13)&lt;=0,(L32-C14)&lt;=0),0,IF(AND((L32-C13)&gt;=0,(L32-C14)&gt;=0),SQRT((B14-B13)^2+(C14-C13)^2),IF((L32-C13)&gt;0,SQRT(((B13+((L32-C13)/((L32-C13)-(L32-C14)))*(B14-B13))-B13)^2+(L32-C13)^2),SQRT((B14-(B13+((L32-C13)/((L32-C13)-(L32-C14)))*(B14-B13)))^2+(L32-C14)^2)))))+(IF(AND((L32-C14)&lt;=0,(L32-C15)&lt;=0),0,IF(AND((L32-C14)&gt;=0,(L32-C15)&gt;=0),SQRT((B15-B14)^2+(C15-C14)^2),IF((L32-C14)&gt;0,SQRT(((B14+((L32-C14)/((L32-C14)-(L32-C15)))*(B15-B14))-B14)^2+(L32-C14)^2),SQRT((B15-(B14+((L32-C14)/((L32-C14)-(L32-C15)))*(B15-B14)))^2+(L32-C15)^2)))))+(IF(AND((L32-C15)&lt;=0,(L32-C16)&lt;=0),0,IF(AND((L32-C15)&gt;=0,(L32-C16)&gt;=0),SQRT((B16-B15)^2+(C16-C15)^2),IF((L32-C15)&gt;0,SQRT(((B15+((L32-C15)/((L32-C15)-(L32-C16)))*(B16-B15))-B15)^2+(L32-C15)^2),SQRT((B16-(B15+((L32-C15)/((L32-C15)-(L32-C16)))*(B16-B15)))^2+(L32-C16)^2)))))+(IF(AND((L32-C16)&lt;=0,(L32-C17)&lt;=0),0,IF(AND((L32-C16)&gt;=0,(L32-C17)&gt;=0),SQRT((B17-B16)^2+(C17-C16)^2),IF((L32-C16)&gt;0,SQRT(((B16+((L32-C16)/((L32-C16)-(L32-C17)))*(B17-B16))-B16)^2+(L32-C16)^2),SQRT((B17-(B16+((L32-C16)/((L32-C16)-(L32-C17)))*(B17-B16)))^2+(L32-C17)^2)))))+(IF(AND((L32-C17)&lt;=0,(L32-C18)&lt;=0),0,IF(AND((L32-C17)&gt;=0,(L32-C18)&gt;=0),SQRT((B18-B17)^2+(C18-C17)^2),IF((L32-C17)&gt;0,SQRT(((B17+((L32-C17)/((L32-C17)-(L32-C18)))*(B18-B17))-B17)^2+(L32-C17)^2),SQRT((B18-(B17+((L32-C17)/((L32-C17)-(L32-C18)))*(B18-B17)))^2+(L32-C18)^2)))))</f>
        <v/>
      </c>
      <c r="O32">
        <f>IF(OR($B$6&lt;=0,M32&lt;=0,N32&lt;=0,$B$4&lt;=0),0,(1/$B$6)*M32*((M32/N32)^(2/3))*SQRT($B$4))</f>
        <v/>
      </c>
    </row>
    <row r="33">
      <c r="I33" t="n">
        <v>25</v>
      </c>
      <c r="J33">
        <f>IF(O32&lt;$B$5,L32,J32)</f>
        <v/>
      </c>
      <c r="K33">
        <f>IF(O32&lt;$B$5,K32,L32)</f>
        <v/>
      </c>
      <c r="L33">
        <f>(J33+K33)/2</f>
        <v/>
      </c>
      <c r="M33">
        <f>(IF(AND((L33-C9)&lt;=0,(L33-C10)&lt;=0),0,IF(AND((L33-C9)&gt;=0,(L33-C10)&gt;=0),0.5*((L33-C9)+(L33-C10))*ABS(B10-B9),IF((L33-C9)&gt;0,0.5*(L33-C9)*ABS((B9+((L33-C9)/((L33-C9)-(L33-C10)))*(B10-B9))-B9),0.5*(L33-C10)*ABS(B10-(B9+((L33-C9)/((L33-C9)-(L33-C10)))*(B10-B9)))))))+(IF(AND((L33-C10)&lt;=0,(L33-C11)&lt;=0),0,IF(AND((L33-C10)&gt;=0,(L33-C11)&gt;=0),0.5*((L33-C10)+(L33-C11))*ABS(B11-B10),IF((L33-C10)&gt;0,0.5*(L33-C10)*ABS((B10+((L33-C10)/((L33-C10)-(L33-C11)))*(B11-B10))-B10),0.5*(L33-C11)*ABS(B11-(B10+((L33-C10)/((L33-C10)-(L33-C11)))*(B11-B10)))))))+(IF(AND((L33-C11)&lt;=0,(L33-C12)&lt;=0),0,IF(AND((L33-C11)&gt;=0,(L33-C12)&gt;=0),0.5*((L33-C11)+(L33-C12))*ABS(B12-B11),IF((L33-C11)&gt;0,0.5*(L33-C11)*ABS((B11+((L33-C11)/((L33-C11)-(L33-C12)))*(B12-B11))-B11),0.5*(L33-C12)*ABS(B12-(B11+((L33-C11)/((L33-C11)-(L33-C12)))*(B12-B11)))))))+(IF(AND((L33-C12)&lt;=0,(L33-C13)&lt;=0),0,IF(AND((L33-C12)&gt;=0,(L33-C13)&gt;=0),0.5*((L33-C12)+(L33-C13))*ABS(B13-B12),IF((L33-C12)&gt;0,0.5*(L33-C12)*ABS((B12+((L33-C12)/((L33-C12)-(L33-C13)))*(B13-B12))-B12),0.5*(L33-C13)*ABS(B13-(B12+((L33-C12)/((L33-C12)-(L33-C13)))*(B13-B12)))))))+(IF(AND((L33-C13)&lt;=0,(L33-C14)&lt;=0),0,IF(AND((L33-C13)&gt;=0,(L33-C14)&gt;=0),0.5*((L33-C13)+(L33-C14))*ABS(B14-B13),IF((L33-C13)&gt;0,0.5*(L33-C13)*ABS((B13+((L33-C13)/((L33-C13)-(L33-C14)))*(B14-B13))-B13),0.5*(L33-C14)*ABS(B14-(B13+((L33-C13)/((L33-C13)-(L33-C14)))*(B14-B13)))))))+(IF(AND((L33-C14)&lt;=0,(L33-C15)&lt;=0),0,IF(AND((L33-C14)&gt;=0,(L33-C15)&gt;=0),0.5*((L33-C14)+(L33-C15))*ABS(B15-B14),IF((L33-C14)&gt;0,0.5*(L33-C14)*ABS((B14+((L33-C14)/((L33-C14)-(L33-C15)))*(B15-B14))-B14),0.5*(L33-C15)*ABS(B15-(B14+((L33-C14)/((L33-C14)-(L33-C15)))*(B15-B14)))))))+(IF(AND((L33-C15)&lt;=0,(L33-C16)&lt;=0),0,IF(AND((L33-C15)&gt;=0,(L33-C16)&gt;=0),0.5*((L33-C15)+(L33-C16))*ABS(B16-B15),IF((L33-C15)&gt;0,0.5*(L33-C15)*ABS((B15+((L33-C15)/((L33-C15)-(L33-C16)))*(B16-B15))-B15),0.5*(L33-C16)*ABS(B16-(B15+((L33-C15)/((L33-C15)-(L33-C16)))*(B16-B15)))))))+(IF(AND((L33-C16)&lt;=0,(L33-C17)&lt;=0),0,IF(AND((L33-C16)&gt;=0,(L33-C17)&gt;=0),0.5*((L33-C16)+(L33-C17))*ABS(B17-B16),IF((L33-C16)&gt;0,0.5*(L33-C16)*ABS((B16+((L33-C16)/((L33-C16)-(L33-C17)))*(B17-B16))-B16),0.5*(L33-C17)*ABS(B17-(B16+((L33-C16)/((L33-C16)-(L33-C17)))*(B17-B16)))))))+(IF(AND((L33-C17)&lt;=0,(L33-C18)&lt;=0),0,IF(AND((L33-C17)&gt;=0,(L33-C18)&gt;=0),0.5*((L33-C17)+(L33-C18))*ABS(B18-B17),IF((L33-C17)&gt;0,0.5*(L33-C17)*ABS((B17+((L33-C17)/((L33-C17)-(L33-C18)))*(B18-B17))-B17),0.5*(L33-C18)*ABS(B18-(B17+((L33-C17)/((L33-C17)-(L33-C18)))*(B18-B17)))))))</f>
        <v/>
      </c>
      <c r="N33">
        <f>(IF(AND((L33-C9)&lt;=0,(L33-C10)&lt;=0),0,IF(AND((L33-C9)&gt;=0,(L33-C10)&gt;=0),SQRT((B10-B9)^2+(C10-C9)^2),IF((L33-C9)&gt;0,SQRT(((B9+((L33-C9)/((L33-C9)-(L33-C10)))*(B10-B9))-B9)^2+(L33-C9)^2),SQRT((B10-(B9+((L33-C9)/((L33-C9)-(L33-C10)))*(B10-B9)))^2+(L33-C10)^2)))))+(IF(AND((L33-C10)&lt;=0,(L33-C11)&lt;=0),0,IF(AND((L33-C10)&gt;=0,(L33-C11)&gt;=0),SQRT((B11-B10)^2+(C11-C10)^2),IF((L33-C10)&gt;0,SQRT(((B10+((L33-C10)/((L33-C10)-(L33-C11)))*(B11-B10))-B10)^2+(L33-C10)^2),SQRT((B11-(B10+((L33-C10)/((L33-C10)-(L33-C11)))*(B11-B10)))^2+(L33-C11)^2)))))+(IF(AND((L33-C11)&lt;=0,(L33-C12)&lt;=0),0,IF(AND((L33-C11)&gt;=0,(L33-C12)&gt;=0),SQRT((B12-B11)^2+(C12-C11)^2),IF((L33-C11)&gt;0,SQRT(((B11+((L33-C11)/((L33-C11)-(L33-C12)))*(B12-B11))-B11)^2+(L33-C11)^2),SQRT((B12-(B11+((L33-C11)/((L33-C11)-(L33-C12)))*(B12-B11)))^2+(L33-C12)^2)))))+(IF(AND((L33-C12)&lt;=0,(L33-C13)&lt;=0),0,IF(AND((L33-C12)&gt;=0,(L33-C13)&gt;=0),SQRT((B13-B12)^2+(C13-C12)^2),IF((L33-C12)&gt;0,SQRT(((B12+((L33-C12)/((L33-C12)-(L33-C13)))*(B13-B12))-B12)^2+(L33-C12)^2),SQRT((B13-(B12+((L33-C12)/((L33-C12)-(L33-C13)))*(B13-B12)))^2+(L33-C13)^2)))))+(IF(AND((L33-C13)&lt;=0,(L33-C14)&lt;=0),0,IF(AND((L33-C13)&gt;=0,(L33-C14)&gt;=0),SQRT((B14-B13)^2+(C14-C13)^2),IF((L33-C13)&gt;0,SQRT(((B13+((L33-C13)/((L33-C13)-(L33-C14)))*(B14-B13))-B13)^2+(L33-C13)^2),SQRT((B14-(B13+((L33-C13)/((L33-C13)-(L33-C14)))*(B14-B13)))^2+(L33-C14)^2)))))+(IF(AND((L33-C14)&lt;=0,(L33-C15)&lt;=0),0,IF(AND((L33-C14)&gt;=0,(L33-C15)&gt;=0),SQRT((B15-B14)^2+(C15-C14)^2),IF((L33-C14)&gt;0,SQRT(((B14+((L33-C14)/((L33-C14)-(L33-C15)))*(B15-B14))-B14)^2+(L33-C14)^2),SQRT((B15-(B14+((L33-C14)/((L33-C14)-(L33-C15)))*(B15-B14)))^2+(L33-C15)^2)))))+(IF(AND((L33-C15)&lt;=0,(L33-C16)&lt;=0),0,IF(AND((L33-C15)&gt;=0,(L33-C16)&gt;=0),SQRT((B16-B15)^2+(C16-C15)^2),IF((L33-C15)&gt;0,SQRT(((B15+((L33-C15)/((L33-C15)-(L33-C16)))*(B16-B15))-B15)^2+(L33-C15)^2),SQRT((B16-(B15+((L33-C15)/((L33-C15)-(L33-C16)))*(B16-B15)))^2+(L33-C16)^2)))))+(IF(AND((L33-C16)&lt;=0,(L33-C17)&lt;=0),0,IF(AND((L33-C16)&gt;=0,(L33-C17)&gt;=0),SQRT((B17-B16)^2+(C17-C16)^2),IF((L33-C16)&gt;0,SQRT(((B16+((L33-C16)/((L33-C16)-(L33-C17)))*(B17-B16))-B16)^2+(L33-C16)^2),SQRT((B17-(B16+((L33-C16)/((L33-C16)-(L33-C17)))*(B17-B16)))^2+(L33-C17)^2)))))+(IF(AND((L33-C17)&lt;=0,(L33-C18)&lt;=0),0,IF(AND((L33-C17)&gt;=0,(L33-C18)&gt;=0),SQRT((B18-B17)^2+(C18-C17)^2),IF((L33-C17)&gt;0,SQRT(((B17+((L33-C17)/((L33-C17)-(L33-C18)))*(B18-B17))-B17)^2+(L33-C17)^2),SQRT((B18-(B17+((L33-C17)/((L33-C17)-(L33-C18)))*(B18-B17)))^2+(L33-C18)^2)))))</f>
        <v/>
      </c>
      <c r="O33">
        <f>IF(OR($B$6&lt;=0,M33&lt;=0,N33&lt;=0,$B$4&lt;=0),0,(1/$B$6)*M33*((M33/N33)^(2/3))*SQRT($B$4))</f>
        <v/>
      </c>
    </row>
    <row r="34">
      <c r="I34" t="n">
        <v>26</v>
      </c>
      <c r="J34">
        <f>IF(O33&lt;$B$5,L33,J33)</f>
        <v/>
      </c>
      <c r="K34">
        <f>IF(O33&lt;$B$5,K33,L33)</f>
        <v/>
      </c>
      <c r="L34">
        <f>(J34+K34)/2</f>
        <v/>
      </c>
      <c r="M34">
        <f>(IF(AND((L34-C9)&lt;=0,(L34-C10)&lt;=0),0,IF(AND((L34-C9)&gt;=0,(L34-C10)&gt;=0),0.5*((L34-C9)+(L34-C10))*ABS(B10-B9),IF((L34-C9)&gt;0,0.5*(L34-C9)*ABS((B9+((L34-C9)/((L34-C9)-(L34-C10)))*(B10-B9))-B9),0.5*(L34-C10)*ABS(B10-(B9+((L34-C9)/((L34-C9)-(L34-C10)))*(B10-B9)))))))+(IF(AND((L34-C10)&lt;=0,(L34-C11)&lt;=0),0,IF(AND((L34-C10)&gt;=0,(L34-C11)&gt;=0),0.5*((L34-C10)+(L34-C11))*ABS(B11-B10),IF((L34-C10)&gt;0,0.5*(L34-C10)*ABS((B10+((L34-C10)/((L34-C10)-(L34-C11)))*(B11-B10))-B10),0.5*(L34-C11)*ABS(B11-(B10+((L34-C10)/((L34-C10)-(L34-C11)))*(B11-B10)))))))+(IF(AND((L34-C11)&lt;=0,(L34-C12)&lt;=0),0,IF(AND((L34-C11)&gt;=0,(L34-C12)&gt;=0),0.5*((L34-C11)+(L34-C12))*ABS(B12-B11),IF((L34-C11)&gt;0,0.5*(L34-C11)*ABS((B11+((L34-C11)/((L34-C11)-(L34-C12)))*(B12-B11))-B11),0.5*(L34-C12)*ABS(B12-(B11+((L34-C11)/((L34-C11)-(L34-C12)))*(B12-B11)))))))+(IF(AND((L34-C12)&lt;=0,(L34-C13)&lt;=0),0,IF(AND((L34-C12)&gt;=0,(L34-C13)&gt;=0),0.5*((L34-C12)+(L34-C13))*ABS(B13-B12),IF((L34-C12)&gt;0,0.5*(L34-C12)*ABS((B12+((L34-C12)/((L34-C12)-(L34-C13)))*(B13-B12))-B12),0.5*(L34-C13)*ABS(B13-(B12+((L34-C12)/((L34-C12)-(L34-C13)))*(B13-B12)))))))+(IF(AND((L34-C13)&lt;=0,(L34-C14)&lt;=0),0,IF(AND((L34-C13)&gt;=0,(L34-C14)&gt;=0),0.5*((L34-C13)+(L34-C14))*ABS(B14-B13),IF((L34-C13)&gt;0,0.5*(L34-C13)*ABS((B13+((L34-C13)/((L34-C13)-(L34-C14)))*(B14-B13))-B13),0.5*(L34-C14)*ABS(B14-(B13+((L34-C13)/((L34-C13)-(L34-C14)))*(B14-B13)))))))+(IF(AND((L34-C14)&lt;=0,(L34-C15)&lt;=0),0,IF(AND((L34-C14)&gt;=0,(L34-C15)&gt;=0),0.5*((L34-C14)+(L34-C15))*ABS(B15-B14),IF((L34-C14)&gt;0,0.5*(L34-C14)*ABS((B14+((L34-C14)/((L34-C14)-(L34-C15)))*(B15-B14))-B14),0.5*(L34-C15)*ABS(B15-(B14+((L34-C14)/((L34-C14)-(L34-C15)))*(B15-B14)))))))+(IF(AND((L34-C15)&lt;=0,(L34-C16)&lt;=0),0,IF(AND((L34-C15)&gt;=0,(L34-C16)&gt;=0),0.5*((L34-C15)+(L34-C16))*ABS(B16-B15),IF((L34-C15)&gt;0,0.5*(L34-C15)*ABS((B15+((L34-C15)/((L34-C15)-(L34-C16)))*(B16-B15))-B15),0.5*(L34-C16)*ABS(B16-(B15+((L34-C15)/((L34-C15)-(L34-C16)))*(B16-B15)))))))+(IF(AND((L34-C16)&lt;=0,(L34-C17)&lt;=0),0,IF(AND((L34-C16)&gt;=0,(L34-C17)&gt;=0),0.5*((L34-C16)+(L34-C17))*ABS(B17-B16),IF((L34-C16)&gt;0,0.5*(L34-C16)*ABS((B16+((L34-C16)/((L34-C16)-(L34-C17)))*(B17-B16))-B16),0.5*(L34-C17)*ABS(B17-(B16+((L34-C16)/((L34-C16)-(L34-C17)))*(B17-B16)))))))+(IF(AND((L34-C17)&lt;=0,(L34-C18)&lt;=0),0,IF(AND((L34-C17)&gt;=0,(L34-C18)&gt;=0),0.5*((L34-C17)+(L34-C18))*ABS(B18-B17),IF((L34-C17)&gt;0,0.5*(L34-C17)*ABS((B17+((L34-C17)/((L34-C17)-(L34-C18)))*(B18-B17))-B17),0.5*(L34-C18)*ABS(B18-(B17+((L34-C17)/((L34-C17)-(L34-C18)))*(B18-B17)))))))</f>
        <v/>
      </c>
      <c r="N34">
        <f>(IF(AND((L34-C9)&lt;=0,(L34-C10)&lt;=0),0,IF(AND((L34-C9)&gt;=0,(L34-C10)&gt;=0),SQRT((B10-B9)^2+(C10-C9)^2),IF((L34-C9)&gt;0,SQRT(((B9+((L34-C9)/((L34-C9)-(L34-C10)))*(B10-B9))-B9)^2+(L34-C9)^2),SQRT((B10-(B9+((L34-C9)/((L34-C9)-(L34-C10)))*(B10-B9)))^2+(L34-C10)^2)))))+(IF(AND((L34-C10)&lt;=0,(L34-C11)&lt;=0),0,IF(AND((L34-C10)&gt;=0,(L34-C11)&gt;=0),SQRT((B11-B10)^2+(C11-C10)^2),IF((L34-C10)&gt;0,SQRT(((B10+((L34-C10)/((L34-C10)-(L34-C11)))*(B11-B10))-B10)^2+(L34-C10)^2),SQRT((B11-(B10+((L34-C10)/((L34-C10)-(L34-C11)))*(B11-B10)))^2+(L34-C11)^2)))))+(IF(AND((L34-C11)&lt;=0,(L34-C12)&lt;=0),0,IF(AND((L34-C11)&gt;=0,(L34-C12)&gt;=0),SQRT((B12-B11)^2+(C12-C11)^2),IF((L34-C11)&gt;0,SQRT(((B11+((L34-C11)/((L34-C11)-(L34-C12)))*(B12-B11))-B11)^2+(L34-C11)^2),SQRT((B12-(B11+((L34-C11)/((L34-C11)-(L34-C12)))*(B12-B11)))^2+(L34-C12)^2)))))+(IF(AND((L34-C12)&lt;=0,(L34-C13)&lt;=0),0,IF(AND((L34-C12)&gt;=0,(L34-C13)&gt;=0),SQRT((B13-B12)^2+(C13-C12)^2),IF((L34-C12)&gt;0,SQRT(((B12+((L34-C12)/((L34-C12)-(L34-C13)))*(B13-B12))-B12)^2+(L34-C12)^2),SQRT((B13-(B12+((L34-C12)/((L34-C12)-(L34-C13)))*(B13-B12)))^2+(L34-C13)^2)))))+(IF(AND((L34-C13)&lt;=0,(L34-C14)&lt;=0),0,IF(AND((L34-C13)&gt;=0,(L34-C14)&gt;=0),SQRT((B14-B13)^2+(C14-C13)^2),IF((L34-C13)&gt;0,SQRT(((B13+((L34-C13)/((L34-C13)-(L34-C14)))*(B14-B13))-B13)^2+(L34-C13)^2),SQRT((B14-(B13+((L34-C13)/((L34-C13)-(L34-C14)))*(B14-B13)))^2+(L34-C14)^2)))))+(IF(AND((L34-C14)&lt;=0,(L34-C15)&lt;=0),0,IF(AND((L34-C14)&gt;=0,(L34-C15)&gt;=0),SQRT((B15-B14)^2+(C15-C14)^2),IF((L34-C14)&gt;0,SQRT(((B14+((L34-C14)/((L34-C14)-(L34-C15)))*(B15-B14))-B14)^2+(L34-C14)^2),SQRT((B15-(B14+((L34-C14)/((L34-C14)-(L34-C15)))*(B15-B14)))^2+(L34-C15)^2)))))+(IF(AND((L34-C15)&lt;=0,(L34-C16)&lt;=0),0,IF(AND((L34-C15)&gt;=0,(L34-C16)&gt;=0),SQRT((B16-B15)^2+(C16-C15)^2),IF((L34-C15)&gt;0,SQRT(((B15+((L34-C15)/((L34-C15)-(L34-C16)))*(B16-B15))-B15)^2+(L34-C15)^2),SQRT((B16-(B15+((L34-C15)/((L34-C15)-(L34-C16)))*(B16-B15)))^2+(L34-C16)^2)))))+(IF(AND((L34-C16)&lt;=0,(L34-C17)&lt;=0),0,IF(AND((L34-C16)&gt;=0,(L34-C17)&gt;=0),SQRT((B17-B16)^2+(C17-C16)^2),IF((L34-C16)&gt;0,SQRT(((B16+((L34-C16)/((L34-C16)-(L34-C17)))*(B17-B16))-B16)^2+(L34-C16)^2),SQRT((B17-(B16+((L34-C16)/((L34-C16)-(L34-C17)))*(B17-B16)))^2+(L34-C17)^2)))))+(IF(AND((L34-C17)&lt;=0,(L34-C18)&lt;=0),0,IF(AND((L34-C17)&gt;=0,(L34-C18)&gt;=0),SQRT((B18-B17)^2+(C18-C17)^2),IF((L34-C17)&gt;0,SQRT(((B17+((L34-C17)/((L34-C17)-(L34-C18)))*(B18-B17))-B17)^2+(L34-C17)^2),SQRT((B18-(B17+((L34-C17)/((L34-C17)-(L34-C18)))*(B18-B17)))^2+(L34-C18)^2)))))</f>
        <v/>
      </c>
      <c r="O34">
        <f>IF(OR($B$6&lt;=0,M34&lt;=0,N34&lt;=0,$B$4&lt;=0),0,(1/$B$6)*M34*((M34/N34)^(2/3))*SQRT($B$4))</f>
        <v/>
      </c>
    </row>
    <row r="35">
      <c r="I35" t="n">
        <v>27</v>
      </c>
      <c r="J35">
        <f>IF(O34&lt;$B$5,L34,J34)</f>
        <v/>
      </c>
      <c r="K35">
        <f>IF(O34&lt;$B$5,K34,L34)</f>
        <v/>
      </c>
      <c r="L35">
        <f>(J35+K35)/2</f>
        <v/>
      </c>
      <c r="M35">
        <f>(IF(AND((L35-C9)&lt;=0,(L35-C10)&lt;=0),0,IF(AND((L35-C9)&gt;=0,(L35-C10)&gt;=0),0.5*((L35-C9)+(L35-C10))*ABS(B10-B9),IF((L35-C9)&gt;0,0.5*(L35-C9)*ABS((B9+((L35-C9)/((L35-C9)-(L35-C10)))*(B10-B9))-B9),0.5*(L35-C10)*ABS(B10-(B9+((L35-C9)/((L35-C9)-(L35-C10)))*(B10-B9)))))))+(IF(AND((L35-C10)&lt;=0,(L35-C11)&lt;=0),0,IF(AND((L35-C10)&gt;=0,(L35-C11)&gt;=0),0.5*((L35-C10)+(L35-C11))*ABS(B11-B10),IF((L35-C10)&gt;0,0.5*(L35-C10)*ABS((B10+((L35-C10)/((L35-C10)-(L35-C11)))*(B11-B10))-B10),0.5*(L35-C11)*ABS(B11-(B10+((L35-C10)/((L35-C10)-(L35-C11)))*(B11-B10)))))))+(IF(AND((L35-C11)&lt;=0,(L35-C12)&lt;=0),0,IF(AND((L35-C11)&gt;=0,(L35-C12)&gt;=0),0.5*((L35-C11)+(L35-C12))*ABS(B12-B11),IF((L35-C11)&gt;0,0.5*(L35-C11)*ABS((B11+((L35-C11)/((L35-C11)-(L35-C12)))*(B12-B11))-B11),0.5*(L35-C12)*ABS(B12-(B11+((L35-C11)/((L35-C11)-(L35-C12)))*(B12-B11)))))))+(IF(AND((L35-C12)&lt;=0,(L35-C13)&lt;=0),0,IF(AND((L35-C12)&gt;=0,(L35-C13)&gt;=0),0.5*((L35-C12)+(L35-C13))*ABS(B13-B12),IF((L35-C12)&gt;0,0.5*(L35-C12)*ABS((B12+((L35-C12)/((L35-C12)-(L35-C13)))*(B13-B12))-B12),0.5*(L35-C13)*ABS(B13-(B12+((L35-C12)/((L35-C12)-(L35-C13)))*(B13-B12)))))))+(IF(AND((L35-C13)&lt;=0,(L35-C14)&lt;=0),0,IF(AND((L35-C13)&gt;=0,(L35-C14)&gt;=0),0.5*((L35-C13)+(L35-C14))*ABS(B14-B13),IF((L35-C13)&gt;0,0.5*(L35-C13)*ABS((B13+((L35-C13)/((L35-C13)-(L35-C14)))*(B14-B13))-B13),0.5*(L35-C14)*ABS(B14-(B13+((L35-C13)/((L35-C13)-(L35-C14)))*(B14-B13)))))))+(IF(AND((L35-C14)&lt;=0,(L35-C15)&lt;=0),0,IF(AND((L35-C14)&gt;=0,(L35-C15)&gt;=0),0.5*((L35-C14)+(L35-C15))*ABS(B15-B14),IF((L35-C14)&gt;0,0.5*(L35-C14)*ABS((B14+((L35-C14)/((L35-C14)-(L35-C15)))*(B15-B14))-B14),0.5*(L35-C15)*ABS(B15-(B14+((L35-C14)/((L35-C14)-(L35-C15)))*(B15-B14)))))))+(IF(AND((L35-C15)&lt;=0,(L35-C16)&lt;=0),0,IF(AND((L35-C15)&gt;=0,(L35-C16)&gt;=0),0.5*((L35-C15)+(L35-C16))*ABS(B16-B15),IF((L35-C15)&gt;0,0.5*(L35-C15)*ABS((B15+((L35-C15)/((L35-C15)-(L35-C16)))*(B16-B15))-B15),0.5*(L35-C16)*ABS(B16-(B15+((L35-C15)/((L35-C15)-(L35-C16)))*(B16-B15)))))))+(IF(AND((L35-C16)&lt;=0,(L35-C17)&lt;=0),0,IF(AND((L35-C16)&gt;=0,(L35-C17)&gt;=0),0.5*((L35-C16)+(L35-C17))*ABS(B17-B16),IF((L35-C16)&gt;0,0.5*(L35-C16)*ABS((B16+((L35-C16)/((L35-C16)-(L35-C17)))*(B17-B16))-B16),0.5*(L35-C17)*ABS(B17-(B16+((L35-C16)/((L35-C16)-(L35-C17)))*(B17-B16)))))))+(IF(AND((L35-C17)&lt;=0,(L35-C18)&lt;=0),0,IF(AND((L35-C17)&gt;=0,(L35-C18)&gt;=0),0.5*((L35-C17)+(L35-C18))*ABS(B18-B17),IF((L35-C17)&gt;0,0.5*(L35-C17)*ABS((B17+((L35-C17)/((L35-C17)-(L35-C18)))*(B18-B17))-B17),0.5*(L35-C18)*ABS(B18-(B17+((L35-C17)/((L35-C17)-(L35-C18)))*(B18-B17)))))))</f>
        <v/>
      </c>
      <c r="N35">
        <f>(IF(AND((L35-C9)&lt;=0,(L35-C10)&lt;=0),0,IF(AND((L35-C9)&gt;=0,(L35-C10)&gt;=0),SQRT((B10-B9)^2+(C10-C9)^2),IF((L35-C9)&gt;0,SQRT(((B9+((L35-C9)/((L35-C9)-(L35-C10)))*(B10-B9))-B9)^2+(L35-C9)^2),SQRT((B10-(B9+((L35-C9)/((L35-C9)-(L35-C10)))*(B10-B9)))^2+(L35-C10)^2)))))+(IF(AND((L35-C10)&lt;=0,(L35-C11)&lt;=0),0,IF(AND((L35-C10)&gt;=0,(L35-C11)&gt;=0),SQRT((B11-B10)^2+(C11-C10)^2),IF((L35-C10)&gt;0,SQRT(((B10+((L35-C10)/((L35-C10)-(L35-C11)))*(B11-B10))-B10)^2+(L35-C10)^2),SQRT((B11-(B10+((L35-C10)/((L35-C10)-(L35-C11)))*(B11-B10)))^2+(L35-C11)^2)))))+(IF(AND((L35-C11)&lt;=0,(L35-C12)&lt;=0),0,IF(AND((L35-C11)&gt;=0,(L35-C12)&gt;=0),SQRT((B12-B11)^2+(C12-C11)^2),IF((L35-C11)&gt;0,SQRT(((B11+((L35-C11)/((L35-C11)-(L35-C12)))*(B12-B11))-B11)^2+(L35-C11)^2),SQRT((B12-(B11+((L35-C11)/((L35-C11)-(L35-C12)))*(B12-B11)))^2+(L35-C12)^2)))))+(IF(AND((L35-C12)&lt;=0,(L35-C13)&lt;=0),0,IF(AND((L35-C12)&gt;=0,(L35-C13)&gt;=0),SQRT((B13-B12)^2+(C13-C12)^2),IF((L35-C12)&gt;0,SQRT(((B12+((L35-C12)/((L35-C12)-(L35-C13)))*(B13-B12))-B12)^2+(L35-C12)^2),SQRT((B13-(B12+((L35-C12)/((L35-C12)-(L35-C13)))*(B13-B12)))^2+(L35-C13)^2)))))+(IF(AND((L35-C13)&lt;=0,(L35-C14)&lt;=0),0,IF(AND((L35-C13)&gt;=0,(L35-C14)&gt;=0),SQRT((B14-B13)^2+(C14-C13)^2),IF((L35-C13)&gt;0,SQRT(((B13+((L35-C13)/((L35-C13)-(L35-C14)))*(B14-B13))-B13)^2+(L35-C13)^2),SQRT((B14-(B13+((L35-C13)/((L35-C13)-(L35-C14)))*(B14-B13)))^2+(L35-C14)^2)))))+(IF(AND((L35-C14)&lt;=0,(L35-C15)&lt;=0),0,IF(AND((L35-C14)&gt;=0,(L35-C15)&gt;=0),SQRT((B15-B14)^2+(C15-C14)^2),IF((L35-C14)&gt;0,SQRT(((B14+((L35-C14)/((L35-C14)-(L35-C15)))*(B15-B14))-B14)^2+(L35-C14)^2),SQRT((B15-(B14+((L35-C14)/((L35-C14)-(L35-C15)))*(B15-B14)))^2+(L35-C15)^2)))))+(IF(AND((L35-C15)&lt;=0,(L35-C16)&lt;=0),0,IF(AND((L35-C15)&gt;=0,(L35-C16)&gt;=0),SQRT((B16-B15)^2+(C16-C15)^2),IF((L35-C15)&gt;0,SQRT(((B15+((L35-C15)/((L35-C15)-(L35-C16)))*(B16-B15))-B15)^2+(L35-C15)^2),SQRT((B16-(B15+((L35-C15)/((L35-C15)-(L35-C16)))*(B16-B15)))^2+(L35-C16)^2)))))+(IF(AND((L35-C16)&lt;=0,(L35-C17)&lt;=0),0,IF(AND((L35-C16)&gt;=0,(L35-C17)&gt;=0),SQRT((B17-B16)^2+(C17-C16)^2),IF((L35-C16)&gt;0,SQRT(((B16+((L35-C16)/((L35-C16)-(L35-C17)))*(B17-B16))-B16)^2+(L35-C16)^2),SQRT((B17-(B16+((L35-C16)/((L35-C16)-(L35-C17)))*(B17-B16)))^2+(L35-C17)^2)))))+(IF(AND((L35-C17)&lt;=0,(L35-C18)&lt;=0),0,IF(AND((L35-C17)&gt;=0,(L35-C18)&gt;=0),SQRT((B18-B17)^2+(C18-C17)^2),IF((L35-C17)&gt;0,SQRT(((B17+((L35-C17)/((L35-C17)-(L35-C18)))*(B18-B17))-B17)^2+(L35-C17)^2),SQRT((B18-(B17+((L35-C17)/((L35-C17)-(L35-C18)))*(B18-B17)))^2+(L35-C18)^2)))))</f>
        <v/>
      </c>
      <c r="O35">
        <f>IF(OR($B$6&lt;=0,M35&lt;=0,N35&lt;=0,$B$4&lt;=0),0,(1/$B$6)*M35*((M35/N35)^(2/3))*SQRT($B$4))</f>
        <v/>
      </c>
    </row>
    <row r="36">
      <c r="I36" t="n">
        <v>28</v>
      </c>
      <c r="J36">
        <f>IF(O35&lt;$B$5,L35,J35)</f>
        <v/>
      </c>
      <c r="K36">
        <f>IF(O35&lt;$B$5,K35,L35)</f>
        <v/>
      </c>
      <c r="L36">
        <f>(J36+K36)/2</f>
        <v/>
      </c>
      <c r="M36">
        <f>(IF(AND((L36-C9)&lt;=0,(L36-C10)&lt;=0),0,IF(AND((L36-C9)&gt;=0,(L36-C10)&gt;=0),0.5*((L36-C9)+(L36-C10))*ABS(B10-B9),IF((L36-C9)&gt;0,0.5*(L36-C9)*ABS((B9+((L36-C9)/((L36-C9)-(L36-C10)))*(B10-B9))-B9),0.5*(L36-C10)*ABS(B10-(B9+((L36-C9)/((L36-C9)-(L36-C10)))*(B10-B9)))))))+(IF(AND((L36-C10)&lt;=0,(L36-C11)&lt;=0),0,IF(AND((L36-C10)&gt;=0,(L36-C11)&gt;=0),0.5*((L36-C10)+(L36-C11))*ABS(B11-B10),IF((L36-C10)&gt;0,0.5*(L36-C10)*ABS((B10+((L36-C10)/((L36-C10)-(L36-C11)))*(B11-B10))-B10),0.5*(L36-C11)*ABS(B11-(B10+((L36-C10)/((L36-C10)-(L36-C11)))*(B11-B10)))))))+(IF(AND((L36-C11)&lt;=0,(L36-C12)&lt;=0),0,IF(AND((L36-C11)&gt;=0,(L36-C12)&gt;=0),0.5*((L36-C11)+(L36-C12))*ABS(B12-B11),IF((L36-C11)&gt;0,0.5*(L36-C11)*ABS((B11+((L36-C11)/((L36-C11)-(L36-C12)))*(B12-B11))-B11),0.5*(L36-C12)*ABS(B12-(B11+((L36-C11)/((L36-C11)-(L36-C12)))*(B12-B11)))))))+(IF(AND((L36-C12)&lt;=0,(L36-C13)&lt;=0),0,IF(AND((L36-C12)&gt;=0,(L36-C13)&gt;=0),0.5*((L36-C12)+(L36-C13))*ABS(B13-B12),IF((L36-C12)&gt;0,0.5*(L36-C12)*ABS((B12+((L36-C12)/((L36-C12)-(L36-C13)))*(B13-B12))-B12),0.5*(L36-C13)*ABS(B13-(B12+((L36-C12)/((L36-C12)-(L36-C13)))*(B13-B12)))))))+(IF(AND((L36-C13)&lt;=0,(L36-C14)&lt;=0),0,IF(AND((L36-C13)&gt;=0,(L36-C14)&gt;=0),0.5*((L36-C13)+(L36-C14))*ABS(B14-B13),IF((L36-C13)&gt;0,0.5*(L36-C13)*ABS((B13+((L36-C13)/((L36-C13)-(L36-C14)))*(B14-B13))-B13),0.5*(L36-C14)*ABS(B14-(B13+((L36-C13)/((L36-C13)-(L36-C14)))*(B14-B13)))))))+(IF(AND((L36-C14)&lt;=0,(L36-C15)&lt;=0),0,IF(AND((L36-C14)&gt;=0,(L36-C15)&gt;=0),0.5*((L36-C14)+(L36-C15))*ABS(B15-B14),IF((L36-C14)&gt;0,0.5*(L36-C14)*ABS((B14+((L36-C14)/((L36-C14)-(L36-C15)))*(B15-B14))-B14),0.5*(L36-C15)*ABS(B15-(B14+((L36-C14)/((L36-C14)-(L36-C15)))*(B15-B14)))))))+(IF(AND((L36-C15)&lt;=0,(L36-C16)&lt;=0),0,IF(AND((L36-C15)&gt;=0,(L36-C16)&gt;=0),0.5*((L36-C15)+(L36-C16))*ABS(B16-B15),IF((L36-C15)&gt;0,0.5*(L36-C15)*ABS((B15+((L36-C15)/((L36-C15)-(L36-C16)))*(B16-B15))-B15),0.5*(L36-C16)*ABS(B16-(B15+((L36-C15)/((L36-C15)-(L36-C16)))*(B16-B15)))))))+(IF(AND((L36-C16)&lt;=0,(L36-C17)&lt;=0),0,IF(AND((L36-C16)&gt;=0,(L36-C17)&gt;=0),0.5*((L36-C16)+(L36-C17))*ABS(B17-B16),IF((L36-C16)&gt;0,0.5*(L36-C16)*ABS((B16+((L36-C16)/((L36-C16)-(L36-C17)))*(B17-B16))-B16),0.5*(L36-C17)*ABS(B17-(B16+((L36-C16)/((L36-C16)-(L36-C17)))*(B17-B16)))))))+(IF(AND((L36-C17)&lt;=0,(L36-C18)&lt;=0),0,IF(AND((L36-C17)&gt;=0,(L36-C18)&gt;=0),0.5*((L36-C17)+(L36-C18))*ABS(B18-B17),IF((L36-C17)&gt;0,0.5*(L36-C17)*ABS((B17+((L36-C17)/((L36-C17)-(L36-C18)))*(B18-B17))-B17),0.5*(L36-C18)*ABS(B18-(B17+((L36-C17)/((L36-C17)-(L36-C18)))*(B18-B17)))))))</f>
        <v/>
      </c>
      <c r="N36">
        <f>(IF(AND((L36-C9)&lt;=0,(L36-C10)&lt;=0),0,IF(AND((L36-C9)&gt;=0,(L36-C10)&gt;=0),SQRT((B10-B9)^2+(C10-C9)^2),IF((L36-C9)&gt;0,SQRT(((B9+((L36-C9)/((L36-C9)-(L36-C10)))*(B10-B9))-B9)^2+(L36-C9)^2),SQRT((B10-(B9+((L36-C9)/((L36-C9)-(L36-C10)))*(B10-B9)))^2+(L36-C10)^2)))))+(IF(AND((L36-C10)&lt;=0,(L36-C11)&lt;=0),0,IF(AND((L36-C10)&gt;=0,(L36-C11)&gt;=0),SQRT((B11-B10)^2+(C11-C10)^2),IF((L36-C10)&gt;0,SQRT(((B10+((L36-C10)/((L36-C10)-(L36-C11)))*(B11-B10))-B10)^2+(L36-C10)^2),SQRT((B11-(B10+((L36-C10)/((L36-C10)-(L36-C11)))*(B11-B10)))^2+(L36-C11)^2)))))+(IF(AND((L36-C11)&lt;=0,(L36-C12)&lt;=0),0,IF(AND((L36-C11)&gt;=0,(L36-C12)&gt;=0),SQRT((B12-B11)^2+(C12-C11)^2),IF((L36-C11)&gt;0,SQRT(((B11+((L36-C11)/((L36-C11)-(L36-C12)))*(B12-B11))-B11)^2+(L36-C11)^2),SQRT((B12-(B11+((L36-C11)/((L36-C11)-(L36-C12)))*(B12-B11)))^2+(L36-C12)^2)))))+(IF(AND((L36-C12)&lt;=0,(L36-C13)&lt;=0),0,IF(AND((L36-C12)&gt;=0,(L36-C13)&gt;=0),SQRT((B13-B12)^2+(C13-C12)^2),IF((L36-C12)&gt;0,SQRT(((B12+((L36-C12)/((L36-C12)-(L36-C13)))*(B13-B12))-B12)^2+(L36-C12)^2),SQRT((B13-(B12+((L36-C12)/((L36-C12)-(L36-C13)))*(B13-B12)))^2+(L36-C13)^2)))))+(IF(AND((L36-C13)&lt;=0,(L36-C14)&lt;=0),0,IF(AND((L36-C13)&gt;=0,(L36-C14)&gt;=0),SQRT((B14-B13)^2+(C14-C13)^2),IF((L36-C13)&gt;0,SQRT(((B13+((L36-C13)/((L36-C13)-(L36-C14)))*(B14-B13))-B13)^2+(L36-C13)^2),SQRT((B14-(B13+((L36-C13)/((L36-C13)-(L36-C14)))*(B14-B13)))^2+(L36-C14)^2)))))+(IF(AND((L36-C14)&lt;=0,(L36-C15)&lt;=0),0,IF(AND((L36-C14)&gt;=0,(L36-C15)&gt;=0),SQRT((B15-B14)^2+(C15-C14)^2),IF((L36-C14)&gt;0,SQRT(((B14+((L36-C14)/((L36-C14)-(L36-C15)))*(B15-B14))-B14)^2+(L36-C14)^2),SQRT((B15-(B14+((L36-C14)/((L36-C14)-(L36-C15)))*(B15-B14)))^2+(L36-C15)^2)))))+(IF(AND((L36-C15)&lt;=0,(L36-C16)&lt;=0),0,IF(AND((L36-C15)&gt;=0,(L36-C16)&gt;=0),SQRT((B16-B15)^2+(C16-C15)^2),IF((L36-C15)&gt;0,SQRT(((B15+((L36-C15)/((L36-C15)-(L36-C16)))*(B16-B15))-B15)^2+(L36-C15)^2),SQRT((B16-(B15+((L36-C15)/((L36-C15)-(L36-C16)))*(B16-B15)))^2+(L36-C16)^2)))))+(IF(AND((L36-C16)&lt;=0,(L36-C17)&lt;=0),0,IF(AND((L36-C16)&gt;=0,(L36-C17)&gt;=0),SQRT((B17-B16)^2+(C17-C16)^2),IF((L36-C16)&gt;0,SQRT(((B16+((L36-C16)/((L36-C16)-(L36-C17)))*(B17-B16))-B16)^2+(L36-C16)^2),SQRT((B17-(B16+((L36-C16)/((L36-C16)-(L36-C17)))*(B17-B16)))^2+(L36-C17)^2)))))+(IF(AND((L36-C17)&lt;=0,(L36-C18)&lt;=0),0,IF(AND((L36-C17)&gt;=0,(L36-C18)&gt;=0),SQRT((B18-B17)^2+(C18-C17)^2),IF((L36-C17)&gt;0,SQRT(((B17+((L36-C17)/((L36-C17)-(L36-C18)))*(B18-B17))-B17)^2+(L36-C17)^2),SQRT((B18-(B17+((L36-C17)/((L36-C17)-(L36-C18)))*(B18-B17)))^2+(L36-C18)^2)))))</f>
        <v/>
      </c>
      <c r="O36">
        <f>IF(OR($B$6&lt;=0,M36&lt;=0,N36&lt;=0,$B$4&lt;=0),0,(1/$B$6)*M36*((M36/N36)^(2/3))*SQRT($B$4))</f>
        <v/>
      </c>
    </row>
    <row r="37">
      <c r="I37" t="n">
        <v>29</v>
      </c>
      <c r="J37">
        <f>IF(O36&lt;$B$5,L36,J36)</f>
        <v/>
      </c>
      <c r="K37">
        <f>IF(O36&lt;$B$5,K36,L36)</f>
        <v/>
      </c>
      <c r="L37">
        <f>(J37+K37)/2</f>
        <v/>
      </c>
      <c r="M37">
        <f>(IF(AND((L37-C9)&lt;=0,(L37-C10)&lt;=0),0,IF(AND((L37-C9)&gt;=0,(L37-C10)&gt;=0),0.5*((L37-C9)+(L37-C10))*ABS(B10-B9),IF((L37-C9)&gt;0,0.5*(L37-C9)*ABS((B9+((L37-C9)/((L37-C9)-(L37-C10)))*(B10-B9))-B9),0.5*(L37-C10)*ABS(B10-(B9+((L37-C9)/((L37-C9)-(L37-C10)))*(B10-B9)))))))+(IF(AND((L37-C10)&lt;=0,(L37-C11)&lt;=0),0,IF(AND((L37-C10)&gt;=0,(L37-C11)&gt;=0),0.5*((L37-C10)+(L37-C11))*ABS(B11-B10),IF((L37-C10)&gt;0,0.5*(L37-C10)*ABS((B10+((L37-C10)/((L37-C10)-(L37-C11)))*(B11-B10))-B10),0.5*(L37-C11)*ABS(B11-(B10+((L37-C10)/((L37-C10)-(L37-C11)))*(B11-B10)))))))+(IF(AND((L37-C11)&lt;=0,(L37-C12)&lt;=0),0,IF(AND((L37-C11)&gt;=0,(L37-C12)&gt;=0),0.5*((L37-C11)+(L37-C12))*ABS(B12-B11),IF((L37-C11)&gt;0,0.5*(L37-C11)*ABS((B11+((L37-C11)/((L37-C11)-(L37-C12)))*(B12-B11))-B11),0.5*(L37-C12)*ABS(B12-(B11+((L37-C11)/((L37-C11)-(L37-C12)))*(B12-B11)))))))+(IF(AND((L37-C12)&lt;=0,(L37-C13)&lt;=0),0,IF(AND((L37-C12)&gt;=0,(L37-C13)&gt;=0),0.5*((L37-C12)+(L37-C13))*ABS(B13-B12),IF((L37-C12)&gt;0,0.5*(L37-C12)*ABS((B12+((L37-C12)/((L37-C12)-(L37-C13)))*(B13-B12))-B12),0.5*(L37-C13)*ABS(B13-(B12+((L37-C12)/((L37-C12)-(L37-C13)))*(B13-B12)))))))+(IF(AND((L37-C13)&lt;=0,(L37-C14)&lt;=0),0,IF(AND((L37-C13)&gt;=0,(L37-C14)&gt;=0),0.5*((L37-C13)+(L37-C14))*ABS(B14-B13),IF((L37-C13)&gt;0,0.5*(L37-C13)*ABS((B13+((L37-C13)/((L37-C13)-(L37-C14)))*(B14-B13))-B13),0.5*(L37-C14)*ABS(B14-(B13+((L37-C13)/((L37-C13)-(L37-C14)))*(B14-B13)))))))+(IF(AND((L37-C14)&lt;=0,(L37-C15)&lt;=0),0,IF(AND((L37-C14)&gt;=0,(L37-C15)&gt;=0),0.5*((L37-C14)+(L37-C15))*ABS(B15-B14),IF((L37-C14)&gt;0,0.5*(L37-C14)*ABS((B14+((L37-C14)/((L37-C14)-(L37-C15)))*(B15-B14))-B14),0.5*(L37-C15)*ABS(B15-(B14+((L37-C14)/((L37-C14)-(L37-C15)))*(B15-B14)))))))+(IF(AND((L37-C15)&lt;=0,(L37-C16)&lt;=0),0,IF(AND((L37-C15)&gt;=0,(L37-C16)&gt;=0),0.5*((L37-C15)+(L37-C16))*ABS(B16-B15),IF((L37-C15)&gt;0,0.5*(L37-C15)*ABS((B15+((L37-C15)/((L37-C15)-(L37-C16)))*(B16-B15))-B15),0.5*(L37-C16)*ABS(B16-(B15+((L37-C15)/((L37-C15)-(L37-C16)))*(B16-B15)))))))+(IF(AND((L37-C16)&lt;=0,(L37-C17)&lt;=0),0,IF(AND((L37-C16)&gt;=0,(L37-C17)&gt;=0),0.5*((L37-C16)+(L37-C17))*ABS(B17-B16),IF((L37-C16)&gt;0,0.5*(L37-C16)*ABS((B16+((L37-C16)/((L37-C16)-(L37-C17)))*(B17-B16))-B16),0.5*(L37-C17)*ABS(B17-(B16+((L37-C16)/((L37-C16)-(L37-C17)))*(B17-B16)))))))+(IF(AND((L37-C17)&lt;=0,(L37-C18)&lt;=0),0,IF(AND((L37-C17)&gt;=0,(L37-C18)&gt;=0),0.5*((L37-C17)+(L37-C18))*ABS(B18-B17),IF((L37-C17)&gt;0,0.5*(L37-C17)*ABS((B17+((L37-C17)/((L37-C17)-(L37-C18)))*(B18-B17))-B17),0.5*(L37-C18)*ABS(B18-(B17+((L37-C17)/((L37-C17)-(L37-C18)))*(B18-B17)))))))</f>
        <v/>
      </c>
      <c r="N37">
        <f>(IF(AND((L37-C9)&lt;=0,(L37-C10)&lt;=0),0,IF(AND((L37-C9)&gt;=0,(L37-C10)&gt;=0),SQRT((B10-B9)^2+(C10-C9)^2),IF((L37-C9)&gt;0,SQRT(((B9+((L37-C9)/((L37-C9)-(L37-C10)))*(B10-B9))-B9)^2+(L37-C9)^2),SQRT((B10-(B9+((L37-C9)/((L37-C9)-(L37-C10)))*(B10-B9)))^2+(L37-C10)^2)))))+(IF(AND((L37-C10)&lt;=0,(L37-C11)&lt;=0),0,IF(AND((L37-C10)&gt;=0,(L37-C11)&gt;=0),SQRT((B11-B10)^2+(C11-C10)^2),IF((L37-C10)&gt;0,SQRT(((B10+((L37-C10)/((L37-C10)-(L37-C11)))*(B11-B10))-B10)^2+(L37-C10)^2),SQRT((B11-(B10+((L37-C10)/((L37-C10)-(L37-C11)))*(B11-B10)))^2+(L37-C11)^2)))))+(IF(AND((L37-C11)&lt;=0,(L37-C12)&lt;=0),0,IF(AND((L37-C11)&gt;=0,(L37-C12)&gt;=0),SQRT((B12-B11)^2+(C12-C11)^2),IF((L37-C11)&gt;0,SQRT(((B11+((L37-C11)/((L37-C11)-(L37-C12)))*(B12-B11))-B11)^2+(L37-C11)^2),SQRT((B12-(B11+((L37-C11)/((L37-C11)-(L37-C12)))*(B12-B11)))^2+(L37-C12)^2)))))+(IF(AND((L37-C12)&lt;=0,(L37-C13)&lt;=0),0,IF(AND((L37-C12)&gt;=0,(L37-C13)&gt;=0),SQRT((B13-B12)^2+(C13-C12)^2),IF((L37-C12)&gt;0,SQRT(((B12+((L37-C12)/((L37-C12)-(L37-C13)))*(B13-B12))-B12)^2+(L37-C12)^2),SQRT((B13-(B12+((L37-C12)/((L37-C12)-(L37-C13)))*(B13-B12)))^2+(L37-C13)^2)))))+(IF(AND((L37-C13)&lt;=0,(L37-C14)&lt;=0),0,IF(AND((L37-C13)&gt;=0,(L37-C14)&gt;=0),SQRT((B14-B13)^2+(C14-C13)^2),IF((L37-C13)&gt;0,SQRT(((B13+((L37-C13)/((L37-C13)-(L37-C14)))*(B14-B13))-B13)^2+(L37-C13)^2),SQRT((B14-(B13+((L37-C13)/((L37-C13)-(L37-C14)))*(B14-B13)))^2+(L37-C14)^2)))))+(IF(AND((L37-C14)&lt;=0,(L37-C15)&lt;=0),0,IF(AND((L37-C14)&gt;=0,(L37-C15)&gt;=0),SQRT((B15-B14)^2+(C15-C14)^2),IF((L37-C14)&gt;0,SQRT(((B14+((L37-C14)/((L37-C14)-(L37-C15)))*(B15-B14))-B14)^2+(L37-C14)^2),SQRT((B15-(B14+((L37-C14)/((L37-C14)-(L37-C15)))*(B15-B14)))^2+(L37-C15)^2)))))+(IF(AND((L37-C15)&lt;=0,(L37-C16)&lt;=0),0,IF(AND((L37-C15)&gt;=0,(L37-C16)&gt;=0),SQRT((B16-B15)^2+(C16-C15)^2),IF((L37-C15)&gt;0,SQRT(((B15+((L37-C15)/((L37-C15)-(L37-C16)))*(B16-B15))-B15)^2+(L37-C15)^2),SQRT((B16-(B15+((L37-C15)/((L37-C15)-(L37-C16)))*(B16-B15)))^2+(L37-C16)^2)))))+(IF(AND((L37-C16)&lt;=0,(L37-C17)&lt;=0),0,IF(AND((L37-C16)&gt;=0,(L37-C17)&gt;=0),SQRT((B17-B16)^2+(C17-C16)^2),IF((L37-C16)&gt;0,SQRT(((B16+((L37-C16)/((L37-C16)-(L37-C17)))*(B17-B16))-B16)^2+(L37-C16)^2),SQRT((B17-(B16+((L37-C16)/((L37-C16)-(L37-C17)))*(B17-B16)))^2+(L37-C17)^2)))))+(IF(AND((L37-C17)&lt;=0,(L37-C18)&lt;=0),0,IF(AND((L37-C17)&gt;=0,(L37-C18)&gt;=0),SQRT((B18-B17)^2+(C18-C17)^2),IF((L37-C17)&gt;0,SQRT(((B17+((L37-C17)/((L37-C17)-(L37-C18)))*(B18-B17))-B17)^2+(L37-C17)^2),SQRT((B18-(B17+((L37-C17)/((L37-C17)-(L37-C18)))*(B18-B17)))^2+(L37-C18)^2)))))</f>
        <v/>
      </c>
      <c r="O37">
        <f>IF(OR($B$6&lt;=0,M37&lt;=0,N37&lt;=0,$B$4&lt;=0),0,(1/$B$6)*M37*((M37/N37)^(2/3))*SQRT($B$4))</f>
        <v/>
      </c>
    </row>
    <row r="38">
      <c r="I38" t="n">
        <v>30</v>
      </c>
      <c r="J38">
        <f>IF(O37&lt;$B$5,L37,J37)</f>
        <v/>
      </c>
      <c r="K38">
        <f>IF(O37&lt;$B$5,K37,L37)</f>
        <v/>
      </c>
      <c r="L38">
        <f>(J38+K38)/2</f>
        <v/>
      </c>
      <c r="M38">
        <f>(IF(AND((L38-C9)&lt;=0,(L38-C10)&lt;=0),0,IF(AND((L38-C9)&gt;=0,(L38-C10)&gt;=0),0.5*((L38-C9)+(L38-C10))*ABS(B10-B9),IF((L38-C9)&gt;0,0.5*(L38-C9)*ABS((B9+((L38-C9)/((L38-C9)-(L38-C10)))*(B10-B9))-B9),0.5*(L38-C10)*ABS(B10-(B9+((L38-C9)/((L38-C9)-(L38-C10)))*(B10-B9)))))))+(IF(AND((L38-C10)&lt;=0,(L38-C11)&lt;=0),0,IF(AND((L38-C10)&gt;=0,(L38-C11)&gt;=0),0.5*((L38-C10)+(L38-C11))*ABS(B11-B10),IF((L38-C10)&gt;0,0.5*(L38-C10)*ABS((B10+((L38-C10)/((L38-C10)-(L38-C11)))*(B11-B10))-B10),0.5*(L38-C11)*ABS(B11-(B10+((L38-C10)/((L38-C10)-(L38-C11)))*(B11-B10)))))))+(IF(AND((L38-C11)&lt;=0,(L38-C12)&lt;=0),0,IF(AND((L38-C11)&gt;=0,(L38-C12)&gt;=0),0.5*((L38-C11)+(L38-C12))*ABS(B12-B11),IF((L38-C11)&gt;0,0.5*(L38-C11)*ABS((B11+((L38-C11)/((L38-C11)-(L38-C12)))*(B12-B11))-B11),0.5*(L38-C12)*ABS(B12-(B11+((L38-C11)/((L38-C11)-(L38-C12)))*(B12-B11)))))))+(IF(AND((L38-C12)&lt;=0,(L38-C13)&lt;=0),0,IF(AND((L38-C12)&gt;=0,(L38-C13)&gt;=0),0.5*((L38-C12)+(L38-C13))*ABS(B13-B12),IF((L38-C12)&gt;0,0.5*(L38-C12)*ABS((B12+((L38-C12)/((L38-C12)-(L38-C13)))*(B13-B12))-B12),0.5*(L38-C13)*ABS(B13-(B12+((L38-C12)/((L38-C12)-(L38-C13)))*(B13-B12)))))))+(IF(AND((L38-C13)&lt;=0,(L38-C14)&lt;=0),0,IF(AND((L38-C13)&gt;=0,(L38-C14)&gt;=0),0.5*((L38-C13)+(L38-C14))*ABS(B14-B13),IF((L38-C13)&gt;0,0.5*(L38-C13)*ABS((B13+((L38-C13)/((L38-C13)-(L38-C14)))*(B14-B13))-B13),0.5*(L38-C14)*ABS(B14-(B13+((L38-C13)/((L38-C13)-(L38-C14)))*(B14-B13)))))))+(IF(AND((L38-C14)&lt;=0,(L38-C15)&lt;=0),0,IF(AND((L38-C14)&gt;=0,(L38-C15)&gt;=0),0.5*((L38-C14)+(L38-C15))*ABS(B15-B14),IF((L38-C14)&gt;0,0.5*(L38-C14)*ABS((B14+((L38-C14)/((L38-C14)-(L38-C15)))*(B15-B14))-B14),0.5*(L38-C15)*ABS(B15-(B14+((L38-C14)/((L38-C14)-(L38-C15)))*(B15-B14)))))))+(IF(AND((L38-C15)&lt;=0,(L38-C16)&lt;=0),0,IF(AND((L38-C15)&gt;=0,(L38-C16)&gt;=0),0.5*((L38-C15)+(L38-C16))*ABS(B16-B15),IF((L38-C15)&gt;0,0.5*(L38-C15)*ABS((B15+((L38-C15)/((L38-C15)-(L38-C16)))*(B16-B15))-B15),0.5*(L38-C16)*ABS(B16-(B15+((L38-C15)/((L38-C15)-(L38-C16)))*(B16-B15)))))))+(IF(AND((L38-C16)&lt;=0,(L38-C17)&lt;=0),0,IF(AND((L38-C16)&gt;=0,(L38-C17)&gt;=0),0.5*((L38-C16)+(L38-C17))*ABS(B17-B16),IF((L38-C16)&gt;0,0.5*(L38-C16)*ABS((B16+((L38-C16)/((L38-C16)-(L38-C17)))*(B17-B16))-B16),0.5*(L38-C17)*ABS(B17-(B16+((L38-C16)/((L38-C16)-(L38-C17)))*(B17-B16)))))))+(IF(AND((L38-C17)&lt;=0,(L38-C18)&lt;=0),0,IF(AND((L38-C17)&gt;=0,(L38-C18)&gt;=0),0.5*((L38-C17)+(L38-C18))*ABS(B18-B17),IF((L38-C17)&gt;0,0.5*(L38-C17)*ABS((B17+((L38-C17)/((L38-C17)-(L38-C18)))*(B18-B17))-B17),0.5*(L38-C18)*ABS(B18-(B17+((L38-C17)/((L38-C17)-(L38-C18)))*(B18-B17)))))))</f>
        <v/>
      </c>
      <c r="N38">
        <f>(IF(AND((L38-C9)&lt;=0,(L38-C10)&lt;=0),0,IF(AND((L38-C9)&gt;=0,(L38-C10)&gt;=0),SQRT((B10-B9)^2+(C10-C9)^2),IF((L38-C9)&gt;0,SQRT(((B9+((L38-C9)/((L38-C9)-(L38-C10)))*(B10-B9))-B9)^2+(L38-C9)^2),SQRT((B10-(B9+((L38-C9)/((L38-C9)-(L38-C10)))*(B10-B9)))^2+(L38-C10)^2)))))+(IF(AND((L38-C10)&lt;=0,(L38-C11)&lt;=0),0,IF(AND((L38-C10)&gt;=0,(L38-C11)&gt;=0),SQRT((B11-B10)^2+(C11-C10)^2),IF((L38-C10)&gt;0,SQRT(((B10+((L38-C10)/((L38-C10)-(L38-C11)))*(B11-B10))-B10)^2+(L38-C10)^2),SQRT((B11-(B10+((L38-C10)/((L38-C10)-(L38-C11)))*(B11-B10)))^2+(L38-C11)^2)))))+(IF(AND((L38-C11)&lt;=0,(L38-C12)&lt;=0),0,IF(AND((L38-C11)&gt;=0,(L38-C12)&gt;=0),SQRT((B12-B11)^2+(C12-C11)^2),IF((L38-C11)&gt;0,SQRT(((B11+((L38-C11)/((L38-C11)-(L38-C12)))*(B12-B11))-B11)^2+(L38-C11)^2),SQRT((B12-(B11+((L38-C11)/((L38-C11)-(L38-C12)))*(B12-B11)))^2+(L38-C12)^2)))))+(IF(AND((L38-C12)&lt;=0,(L38-C13)&lt;=0),0,IF(AND((L38-C12)&gt;=0,(L38-C13)&gt;=0),SQRT((B13-B12)^2+(C13-C12)^2),IF((L38-C12)&gt;0,SQRT(((B12+((L38-C12)/((L38-C12)-(L38-C13)))*(B13-B12))-B12)^2+(L38-C12)^2),SQRT((B13-(B12+((L38-C12)/((L38-C12)-(L38-C13)))*(B13-B12)))^2+(L38-C13)^2)))))+(IF(AND((L38-C13)&lt;=0,(L38-C14)&lt;=0),0,IF(AND((L38-C13)&gt;=0,(L38-C14)&gt;=0),SQRT((B14-B13)^2+(C14-C13)^2),IF((L38-C13)&gt;0,SQRT(((B13+((L38-C13)/((L38-C13)-(L38-C14)))*(B14-B13))-B13)^2+(L38-C13)^2),SQRT((B14-(B13+((L38-C13)/((L38-C13)-(L38-C14)))*(B14-B13)))^2+(L38-C14)^2)))))+(IF(AND((L38-C14)&lt;=0,(L38-C15)&lt;=0),0,IF(AND((L38-C14)&gt;=0,(L38-C15)&gt;=0),SQRT((B15-B14)^2+(C15-C14)^2),IF((L38-C14)&gt;0,SQRT(((B14+((L38-C14)/((L38-C14)-(L38-C15)))*(B15-B14))-B14)^2+(L38-C14)^2),SQRT((B15-(B14+((L38-C14)/((L38-C14)-(L38-C15)))*(B15-B14)))^2+(L38-C15)^2)))))+(IF(AND((L38-C15)&lt;=0,(L38-C16)&lt;=0),0,IF(AND((L38-C15)&gt;=0,(L38-C16)&gt;=0),SQRT((B16-B15)^2+(C16-C15)^2),IF((L38-C15)&gt;0,SQRT(((B15+((L38-C15)/((L38-C15)-(L38-C16)))*(B16-B15))-B15)^2+(L38-C15)^2),SQRT((B16-(B15+((L38-C15)/((L38-C15)-(L38-C16)))*(B16-B15)))^2+(L38-C16)^2)))))+(IF(AND((L38-C16)&lt;=0,(L38-C17)&lt;=0),0,IF(AND((L38-C16)&gt;=0,(L38-C17)&gt;=0),SQRT((B17-B16)^2+(C17-C16)^2),IF((L38-C16)&gt;0,SQRT(((B16+((L38-C16)/((L38-C16)-(L38-C17)))*(B17-B16))-B16)^2+(L38-C16)^2),SQRT((B17-(B16+((L38-C16)/((L38-C16)-(L38-C17)))*(B17-B16)))^2+(L38-C17)^2)))))+(IF(AND((L38-C17)&lt;=0,(L38-C18)&lt;=0),0,IF(AND((L38-C17)&gt;=0,(L38-C18)&gt;=0),SQRT((B18-B17)^2+(C18-C17)^2),IF((L38-C17)&gt;0,SQRT(((B17+((L38-C17)/((L38-C17)-(L38-C18)))*(B18-B17))-B17)^2+(L38-C17)^2),SQRT((B18-(B17+((L38-C17)/((L38-C17)-(L38-C18)))*(B18-B17)))^2+(L38-C18)^2)))))</f>
        <v/>
      </c>
      <c r="O38">
        <f>IF(OR($B$6&lt;=0,M38&lt;=0,N38&lt;=0,$B$4&lt;=0),0,(1/$B$6)*M38*((M38/N38)^(2/3))*SQRT($B$4))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0" customWidth="1" min="4" max="4"/>
    <col width="12" customWidth="1" min="5" max="5"/>
    <col width="16" customWidth="1" min="6" max="6"/>
    <col width="16" customWidth="1" min="7" max="7"/>
    <col width="6" customWidth="1" min="9" max="9"/>
    <col width="11" customWidth="1" min="10" max="10"/>
    <col width="11" customWidth="1" min="11" max="11"/>
    <col width="14" customWidth="1" min="12" max="12"/>
    <col width="11" customWidth="1" min="13" max="13"/>
    <col width="11" customWidth="1" min="14" max="14"/>
    <col width="16" customWidth="1" min="15" max="15"/>
  </cols>
  <sheetData>
    <row r="1">
      <c r="A1" s="13" t="inlineStr">
        <is>
          <t>Section 3+000 — profondeur normale + aire (formules Excel)</t>
        </is>
      </c>
    </row>
    <row r="2">
      <c r="A2" t="inlineStr">
        <is>
          <t>WSE exploratoire (m)</t>
        </is>
      </c>
      <c r="B2" s="14" t="n">
        <v>35.42</v>
      </c>
      <c r="C2" s="2" t="inlineStr">
        <is>
          <t>← S0≤0: pas de yn; WSE jaune seulement pour explorer A/P</t>
        </is>
      </c>
    </row>
    <row r="3">
      <c r="A3" t="inlineStr">
        <is>
          <t>Station cum. (m)</t>
        </is>
      </c>
      <c r="B3" t="n">
        <v>23.663</v>
      </c>
    </row>
    <row r="4">
      <c r="A4" t="inlineStr">
        <is>
          <t>S0 réel</t>
        </is>
      </c>
      <c r="B4" s="15" t="n">
        <v>-0.0025</v>
      </c>
      <c r="C4" t="inlineStr">
        <is>
          <t>adverse/nulle — pas de yn / Manning</t>
        </is>
      </c>
    </row>
    <row r="5">
      <c r="A5" t="inlineStr">
        <is>
          <t>Q (m³/s)</t>
        </is>
      </c>
      <c r="B5" s="14" t="n">
        <v>7.36</v>
      </c>
    </row>
    <row r="6">
      <c r="A6" t="inlineStr">
        <is>
          <t>n Manning</t>
        </is>
      </c>
      <c r="B6" s="14" t="n">
        <v>0.035</v>
      </c>
      <c r="I6" s="16" t="inlineStr">
        <is>
          <t>Dichotomie yn (formules) — ne pas éditer</t>
        </is>
      </c>
    </row>
    <row r="8">
      <c r="A8" s="4" t="inlineStr">
        <is>
          <t>#</t>
        </is>
      </c>
      <c r="B8" s="4" t="inlineStr">
        <is>
          <t>Distance x (m)</t>
        </is>
      </c>
      <c r="C8" s="4" t="inlineStr">
        <is>
          <t>Elev z (m)</t>
        </is>
      </c>
      <c r="D8" s="4" t="inlineStr">
        <is>
          <t>Desc</t>
        </is>
      </c>
      <c r="E8" s="4" t="inlineStr">
        <is>
          <t>d=WSE−z</t>
        </is>
      </c>
      <c r="F8" s="4" t="inlineStr">
        <is>
          <t>Ai segment (m²)</t>
        </is>
      </c>
      <c r="G8" s="4" t="inlineStr">
        <is>
          <t>Pi segment (m)</t>
        </is>
      </c>
      <c r="I8" s="4" t="inlineStr">
        <is>
          <t>iter</t>
        </is>
      </c>
      <c r="J8" s="4" t="inlineStr">
        <is>
          <t>lo</t>
        </is>
      </c>
      <c r="K8" s="4" t="inlineStr">
        <is>
          <t>hi</t>
        </is>
      </c>
      <c r="L8" s="4" t="inlineStr">
        <is>
          <t>mid=WSE essai</t>
        </is>
      </c>
      <c r="M8" s="4" t="inlineStr">
        <is>
          <t>A(mid)</t>
        </is>
      </c>
      <c r="N8" s="4" t="inlineStr">
        <is>
          <t>P(mid)</t>
        </is>
      </c>
      <c r="O8" s="4" t="inlineStr">
        <is>
          <t>Q_manning(mid)</t>
        </is>
      </c>
    </row>
    <row r="9">
      <c r="A9" s="5" t="n">
        <v>1</v>
      </c>
      <c r="B9" s="5" t="n">
        <v>0</v>
      </c>
      <c r="C9" s="5" t="n">
        <v>39.84</v>
      </c>
      <c r="D9" s="5" t="inlineStr">
        <is>
          <t>TN</t>
        </is>
      </c>
      <c r="E9" s="5">
        <f>$B$2-C9</f>
        <v/>
      </c>
      <c r="F9" s="5">
        <f>IF(AND(($B$2-C9)&lt;=0,($B$2-C10)&lt;=0),0,IF(AND(($B$2-C9)&gt;=0,($B$2-C10)&gt;=0),0.5*(($B$2-C9)+($B$2-C10))*ABS(B10-B9),IF(($B$2-C9)&gt;0,0.5*($B$2-C9)*ABS((B9+(($B$2-C9)/(($B$2-C9)-($B$2-C10)))*(B10-B9))-B9),0.5*($B$2-C10)*ABS(B10-(B9+(($B$2-C9)/(($B$2-C9)-($B$2-C10)))*(B10-B9))))))</f>
        <v/>
      </c>
      <c r="G9" s="5">
        <f>IF(AND(($B$2-C9)&lt;=0,($B$2-C10)&lt;=0),0,IF(AND(($B$2-C9)&gt;=0,($B$2-C10)&gt;=0),SQRT((B10-B9)^2+(C10-C9)^2),IF(($B$2-C9)&gt;0,SQRT(((B9+(($B$2-C9)/(($B$2-C9)-($B$2-C10)))*(B10-B9))-B9)^2+($B$2-C9)^2),SQRT((B10-(B9+(($B$2-C9)/(($B$2-C9)-($B$2-C10)))*(B10-B9)))^2+($B$2-C10)^2))))</f>
        <v/>
      </c>
      <c r="I9" t="inlineStr">
        <is>
          <t>N/A (S0≤0)</t>
        </is>
      </c>
    </row>
    <row r="10">
      <c r="A10" s="5" t="n">
        <v>2</v>
      </c>
      <c r="B10" s="5" t="n">
        <v>5.187</v>
      </c>
      <c r="C10" s="5" t="n">
        <v>38.8</v>
      </c>
      <c r="D10" s="5" t="inlineStr">
        <is>
          <t>TN</t>
        </is>
      </c>
      <c r="E10" s="5">
        <f>$B$2-C10</f>
        <v/>
      </c>
      <c r="F10" s="5">
        <f>IF(AND(($B$2-C10)&lt;=0,($B$2-C11)&lt;=0),0,IF(AND(($B$2-C10)&gt;=0,($B$2-C11)&gt;=0),0.5*(($B$2-C10)+($B$2-C11))*ABS(B11-B10),IF(($B$2-C10)&gt;0,0.5*($B$2-C10)*ABS((B10+(($B$2-C10)/(($B$2-C10)-($B$2-C11)))*(B11-B10))-B10),0.5*($B$2-C11)*ABS(B11-(B10+(($B$2-C10)/(($B$2-C10)-($B$2-C11)))*(B11-B10))))))</f>
        <v/>
      </c>
      <c r="G10" s="5">
        <f>IF(AND(($B$2-C10)&lt;=0,($B$2-C11)&lt;=0),0,IF(AND(($B$2-C10)&gt;=0,($B$2-C11)&gt;=0),SQRT((B11-B10)^2+(C11-C10)^2),IF(($B$2-C10)&gt;0,SQRT(((B10+(($B$2-C10)/(($B$2-C10)-($B$2-C11)))*(B11-B10))-B10)^2+($B$2-C10)^2),SQRT((B11-(B10+(($B$2-C10)/(($B$2-C10)-($B$2-C11)))*(B11-B10)))^2+($B$2-C11)^2))))</f>
        <v/>
      </c>
    </row>
    <row r="11">
      <c r="A11" s="5" t="n">
        <v>3</v>
      </c>
      <c r="B11" s="5" t="n">
        <v>8.771000000000001</v>
      </c>
      <c r="C11" s="5" t="n">
        <v>36.81</v>
      </c>
      <c r="D11" s="5" t="inlineStr">
        <is>
          <t>TN</t>
        </is>
      </c>
      <c r="E11" s="5">
        <f>$B$2-C11</f>
        <v/>
      </c>
      <c r="F11" s="5">
        <f>IF(AND(($B$2-C11)&lt;=0,($B$2-C12)&lt;=0),0,IF(AND(($B$2-C11)&gt;=0,($B$2-C12)&gt;=0),0.5*(($B$2-C11)+($B$2-C12))*ABS(B12-B11),IF(($B$2-C11)&gt;0,0.5*($B$2-C11)*ABS((B11+(($B$2-C11)/(($B$2-C11)-($B$2-C12)))*(B12-B11))-B11),0.5*($B$2-C12)*ABS(B12-(B11+(($B$2-C11)/(($B$2-C11)-($B$2-C12)))*(B12-B11))))))</f>
        <v/>
      </c>
      <c r="G11" s="5">
        <f>IF(AND(($B$2-C11)&lt;=0,($B$2-C12)&lt;=0),0,IF(AND(($B$2-C11)&gt;=0,($B$2-C12)&gt;=0),SQRT((B12-B11)^2+(C12-C11)^2),IF(($B$2-C11)&gt;0,SQRT(((B11+(($B$2-C11)/(($B$2-C11)-($B$2-C12)))*(B12-B11))-B11)^2+($B$2-C11)^2),SQRT((B12-(B11+(($B$2-C11)/(($B$2-C11)-($B$2-C12)))*(B12-B11)))^2+($B$2-C12)^2))))</f>
        <v/>
      </c>
    </row>
    <row r="12">
      <c r="A12" s="5" t="n">
        <v>4</v>
      </c>
      <c r="B12" s="5" t="n">
        <v>11.741</v>
      </c>
      <c r="C12" s="5" t="n">
        <v>35.92</v>
      </c>
      <c r="D12" s="5" t="inlineStr">
        <is>
          <t>TN</t>
        </is>
      </c>
      <c r="E12" s="5">
        <f>$B$2-C12</f>
        <v/>
      </c>
      <c r="F12" s="5">
        <f>IF(AND(($B$2-C12)&lt;=0,($B$2-C13)&lt;=0),0,IF(AND(($B$2-C12)&gt;=0,($B$2-C13)&gt;=0),0.5*(($B$2-C12)+($B$2-C13))*ABS(B13-B12),IF(($B$2-C12)&gt;0,0.5*($B$2-C12)*ABS((B12+(($B$2-C12)/(($B$2-C12)-($B$2-C13)))*(B13-B12))-B12),0.5*($B$2-C13)*ABS(B13-(B12+(($B$2-C12)/(($B$2-C12)-($B$2-C13)))*(B13-B12))))))</f>
        <v/>
      </c>
      <c r="G12" s="5">
        <f>IF(AND(($B$2-C12)&lt;=0,($B$2-C13)&lt;=0),0,IF(AND(($B$2-C12)&gt;=0,($B$2-C13)&gt;=0),SQRT((B13-B12)^2+(C13-C12)^2),IF(($B$2-C12)&gt;0,SQRT(((B12+(($B$2-C12)/(($B$2-C12)-($B$2-C13)))*(B13-B12))-B12)^2+($B$2-C12)^2),SQRT((B13-(B12+(($B$2-C12)/(($B$2-C12)-($B$2-C13)))*(B13-B12)))^2+($B$2-C13)^2))))</f>
        <v/>
      </c>
    </row>
    <row r="13">
      <c r="A13" s="5" t="n">
        <v>5</v>
      </c>
      <c r="B13" s="5" t="n">
        <v>13.106</v>
      </c>
      <c r="C13" s="5" t="n">
        <v>34.94</v>
      </c>
      <c r="D13" s="5" t="inlineStr">
        <is>
          <t>TAB</t>
        </is>
      </c>
      <c r="E13" s="5">
        <f>$B$2-C13</f>
        <v/>
      </c>
      <c r="F13" s="5">
        <f>IF(AND(($B$2-C13)&lt;=0,($B$2-C14)&lt;=0),0,IF(AND(($B$2-C13)&gt;=0,($B$2-C14)&gt;=0),0.5*(($B$2-C13)+($B$2-C14))*ABS(B14-B13),IF(($B$2-C13)&gt;0,0.5*($B$2-C13)*ABS((B13+(($B$2-C13)/(($B$2-C13)-($B$2-C14)))*(B14-B13))-B13),0.5*($B$2-C14)*ABS(B14-(B13+(($B$2-C13)/(($B$2-C13)-($B$2-C14)))*(B14-B13))))))</f>
        <v/>
      </c>
      <c r="G13" s="5">
        <f>IF(AND(($B$2-C13)&lt;=0,($B$2-C14)&lt;=0),0,IF(AND(($B$2-C13)&gt;=0,($B$2-C14)&gt;=0),SQRT((B14-B13)^2+(C14-C13)^2),IF(($B$2-C13)&gt;0,SQRT(((B13+(($B$2-C13)/(($B$2-C13)-($B$2-C14)))*(B14-B13))-B13)^2+($B$2-C13)^2),SQRT((B14-(B13+(($B$2-C13)/(($B$2-C13)-($B$2-C14)))*(B14-B13)))^2+($B$2-C14)^2))))</f>
        <v/>
      </c>
    </row>
    <row r="14">
      <c r="A14" s="5" t="n">
        <v>6</v>
      </c>
      <c r="B14" s="5" t="n">
        <v>13.616</v>
      </c>
      <c r="C14" s="5" t="n">
        <v>34.93</v>
      </c>
      <c r="D14" s="5" t="inlineStr">
        <is>
          <t>TN</t>
        </is>
      </c>
      <c r="E14" s="5">
        <f>$B$2-C14</f>
        <v/>
      </c>
      <c r="F14" s="5">
        <f>IF(AND(($B$2-C14)&lt;=0,($B$2-C15)&lt;=0),0,IF(AND(($B$2-C14)&gt;=0,($B$2-C15)&gt;=0),0.5*(($B$2-C14)+($B$2-C15))*ABS(B15-B14),IF(($B$2-C14)&gt;0,0.5*($B$2-C14)*ABS((B14+(($B$2-C14)/(($B$2-C14)-($B$2-C15)))*(B15-B14))-B14),0.5*($B$2-C15)*ABS(B15-(B14+(($B$2-C14)/(($B$2-C14)-($B$2-C15)))*(B15-B14))))))</f>
        <v/>
      </c>
      <c r="G14" s="5">
        <f>IF(AND(($B$2-C14)&lt;=0,($B$2-C15)&lt;=0),0,IF(AND(($B$2-C14)&gt;=0,($B$2-C15)&gt;=0),SQRT((B15-B14)^2+(C15-C14)^2),IF(($B$2-C14)&gt;0,SQRT(((B14+(($B$2-C14)/(($B$2-C14)-($B$2-C15)))*(B15-B14))-B14)^2+($B$2-C14)^2),SQRT((B15-(B14+(($B$2-C14)/(($B$2-C14)-($B$2-C15)))*(B15-B14)))^2+($B$2-C15)^2))))</f>
        <v/>
      </c>
    </row>
    <row r="15">
      <c r="A15" s="5" t="n">
        <v>7</v>
      </c>
      <c r="B15" s="5" t="n">
        <v>14.646</v>
      </c>
      <c r="C15" s="5" t="n">
        <v>34.42</v>
      </c>
      <c r="D15" s="5" t="inlineStr">
        <is>
          <t>FOND</t>
        </is>
      </c>
      <c r="E15" s="5">
        <f>$B$2-C15</f>
        <v/>
      </c>
      <c r="F15" s="5">
        <f>IF(AND(($B$2-C15)&lt;=0,($B$2-C16)&lt;=0),0,IF(AND(($B$2-C15)&gt;=0,($B$2-C16)&gt;=0),0.5*(($B$2-C15)+($B$2-C16))*ABS(B16-B15),IF(($B$2-C15)&gt;0,0.5*($B$2-C15)*ABS((B15+(($B$2-C15)/(($B$2-C15)-($B$2-C16)))*(B16-B15))-B15),0.5*($B$2-C16)*ABS(B16-(B15+(($B$2-C15)/(($B$2-C15)-($B$2-C16)))*(B16-B15))))))</f>
        <v/>
      </c>
      <c r="G15" s="5">
        <f>IF(AND(($B$2-C15)&lt;=0,($B$2-C16)&lt;=0),0,IF(AND(($B$2-C15)&gt;=0,($B$2-C16)&gt;=0),SQRT((B16-B15)^2+(C16-C15)^2),IF(($B$2-C15)&gt;0,SQRT(((B15+(($B$2-C15)/(($B$2-C15)-($B$2-C16)))*(B16-B15))-B15)^2+($B$2-C15)^2),SQRT((B16-(B15+(($B$2-C15)/(($B$2-C15)-($B$2-C16)))*(B16-B15)))^2+($B$2-C16)^2))))</f>
        <v/>
      </c>
    </row>
    <row r="16">
      <c r="A16" s="5" t="n">
        <v>8</v>
      </c>
      <c r="B16" s="5" t="n">
        <v>16.266</v>
      </c>
      <c r="C16" s="5" t="n">
        <v>34.89</v>
      </c>
      <c r="D16" s="5" t="inlineStr">
        <is>
          <t>TN</t>
        </is>
      </c>
      <c r="E16" s="5">
        <f>$B$2-C16</f>
        <v/>
      </c>
      <c r="F16" s="5">
        <f>IF(AND(($B$2-C16)&lt;=0,($B$2-C17)&lt;=0),0,IF(AND(($B$2-C16)&gt;=0,($B$2-C17)&gt;=0),0.5*(($B$2-C16)+($B$2-C17))*ABS(B17-B16),IF(($B$2-C16)&gt;0,0.5*($B$2-C16)*ABS((B16+(($B$2-C16)/(($B$2-C16)-($B$2-C17)))*(B17-B16))-B16),0.5*($B$2-C17)*ABS(B17-(B16+(($B$2-C16)/(($B$2-C16)-($B$2-C17)))*(B17-B16))))))</f>
        <v/>
      </c>
      <c r="G16" s="5">
        <f>IF(AND(($B$2-C16)&lt;=0,($B$2-C17)&lt;=0),0,IF(AND(($B$2-C16)&gt;=0,($B$2-C17)&gt;=0),SQRT((B17-B16)^2+(C17-C16)^2),IF(($B$2-C16)&gt;0,SQRT(((B16+(($B$2-C16)/(($B$2-C16)-($B$2-C17)))*(B17-B16))-B16)^2+($B$2-C16)^2),SQRT((B17-(B16+(($B$2-C16)/(($B$2-C16)-($B$2-C17)))*(B17-B16)))^2+($B$2-C17)^2))))</f>
        <v/>
      </c>
    </row>
    <row r="17">
      <c r="A17" s="5" t="n">
        <v>9</v>
      </c>
      <c r="B17" s="5" t="n">
        <v>20.406</v>
      </c>
      <c r="C17" s="5" t="n">
        <v>35.05</v>
      </c>
      <c r="D17" s="5" t="inlineStr">
        <is>
          <t>TN</t>
        </is>
      </c>
      <c r="E17" s="5">
        <f>$B$2-C17</f>
        <v/>
      </c>
      <c r="F17" s="5">
        <f>IF(AND(($B$2-C17)&lt;=0,($B$2-C18)&lt;=0),0,IF(AND(($B$2-C17)&gt;=0,($B$2-C18)&gt;=0),0.5*(($B$2-C17)+($B$2-C18))*ABS(B18-B17),IF(($B$2-C17)&gt;0,0.5*($B$2-C17)*ABS((B17+(($B$2-C17)/(($B$2-C17)-($B$2-C18)))*(B18-B17))-B17),0.5*($B$2-C18)*ABS(B18-(B17+(($B$2-C17)/(($B$2-C17)-($B$2-C18)))*(B18-B17))))))</f>
        <v/>
      </c>
      <c r="G17" s="5">
        <f>IF(AND(($B$2-C17)&lt;=0,($B$2-C18)&lt;=0),0,IF(AND(($B$2-C17)&gt;=0,($B$2-C18)&gt;=0),SQRT((B18-B17)^2+(C18-C17)^2),IF(($B$2-C17)&gt;0,SQRT(((B17+(($B$2-C17)/(($B$2-C17)-($B$2-C18)))*(B18-B17))-B17)^2+($B$2-C17)^2),SQRT((B18-(B17+(($B$2-C17)/(($B$2-C17)-($B$2-C18)))*(B18-B17)))^2+($B$2-C18)^2))))</f>
        <v/>
      </c>
    </row>
    <row r="18">
      <c r="A18" s="5" t="n">
        <v>10</v>
      </c>
      <c r="B18" s="5" t="n">
        <v>23.631</v>
      </c>
      <c r="C18" s="5" t="n">
        <v>37.16</v>
      </c>
      <c r="D18" s="5" t="inlineStr">
        <is>
          <t>TN</t>
        </is>
      </c>
      <c r="E18" s="5">
        <f>$B$2-C18</f>
        <v/>
      </c>
      <c r="F18" s="5">
        <f>IF(AND(($B$2-C18)&lt;=0,($B$2-C19)&lt;=0),0,IF(AND(($B$2-C18)&gt;=0,($B$2-C19)&gt;=0),0.5*(($B$2-C18)+($B$2-C19))*ABS(B19-B18),IF(($B$2-C18)&gt;0,0.5*($B$2-C18)*ABS((B18+(($B$2-C18)/(($B$2-C18)-($B$2-C19)))*(B19-B18))-B18),0.5*($B$2-C19)*ABS(B19-(B18+(($B$2-C18)/(($B$2-C18)-($B$2-C19)))*(B19-B18))))))</f>
        <v/>
      </c>
      <c r="G18" s="5">
        <f>IF(AND(($B$2-C18)&lt;=0,($B$2-C19)&lt;=0),0,IF(AND(($B$2-C18)&gt;=0,($B$2-C19)&gt;=0),SQRT((B19-B18)^2+(C19-C18)^2),IF(($B$2-C18)&gt;0,SQRT(((B18+(($B$2-C18)/(($B$2-C18)-($B$2-C19)))*(B19-B18))-B18)^2+($B$2-C18)^2),SQRT((B19-(B18+(($B$2-C18)/(($B$2-C18)-($B$2-C19)))*(B19-B18)))^2+($B$2-C19)^2))))</f>
        <v/>
      </c>
    </row>
    <row r="19">
      <c r="A19" s="5" t="n">
        <v>11</v>
      </c>
      <c r="B19" s="5" t="n">
        <v>25.653</v>
      </c>
      <c r="C19" s="5" t="n">
        <v>38.39</v>
      </c>
      <c r="D19" s="5" t="inlineStr">
        <is>
          <t>TN</t>
        </is>
      </c>
      <c r="E19" s="5">
        <f>$B$2-C19</f>
        <v/>
      </c>
      <c r="F19" s="5">
        <f>IF(AND(($B$2-C19)&lt;=0,($B$2-C20)&lt;=0),0,IF(AND(($B$2-C19)&gt;=0,($B$2-C20)&gt;=0),0.5*(($B$2-C19)+($B$2-C20))*ABS(B20-B19),IF(($B$2-C19)&gt;0,0.5*($B$2-C19)*ABS((B19+(($B$2-C19)/(($B$2-C19)-($B$2-C20)))*(B20-B19))-B19),0.5*($B$2-C20)*ABS(B20-(B19+(($B$2-C19)/(($B$2-C19)-($B$2-C20)))*(B20-B19))))))</f>
        <v/>
      </c>
      <c r="G19" s="5">
        <f>IF(AND(($B$2-C19)&lt;=0,($B$2-C20)&lt;=0),0,IF(AND(($B$2-C19)&gt;=0,($B$2-C20)&gt;=0),SQRT((B20-B19)^2+(C20-C19)^2),IF(($B$2-C19)&gt;0,SQRT(((B19+(($B$2-C19)/(($B$2-C19)-($B$2-C20)))*(B20-B19))-B19)^2+($B$2-C19)^2),SQRT((B20-(B19+(($B$2-C19)/(($B$2-C19)-($B$2-C20)))*(B20-B19)))^2+($B$2-C20)^2))))</f>
        <v/>
      </c>
    </row>
    <row r="20">
      <c r="A20" s="5" t="n">
        <v>12</v>
      </c>
      <c r="B20" s="5" t="n">
        <v>27.412</v>
      </c>
      <c r="C20" s="5" t="n">
        <v>39.62</v>
      </c>
      <c r="D20" s="5" t="inlineStr">
        <is>
          <t>BLOC</t>
        </is>
      </c>
      <c r="E20" s="5">
        <f>$B$2-C20</f>
        <v/>
      </c>
      <c r="F20" s="5" t="n"/>
      <c r="G20" s="5" t="n"/>
    </row>
    <row r="21">
      <c r="G21" t="inlineStr">
        <is>
          <t>P = Σ Pi</t>
        </is>
      </c>
    </row>
    <row r="22">
      <c r="A22" s="10" t="inlineStr">
        <is>
          <t>Totaux</t>
        </is>
      </c>
      <c r="E22" t="inlineStr">
        <is>
          <t>A = Σ Ai</t>
        </is>
      </c>
      <c r="F22" s="17">
        <f>SUM(F9:F19)</f>
        <v/>
      </c>
      <c r="G22" s="17">
        <f>SUM(G9:G19)</f>
        <v/>
      </c>
    </row>
    <row r="24">
      <c r="A24" t="inlineStr">
        <is>
          <t>Fond min (m)</t>
        </is>
      </c>
      <c r="B24">
        <f>MIN(C9:C20)</f>
        <v/>
      </c>
    </row>
    <row r="25">
      <c r="A25" t="inlineStr">
        <is>
          <t>y = WSE − fond (m)</t>
        </is>
      </c>
      <c r="B25">
        <f>IF(ISNUMBER(B2),B2-B24,"")</f>
        <v/>
      </c>
    </row>
    <row r="26">
      <c r="A26" t="inlineStr">
        <is>
          <t>A (m²)</t>
        </is>
      </c>
      <c r="B26" s="9">
        <f>F22</f>
        <v/>
      </c>
    </row>
    <row r="27">
      <c r="A27" t="inlineStr">
        <is>
          <t>P (m)</t>
        </is>
      </c>
      <c r="B27" s="9">
        <f>G22</f>
        <v/>
      </c>
    </row>
    <row r="28">
      <c r="A28" t="inlineStr">
        <is>
          <t>R = A/P (m)</t>
        </is>
      </c>
      <c r="B28">
        <f>IF(B27&gt;0,B26/B27,0)</f>
        <v/>
      </c>
    </row>
    <row r="29">
      <c r="A29" t="inlineStr">
        <is>
          <t>Q_manning</t>
        </is>
      </c>
      <c r="C29" s="15" t="inlineStr">
        <is>
          <t>S0≤0 → pas de Manning / V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0" customWidth="1" min="4" max="4"/>
    <col width="12" customWidth="1" min="5" max="5"/>
    <col width="16" customWidth="1" min="6" max="6"/>
    <col width="16" customWidth="1" min="7" max="7"/>
    <col width="6" customWidth="1" min="9" max="9"/>
    <col width="11" customWidth="1" min="10" max="10"/>
    <col width="11" customWidth="1" min="11" max="11"/>
    <col width="14" customWidth="1" min="12" max="12"/>
    <col width="11" customWidth="1" min="13" max="13"/>
    <col width="11" customWidth="1" min="14" max="14"/>
    <col width="16" customWidth="1" min="15" max="15"/>
  </cols>
  <sheetData>
    <row r="1">
      <c r="A1" s="13" t="inlineStr">
        <is>
          <t>Section 4+000 — profondeur normale + aire (formules Excel)</t>
        </is>
      </c>
    </row>
    <row r="2">
      <c r="A2" t="inlineStr">
        <is>
          <t>WSE = yn (m)</t>
        </is>
      </c>
      <c r="B2" s="18">
        <f>L38</f>
        <v/>
      </c>
      <c r="C2" s="2" t="inlineStr">
        <is>
          <t>← calculé par dichotomie (colonne L) pour Q_manning = Q ; pas une saisie</t>
        </is>
      </c>
    </row>
    <row r="3">
      <c r="A3" t="inlineStr">
        <is>
          <t>Station cum. (m)</t>
        </is>
      </c>
      <c r="B3" t="n">
        <v>35.641</v>
      </c>
    </row>
    <row r="4">
      <c r="A4" t="inlineStr">
        <is>
          <t>S0 réel</t>
        </is>
      </c>
      <c r="B4" t="n">
        <v>0.02032</v>
      </c>
    </row>
    <row r="5">
      <c r="A5" t="inlineStr">
        <is>
          <t>Q (m³/s)</t>
        </is>
      </c>
      <c r="B5" s="14" t="n">
        <v>7.36</v>
      </c>
    </row>
    <row r="6">
      <c r="A6" t="inlineStr">
        <is>
          <t>n Manning</t>
        </is>
      </c>
      <c r="B6" s="14" t="n">
        <v>0.035</v>
      </c>
      <c r="I6" s="16" t="inlineStr">
        <is>
          <t>Dichotomie yn (formules) — ne pas éditer</t>
        </is>
      </c>
    </row>
    <row r="8">
      <c r="A8" s="4" t="inlineStr">
        <is>
          <t>#</t>
        </is>
      </c>
      <c r="B8" s="4" t="inlineStr">
        <is>
          <t>Distance x (m)</t>
        </is>
      </c>
      <c r="C8" s="4" t="inlineStr">
        <is>
          <t>Elev z (m)</t>
        </is>
      </c>
      <c r="D8" s="4" t="inlineStr">
        <is>
          <t>Desc</t>
        </is>
      </c>
      <c r="E8" s="4" t="inlineStr">
        <is>
          <t>d=WSE−z</t>
        </is>
      </c>
      <c r="F8" s="4" t="inlineStr">
        <is>
          <t>Ai segment (m²)</t>
        </is>
      </c>
      <c r="G8" s="4" t="inlineStr">
        <is>
          <t>Pi segment (m)</t>
        </is>
      </c>
      <c r="I8" s="4" t="inlineStr">
        <is>
          <t>iter</t>
        </is>
      </c>
      <c r="J8" s="4" t="inlineStr">
        <is>
          <t>lo</t>
        </is>
      </c>
      <c r="K8" s="4" t="inlineStr">
        <is>
          <t>hi</t>
        </is>
      </c>
      <c r="L8" s="4" t="inlineStr">
        <is>
          <t>mid=WSE essai</t>
        </is>
      </c>
      <c r="M8" s="4" t="inlineStr">
        <is>
          <t>A(mid)</t>
        </is>
      </c>
      <c r="N8" s="4" t="inlineStr">
        <is>
          <t>P(mid)</t>
        </is>
      </c>
      <c r="O8" s="4" t="inlineStr">
        <is>
          <t>Q_manning(mid)</t>
        </is>
      </c>
    </row>
    <row r="9">
      <c r="A9" s="5" t="n">
        <v>1</v>
      </c>
      <c r="B9" s="5" t="n">
        <v>0</v>
      </c>
      <c r="C9" s="5" t="n">
        <v>39.53</v>
      </c>
      <c r="D9" s="5" t="inlineStr">
        <is>
          <t>BOR</t>
        </is>
      </c>
      <c r="E9" s="5">
        <f>$B$2-C9</f>
        <v/>
      </c>
      <c r="F9" s="5">
        <f>IF(AND(($B$2-C9)&lt;=0,($B$2-C10)&lt;=0),0,IF(AND(($B$2-C9)&gt;=0,($B$2-C10)&gt;=0),0.5*(($B$2-C9)+($B$2-C10))*ABS(B10-B9),IF(($B$2-C9)&gt;0,0.5*($B$2-C9)*ABS((B9+(($B$2-C9)/(($B$2-C9)-($B$2-C10)))*(B10-B9))-B9),0.5*($B$2-C10)*ABS(B10-(B9+(($B$2-C9)/(($B$2-C9)-($B$2-C10)))*(B10-B9))))))</f>
        <v/>
      </c>
      <c r="G9" s="5">
        <f>IF(AND(($B$2-C9)&lt;=0,($B$2-C10)&lt;=0),0,IF(AND(($B$2-C9)&gt;=0,($B$2-C10)&gt;=0),SQRT((B10-B9)^2+(C10-C9)^2),IF(($B$2-C9)&gt;0,SQRT(((B9+(($B$2-C9)/(($B$2-C9)-($B$2-C10)))*(B10-B9))-B9)^2+($B$2-C9)^2),SQRT((B10-(B9+(($B$2-C9)/(($B$2-C9)-($B$2-C10)))*(B10-B9)))^2+($B$2-C10)^2))))</f>
        <v/>
      </c>
      <c r="I9" t="n">
        <v>1</v>
      </c>
      <c r="J9">
        <f>B24+0.0001</f>
        <v/>
      </c>
      <c r="K9">
        <f>MAX(C9:C20)-0.0001</f>
        <v/>
      </c>
      <c r="L9">
        <f>(J9+K9)/2</f>
        <v/>
      </c>
      <c r="M9">
        <f>(IF(AND((L9-C9)&lt;=0,(L9-C10)&lt;=0),0,IF(AND((L9-C9)&gt;=0,(L9-C10)&gt;=0),0.5*((L9-C9)+(L9-C10))*ABS(B10-B9),IF((L9-C9)&gt;0,0.5*(L9-C9)*ABS((B9+((L9-C9)/((L9-C9)-(L9-C10)))*(B10-B9))-B9),0.5*(L9-C10)*ABS(B10-(B9+((L9-C9)/((L9-C9)-(L9-C10)))*(B10-B9)))))))+(IF(AND((L9-C10)&lt;=0,(L9-C11)&lt;=0),0,IF(AND((L9-C10)&gt;=0,(L9-C11)&gt;=0),0.5*((L9-C10)+(L9-C11))*ABS(B11-B10),IF((L9-C10)&gt;0,0.5*(L9-C10)*ABS((B10+((L9-C10)/((L9-C10)-(L9-C11)))*(B11-B10))-B10),0.5*(L9-C11)*ABS(B11-(B10+((L9-C10)/((L9-C10)-(L9-C11)))*(B11-B10)))))))+(IF(AND((L9-C11)&lt;=0,(L9-C12)&lt;=0),0,IF(AND((L9-C11)&gt;=0,(L9-C12)&gt;=0),0.5*((L9-C11)+(L9-C12))*ABS(B12-B11),IF((L9-C11)&gt;0,0.5*(L9-C11)*ABS((B11+((L9-C11)/((L9-C11)-(L9-C12)))*(B12-B11))-B11),0.5*(L9-C12)*ABS(B12-(B11+((L9-C11)/((L9-C11)-(L9-C12)))*(B12-B11)))))))+(IF(AND((L9-C12)&lt;=0,(L9-C13)&lt;=0),0,IF(AND((L9-C12)&gt;=0,(L9-C13)&gt;=0),0.5*((L9-C12)+(L9-C13))*ABS(B13-B12),IF((L9-C12)&gt;0,0.5*(L9-C12)*ABS((B12+((L9-C12)/((L9-C12)-(L9-C13)))*(B13-B12))-B12),0.5*(L9-C13)*ABS(B13-(B12+((L9-C12)/((L9-C12)-(L9-C13)))*(B13-B12)))))))+(IF(AND((L9-C13)&lt;=0,(L9-C14)&lt;=0),0,IF(AND((L9-C13)&gt;=0,(L9-C14)&gt;=0),0.5*((L9-C13)+(L9-C14))*ABS(B14-B13),IF((L9-C13)&gt;0,0.5*(L9-C13)*ABS((B13+((L9-C13)/((L9-C13)-(L9-C14)))*(B14-B13))-B13),0.5*(L9-C14)*ABS(B14-(B13+((L9-C13)/((L9-C13)-(L9-C14)))*(B14-B13)))))))+(IF(AND((L9-C14)&lt;=0,(L9-C15)&lt;=0),0,IF(AND((L9-C14)&gt;=0,(L9-C15)&gt;=0),0.5*((L9-C14)+(L9-C15))*ABS(B15-B14),IF((L9-C14)&gt;0,0.5*(L9-C14)*ABS((B14+((L9-C14)/((L9-C14)-(L9-C15)))*(B15-B14))-B14),0.5*(L9-C15)*ABS(B15-(B14+((L9-C14)/((L9-C14)-(L9-C15)))*(B15-B14)))))))+(IF(AND((L9-C15)&lt;=0,(L9-C16)&lt;=0),0,IF(AND((L9-C15)&gt;=0,(L9-C16)&gt;=0),0.5*((L9-C15)+(L9-C16))*ABS(B16-B15),IF((L9-C15)&gt;0,0.5*(L9-C15)*ABS((B15+((L9-C15)/((L9-C15)-(L9-C16)))*(B16-B15))-B15),0.5*(L9-C16)*ABS(B16-(B15+((L9-C15)/((L9-C15)-(L9-C16)))*(B16-B15)))))))+(IF(AND((L9-C16)&lt;=0,(L9-C17)&lt;=0),0,IF(AND((L9-C16)&gt;=0,(L9-C17)&gt;=0),0.5*((L9-C16)+(L9-C17))*ABS(B17-B16),IF((L9-C16)&gt;0,0.5*(L9-C16)*ABS((B16+((L9-C16)/((L9-C16)-(L9-C17)))*(B17-B16))-B16),0.5*(L9-C17)*ABS(B17-(B16+((L9-C16)/((L9-C16)-(L9-C17)))*(B17-B16)))))))+(IF(AND((L9-C17)&lt;=0,(L9-C18)&lt;=0),0,IF(AND((L9-C17)&gt;=0,(L9-C18)&gt;=0),0.5*((L9-C17)+(L9-C18))*ABS(B18-B17),IF((L9-C17)&gt;0,0.5*(L9-C17)*ABS((B17+((L9-C17)/((L9-C17)-(L9-C18)))*(B18-B17))-B17),0.5*(L9-C18)*ABS(B18-(B17+((L9-C17)/((L9-C17)-(L9-C18)))*(B18-B17)))))))+(IF(AND((L9-C18)&lt;=0,(L9-C19)&lt;=0),0,IF(AND((L9-C18)&gt;=0,(L9-C19)&gt;=0),0.5*((L9-C18)+(L9-C19))*ABS(B19-B18),IF((L9-C18)&gt;0,0.5*(L9-C18)*ABS((B18+((L9-C18)/((L9-C18)-(L9-C19)))*(B19-B18))-B18),0.5*(L9-C19)*ABS(B19-(B18+((L9-C18)/((L9-C18)-(L9-C19)))*(B19-B18)))))))+(IF(AND((L9-C19)&lt;=0,(L9-C20)&lt;=0),0,IF(AND((L9-C19)&gt;=0,(L9-C20)&gt;=0),0.5*((L9-C19)+(L9-C20))*ABS(B20-B19),IF((L9-C19)&gt;0,0.5*(L9-C19)*ABS((B19+((L9-C19)/((L9-C19)-(L9-C20)))*(B20-B19))-B19),0.5*(L9-C20)*ABS(B20-(B19+((L9-C19)/((L9-C19)-(L9-C20)))*(B20-B19)))))))</f>
        <v/>
      </c>
      <c r="N9">
        <f>(IF(AND((L9-C9)&lt;=0,(L9-C10)&lt;=0),0,IF(AND((L9-C9)&gt;=0,(L9-C10)&gt;=0),SQRT((B10-B9)^2+(C10-C9)^2),IF((L9-C9)&gt;0,SQRT(((B9+((L9-C9)/((L9-C9)-(L9-C10)))*(B10-B9))-B9)^2+(L9-C9)^2),SQRT((B10-(B9+((L9-C9)/((L9-C9)-(L9-C10)))*(B10-B9)))^2+(L9-C10)^2)))))+(IF(AND((L9-C10)&lt;=0,(L9-C11)&lt;=0),0,IF(AND((L9-C10)&gt;=0,(L9-C11)&gt;=0),SQRT((B11-B10)^2+(C11-C10)^2),IF((L9-C10)&gt;0,SQRT(((B10+((L9-C10)/((L9-C10)-(L9-C11)))*(B11-B10))-B10)^2+(L9-C10)^2),SQRT((B11-(B10+((L9-C10)/((L9-C10)-(L9-C11)))*(B11-B10)))^2+(L9-C11)^2)))))+(IF(AND((L9-C11)&lt;=0,(L9-C12)&lt;=0),0,IF(AND((L9-C11)&gt;=0,(L9-C12)&gt;=0),SQRT((B12-B11)^2+(C12-C11)^2),IF((L9-C11)&gt;0,SQRT(((B11+((L9-C11)/((L9-C11)-(L9-C12)))*(B12-B11))-B11)^2+(L9-C11)^2),SQRT((B12-(B11+((L9-C11)/((L9-C11)-(L9-C12)))*(B12-B11)))^2+(L9-C12)^2)))))+(IF(AND((L9-C12)&lt;=0,(L9-C13)&lt;=0),0,IF(AND((L9-C12)&gt;=0,(L9-C13)&gt;=0),SQRT((B13-B12)^2+(C13-C12)^2),IF((L9-C12)&gt;0,SQRT(((B12+((L9-C12)/((L9-C12)-(L9-C13)))*(B13-B12))-B12)^2+(L9-C12)^2),SQRT((B13-(B12+((L9-C12)/((L9-C12)-(L9-C13)))*(B13-B12)))^2+(L9-C13)^2)))))+(IF(AND((L9-C13)&lt;=0,(L9-C14)&lt;=0),0,IF(AND((L9-C13)&gt;=0,(L9-C14)&gt;=0),SQRT((B14-B13)^2+(C14-C13)^2),IF((L9-C13)&gt;0,SQRT(((B13+((L9-C13)/((L9-C13)-(L9-C14)))*(B14-B13))-B13)^2+(L9-C13)^2),SQRT((B14-(B13+((L9-C13)/((L9-C13)-(L9-C14)))*(B14-B13)))^2+(L9-C14)^2)))))+(IF(AND((L9-C14)&lt;=0,(L9-C15)&lt;=0),0,IF(AND((L9-C14)&gt;=0,(L9-C15)&gt;=0),SQRT((B15-B14)^2+(C15-C14)^2),IF((L9-C14)&gt;0,SQRT(((B14+((L9-C14)/((L9-C14)-(L9-C15)))*(B15-B14))-B14)^2+(L9-C14)^2),SQRT((B15-(B14+((L9-C14)/((L9-C14)-(L9-C15)))*(B15-B14)))^2+(L9-C15)^2)))))+(IF(AND((L9-C15)&lt;=0,(L9-C16)&lt;=0),0,IF(AND((L9-C15)&gt;=0,(L9-C16)&gt;=0),SQRT((B16-B15)^2+(C16-C15)^2),IF((L9-C15)&gt;0,SQRT(((B15+((L9-C15)/((L9-C15)-(L9-C16)))*(B16-B15))-B15)^2+(L9-C15)^2),SQRT((B16-(B15+((L9-C15)/((L9-C15)-(L9-C16)))*(B16-B15)))^2+(L9-C16)^2)))))+(IF(AND((L9-C16)&lt;=0,(L9-C17)&lt;=0),0,IF(AND((L9-C16)&gt;=0,(L9-C17)&gt;=0),SQRT((B17-B16)^2+(C17-C16)^2),IF((L9-C16)&gt;0,SQRT(((B16+((L9-C16)/((L9-C16)-(L9-C17)))*(B17-B16))-B16)^2+(L9-C16)^2),SQRT((B17-(B16+((L9-C16)/((L9-C16)-(L9-C17)))*(B17-B16)))^2+(L9-C17)^2)))))+(IF(AND((L9-C17)&lt;=0,(L9-C18)&lt;=0),0,IF(AND((L9-C17)&gt;=0,(L9-C18)&gt;=0),SQRT((B18-B17)^2+(C18-C17)^2),IF((L9-C17)&gt;0,SQRT(((B17+((L9-C17)/((L9-C17)-(L9-C18)))*(B18-B17))-B17)^2+(L9-C17)^2),SQRT((B18-(B17+((L9-C17)/((L9-C17)-(L9-C18)))*(B18-B17)))^2+(L9-C18)^2)))))+(IF(AND((L9-C18)&lt;=0,(L9-C19)&lt;=0),0,IF(AND((L9-C18)&gt;=0,(L9-C19)&gt;=0),SQRT((B19-B18)^2+(C19-C18)^2),IF((L9-C18)&gt;0,SQRT(((B18+((L9-C18)/((L9-C18)-(L9-C19)))*(B19-B18))-B18)^2+(L9-C18)^2),SQRT((B19-(B18+((L9-C18)/((L9-C18)-(L9-C19)))*(B19-B18)))^2+(L9-C19)^2)))))+(IF(AND((L9-C19)&lt;=0,(L9-C20)&lt;=0),0,IF(AND((L9-C19)&gt;=0,(L9-C20)&gt;=0),SQRT((B20-B19)^2+(C20-C19)^2),IF((L9-C19)&gt;0,SQRT(((B19+((L9-C19)/((L9-C19)-(L9-C20)))*(B20-B19))-B19)^2+(L9-C19)^2),SQRT((B20-(B19+((L9-C19)/((L9-C19)-(L9-C20)))*(B20-B19)))^2+(L9-C20)^2)))))</f>
        <v/>
      </c>
      <c r="O9">
        <f>IF(OR($B$6&lt;=0,M9&lt;=0,N9&lt;=0,$B$4&lt;=0),0,(1/$B$6)*M9*((M9/N9)^(2/3))*SQRT($B$4))</f>
        <v/>
      </c>
    </row>
    <row r="10">
      <c r="A10" s="5" t="n">
        <v>2</v>
      </c>
      <c r="B10" s="5" t="n">
        <v>6.395</v>
      </c>
      <c r="C10" s="5" t="n">
        <v>38.9</v>
      </c>
      <c r="D10" s="5" t="inlineStr">
        <is>
          <t>TN</t>
        </is>
      </c>
      <c r="E10" s="5">
        <f>$B$2-C10</f>
        <v/>
      </c>
      <c r="F10" s="5">
        <f>IF(AND(($B$2-C10)&lt;=0,($B$2-C11)&lt;=0),0,IF(AND(($B$2-C10)&gt;=0,($B$2-C11)&gt;=0),0.5*(($B$2-C10)+($B$2-C11))*ABS(B11-B10),IF(($B$2-C10)&gt;0,0.5*($B$2-C10)*ABS((B10+(($B$2-C10)/(($B$2-C10)-($B$2-C11)))*(B11-B10))-B10),0.5*($B$2-C11)*ABS(B11-(B10+(($B$2-C10)/(($B$2-C10)-($B$2-C11)))*(B11-B10))))))</f>
        <v/>
      </c>
      <c r="G10" s="5">
        <f>IF(AND(($B$2-C10)&lt;=0,($B$2-C11)&lt;=0),0,IF(AND(($B$2-C10)&gt;=0,($B$2-C11)&gt;=0),SQRT((B11-B10)^2+(C11-C10)^2),IF(($B$2-C10)&gt;0,SQRT(((B10+(($B$2-C10)/(($B$2-C10)-($B$2-C11)))*(B11-B10))-B10)^2+($B$2-C10)^2),SQRT((B11-(B10+(($B$2-C10)/(($B$2-C10)-($B$2-C11)))*(B11-B10)))^2+($B$2-C11)^2))))</f>
        <v/>
      </c>
      <c r="I10" t="n">
        <v>2</v>
      </c>
      <c r="J10">
        <f>IF(O9&lt;$B$5,L9,J9)</f>
        <v/>
      </c>
      <c r="K10">
        <f>IF(O9&lt;$B$5,K9,L9)</f>
        <v/>
      </c>
      <c r="L10">
        <f>(J10+K10)/2</f>
        <v/>
      </c>
      <c r="M10">
        <f>(IF(AND((L10-C9)&lt;=0,(L10-C10)&lt;=0),0,IF(AND((L10-C9)&gt;=0,(L10-C10)&gt;=0),0.5*((L10-C9)+(L10-C10))*ABS(B10-B9),IF((L10-C9)&gt;0,0.5*(L10-C9)*ABS((B9+((L10-C9)/((L10-C9)-(L10-C10)))*(B10-B9))-B9),0.5*(L10-C10)*ABS(B10-(B9+((L10-C9)/((L10-C9)-(L10-C10)))*(B10-B9)))))))+(IF(AND((L10-C10)&lt;=0,(L10-C11)&lt;=0),0,IF(AND((L10-C10)&gt;=0,(L10-C11)&gt;=0),0.5*((L10-C10)+(L10-C11))*ABS(B11-B10),IF((L10-C10)&gt;0,0.5*(L10-C10)*ABS((B10+((L10-C10)/((L10-C10)-(L10-C11)))*(B11-B10))-B10),0.5*(L10-C11)*ABS(B11-(B10+((L10-C10)/((L10-C10)-(L10-C11)))*(B11-B10)))))))+(IF(AND((L10-C11)&lt;=0,(L10-C12)&lt;=0),0,IF(AND((L10-C11)&gt;=0,(L10-C12)&gt;=0),0.5*((L10-C11)+(L10-C12))*ABS(B12-B11),IF((L10-C11)&gt;0,0.5*(L10-C11)*ABS((B11+((L10-C11)/((L10-C11)-(L10-C12)))*(B12-B11))-B11),0.5*(L10-C12)*ABS(B12-(B11+((L10-C11)/((L10-C11)-(L10-C12)))*(B12-B11)))))))+(IF(AND((L10-C12)&lt;=0,(L10-C13)&lt;=0),0,IF(AND((L10-C12)&gt;=0,(L10-C13)&gt;=0),0.5*((L10-C12)+(L10-C13))*ABS(B13-B12),IF((L10-C12)&gt;0,0.5*(L10-C12)*ABS((B12+((L10-C12)/((L10-C12)-(L10-C13)))*(B13-B12))-B12),0.5*(L10-C13)*ABS(B13-(B12+((L10-C12)/((L10-C12)-(L10-C13)))*(B13-B12)))))))+(IF(AND((L10-C13)&lt;=0,(L10-C14)&lt;=0),0,IF(AND((L10-C13)&gt;=0,(L10-C14)&gt;=0),0.5*((L10-C13)+(L10-C14))*ABS(B14-B13),IF((L10-C13)&gt;0,0.5*(L10-C13)*ABS((B13+((L10-C13)/((L10-C13)-(L10-C14)))*(B14-B13))-B13),0.5*(L10-C14)*ABS(B14-(B13+((L10-C13)/((L10-C13)-(L10-C14)))*(B14-B13)))))))+(IF(AND((L10-C14)&lt;=0,(L10-C15)&lt;=0),0,IF(AND((L10-C14)&gt;=0,(L10-C15)&gt;=0),0.5*((L10-C14)+(L10-C15))*ABS(B15-B14),IF((L10-C14)&gt;0,0.5*(L10-C14)*ABS((B14+((L10-C14)/((L10-C14)-(L10-C15)))*(B15-B14))-B14),0.5*(L10-C15)*ABS(B15-(B14+((L10-C14)/((L10-C14)-(L10-C15)))*(B15-B14)))))))+(IF(AND((L10-C15)&lt;=0,(L10-C16)&lt;=0),0,IF(AND((L10-C15)&gt;=0,(L10-C16)&gt;=0),0.5*((L10-C15)+(L10-C16))*ABS(B16-B15),IF((L10-C15)&gt;0,0.5*(L10-C15)*ABS((B15+((L10-C15)/((L10-C15)-(L10-C16)))*(B16-B15))-B15),0.5*(L10-C16)*ABS(B16-(B15+((L10-C15)/((L10-C15)-(L10-C16)))*(B16-B15)))))))+(IF(AND((L10-C16)&lt;=0,(L10-C17)&lt;=0),0,IF(AND((L10-C16)&gt;=0,(L10-C17)&gt;=0),0.5*((L10-C16)+(L10-C17))*ABS(B17-B16),IF((L10-C16)&gt;0,0.5*(L10-C16)*ABS((B16+((L10-C16)/((L10-C16)-(L10-C17)))*(B17-B16))-B16),0.5*(L10-C17)*ABS(B17-(B16+((L10-C16)/((L10-C16)-(L10-C17)))*(B17-B16)))))))+(IF(AND((L10-C17)&lt;=0,(L10-C18)&lt;=0),0,IF(AND((L10-C17)&gt;=0,(L10-C18)&gt;=0),0.5*((L10-C17)+(L10-C18))*ABS(B18-B17),IF((L10-C17)&gt;0,0.5*(L10-C17)*ABS((B17+((L10-C17)/((L10-C17)-(L10-C18)))*(B18-B17))-B17),0.5*(L10-C18)*ABS(B18-(B17+((L10-C17)/((L10-C17)-(L10-C18)))*(B18-B17)))))))+(IF(AND((L10-C18)&lt;=0,(L10-C19)&lt;=0),0,IF(AND((L10-C18)&gt;=0,(L10-C19)&gt;=0),0.5*((L10-C18)+(L10-C19))*ABS(B19-B18),IF((L10-C18)&gt;0,0.5*(L10-C18)*ABS((B18+((L10-C18)/((L10-C18)-(L10-C19)))*(B19-B18))-B18),0.5*(L10-C19)*ABS(B19-(B18+((L10-C18)/((L10-C18)-(L10-C19)))*(B19-B18)))))))+(IF(AND((L10-C19)&lt;=0,(L10-C20)&lt;=0),0,IF(AND((L10-C19)&gt;=0,(L10-C20)&gt;=0),0.5*((L10-C19)+(L10-C20))*ABS(B20-B19),IF((L10-C19)&gt;0,0.5*(L10-C19)*ABS((B19+((L10-C19)/((L10-C19)-(L10-C20)))*(B20-B19))-B19),0.5*(L10-C20)*ABS(B20-(B19+((L10-C19)/((L10-C19)-(L10-C20)))*(B20-B19)))))))</f>
        <v/>
      </c>
      <c r="N10">
        <f>(IF(AND((L10-C9)&lt;=0,(L10-C10)&lt;=0),0,IF(AND((L10-C9)&gt;=0,(L10-C10)&gt;=0),SQRT((B10-B9)^2+(C10-C9)^2),IF((L10-C9)&gt;0,SQRT(((B9+((L10-C9)/((L10-C9)-(L10-C10)))*(B10-B9))-B9)^2+(L10-C9)^2),SQRT((B10-(B9+((L10-C9)/((L10-C9)-(L10-C10)))*(B10-B9)))^2+(L10-C10)^2)))))+(IF(AND((L10-C10)&lt;=0,(L10-C11)&lt;=0),0,IF(AND((L10-C10)&gt;=0,(L10-C11)&gt;=0),SQRT((B11-B10)^2+(C11-C10)^2),IF((L10-C10)&gt;0,SQRT(((B10+((L10-C10)/((L10-C10)-(L10-C11)))*(B11-B10))-B10)^2+(L10-C10)^2),SQRT((B11-(B10+((L10-C10)/((L10-C10)-(L10-C11)))*(B11-B10)))^2+(L10-C11)^2)))))+(IF(AND((L10-C11)&lt;=0,(L10-C12)&lt;=0),0,IF(AND((L10-C11)&gt;=0,(L10-C12)&gt;=0),SQRT((B12-B11)^2+(C12-C11)^2),IF((L10-C11)&gt;0,SQRT(((B11+((L10-C11)/((L10-C11)-(L10-C12)))*(B12-B11))-B11)^2+(L10-C11)^2),SQRT((B12-(B11+((L10-C11)/((L10-C11)-(L10-C12)))*(B12-B11)))^2+(L10-C12)^2)))))+(IF(AND((L10-C12)&lt;=0,(L10-C13)&lt;=0),0,IF(AND((L10-C12)&gt;=0,(L10-C13)&gt;=0),SQRT((B13-B12)^2+(C13-C12)^2),IF((L10-C12)&gt;0,SQRT(((B12+((L10-C12)/((L10-C12)-(L10-C13)))*(B13-B12))-B12)^2+(L10-C12)^2),SQRT((B13-(B12+((L10-C12)/((L10-C12)-(L10-C13)))*(B13-B12)))^2+(L10-C13)^2)))))+(IF(AND((L10-C13)&lt;=0,(L10-C14)&lt;=0),0,IF(AND((L10-C13)&gt;=0,(L10-C14)&gt;=0),SQRT((B14-B13)^2+(C14-C13)^2),IF((L10-C13)&gt;0,SQRT(((B13+((L10-C13)/((L10-C13)-(L10-C14)))*(B14-B13))-B13)^2+(L10-C13)^2),SQRT((B14-(B13+((L10-C13)/((L10-C13)-(L10-C14)))*(B14-B13)))^2+(L10-C14)^2)))))+(IF(AND((L10-C14)&lt;=0,(L10-C15)&lt;=0),0,IF(AND((L10-C14)&gt;=0,(L10-C15)&gt;=0),SQRT((B15-B14)^2+(C15-C14)^2),IF((L10-C14)&gt;0,SQRT(((B14+((L10-C14)/((L10-C14)-(L10-C15)))*(B15-B14))-B14)^2+(L10-C14)^2),SQRT((B15-(B14+((L10-C14)/((L10-C14)-(L10-C15)))*(B15-B14)))^2+(L10-C15)^2)))))+(IF(AND((L10-C15)&lt;=0,(L10-C16)&lt;=0),0,IF(AND((L10-C15)&gt;=0,(L10-C16)&gt;=0),SQRT((B16-B15)^2+(C16-C15)^2),IF((L10-C15)&gt;0,SQRT(((B15+((L10-C15)/((L10-C15)-(L10-C16)))*(B16-B15))-B15)^2+(L10-C15)^2),SQRT((B16-(B15+((L10-C15)/((L10-C15)-(L10-C16)))*(B16-B15)))^2+(L10-C16)^2)))))+(IF(AND((L10-C16)&lt;=0,(L10-C17)&lt;=0),0,IF(AND((L10-C16)&gt;=0,(L10-C17)&gt;=0),SQRT((B17-B16)^2+(C17-C16)^2),IF((L10-C16)&gt;0,SQRT(((B16+((L10-C16)/((L10-C16)-(L10-C17)))*(B17-B16))-B16)^2+(L10-C16)^2),SQRT((B17-(B16+((L10-C16)/((L10-C16)-(L10-C17)))*(B17-B16)))^2+(L10-C17)^2)))))+(IF(AND((L10-C17)&lt;=0,(L10-C18)&lt;=0),0,IF(AND((L10-C17)&gt;=0,(L10-C18)&gt;=0),SQRT((B18-B17)^2+(C18-C17)^2),IF((L10-C17)&gt;0,SQRT(((B17+((L10-C17)/((L10-C17)-(L10-C18)))*(B18-B17))-B17)^2+(L10-C17)^2),SQRT((B18-(B17+((L10-C17)/((L10-C17)-(L10-C18)))*(B18-B17)))^2+(L10-C18)^2)))))+(IF(AND((L10-C18)&lt;=0,(L10-C19)&lt;=0),0,IF(AND((L10-C18)&gt;=0,(L10-C19)&gt;=0),SQRT((B19-B18)^2+(C19-C18)^2),IF((L10-C18)&gt;0,SQRT(((B18+((L10-C18)/((L10-C18)-(L10-C19)))*(B19-B18))-B18)^2+(L10-C18)^2),SQRT((B19-(B18+((L10-C18)/((L10-C18)-(L10-C19)))*(B19-B18)))^2+(L10-C19)^2)))))+(IF(AND((L10-C19)&lt;=0,(L10-C20)&lt;=0),0,IF(AND((L10-C19)&gt;=0,(L10-C20)&gt;=0),SQRT((B20-B19)^2+(C20-C19)^2),IF((L10-C19)&gt;0,SQRT(((B19+((L10-C19)/((L10-C19)-(L10-C20)))*(B20-B19))-B19)^2+(L10-C19)^2),SQRT((B20-(B19+((L10-C19)/((L10-C19)-(L10-C20)))*(B20-B19)))^2+(L10-C20)^2)))))</f>
        <v/>
      </c>
      <c r="O10">
        <f>IF(OR($B$6&lt;=0,M10&lt;=0,N10&lt;=0,$B$4&lt;=0),0,(1/$B$6)*M10*((M10/N10)^(2/3))*SQRT($B$4))</f>
        <v/>
      </c>
    </row>
    <row r="11">
      <c r="A11" s="5" t="n">
        <v>3</v>
      </c>
      <c r="B11" s="5" t="n">
        <v>8.019</v>
      </c>
      <c r="C11" s="5" t="n">
        <v>38.22</v>
      </c>
      <c r="D11" s="5" t="inlineStr">
        <is>
          <t>TN</t>
        </is>
      </c>
      <c r="E11" s="5">
        <f>$B$2-C11</f>
        <v/>
      </c>
      <c r="F11" s="5">
        <f>IF(AND(($B$2-C11)&lt;=0,($B$2-C12)&lt;=0),0,IF(AND(($B$2-C11)&gt;=0,($B$2-C12)&gt;=0),0.5*(($B$2-C11)+($B$2-C12))*ABS(B12-B11),IF(($B$2-C11)&gt;0,0.5*($B$2-C11)*ABS((B11+(($B$2-C11)/(($B$2-C11)-($B$2-C12)))*(B12-B11))-B11),0.5*($B$2-C12)*ABS(B12-(B11+(($B$2-C11)/(($B$2-C11)-($B$2-C12)))*(B12-B11))))))</f>
        <v/>
      </c>
      <c r="G11" s="5">
        <f>IF(AND(($B$2-C11)&lt;=0,($B$2-C12)&lt;=0),0,IF(AND(($B$2-C11)&gt;=0,($B$2-C12)&gt;=0),SQRT((B12-B11)^2+(C12-C11)^2),IF(($B$2-C11)&gt;0,SQRT(((B11+(($B$2-C11)/(($B$2-C11)-($B$2-C12)))*(B12-B11))-B11)^2+($B$2-C11)^2),SQRT((B12-(B11+(($B$2-C11)/(($B$2-C11)-($B$2-C12)))*(B12-B11)))^2+($B$2-C12)^2))))</f>
        <v/>
      </c>
      <c r="I11" t="n">
        <v>3</v>
      </c>
      <c r="J11">
        <f>IF(O10&lt;$B$5,L10,J10)</f>
        <v/>
      </c>
      <c r="K11">
        <f>IF(O10&lt;$B$5,K10,L10)</f>
        <v/>
      </c>
      <c r="L11">
        <f>(J11+K11)/2</f>
        <v/>
      </c>
      <c r="M11">
        <f>(IF(AND((L11-C9)&lt;=0,(L11-C10)&lt;=0),0,IF(AND((L11-C9)&gt;=0,(L11-C10)&gt;=0),0.5*((L11-C9)+(L11-C10))*ABS(B10-B9),IF((L11-C9)&gt;0,0.5*(L11-C9)*ABS((B9+((L11-C9)/((L11-C9)-(L11-C10)))*(B10-B9))-B9),0.5*(L11-C10)*ABS(B10-(B9+((L11-C9)/((L11-C9)-(L11-C10)))*(B10-B9)))))))+(IF(AND((L11-C10)&lt;=0,(L11-C11)&lt;=0),0,IF(AND((L11-C10)&gt;=0,(L11-C11)&gt;=0),0.5*((L11-C10)+(L11-C11))*ABS(B11-B10),IF((L11-C10)&gt;0,0.5*(L11-C10)*ABS((B10+((L11-C10)/((L11-C10)-(L11-C11)))*(B11-B10))-B10),0.5*(L11-C11)*ABS(B11-(B10+((L11-C10)/((L11-C10)-(L11-C11)))*(B11-B10)))))))+(IF(AND((L11-C11)&lt;=0,(L11-C12)&lt;=0),0,IF(AND((L11-C11)&gt;=0,(L11-C12)&gt;=0),0.5*((L11-C11)+(L11-C12))*ABS(B12-B11),IF((L11-C11)&gt;0,0.5*(L11-C11)*ABS((B11+((L11-C11)/((L11-C11)-(L11-C12)))*(B12-B11))-B11),0.5*(L11-C12)*ABS(B12-(B11+((L11-C11)/((L11-C11)-(L11-C12)))*(B12-B11)))))))+(IF(AND((L11-C12)&lt;=0,(L11-C13)&lt;=0),0,IF(AND((L11-C12)&gt;=0,(L11-C13)&gt;=0),0.5*((L11-C12)+(L11-C13))*ABS(B13-B12),IF((L11-C12)&gt;0,0.5*(L11-C12)*ABS((B12+((L11-C12)/((L11-C12)-(L11-C13)))*(B13-B12))-B12),0.5*(L11-C13)*ABS(B13-(B12+((L11-C12)/((L11-C12)-(L11-C13)))*(B13-B12)))))))+(IF(AND((L11-C13)&lt;=0,(L11-C14)&lt;=0),0,IF(AND((L11-C13)&gt;=0,(L11-C14)&gt;=0),0.5*((L11-C13)+(L11-C14))*ABS(B14-B13),IF((L11-C13)&gt;0,0.5*(L11-C13)*ABS((B13+((L11-C13)/((L11-C13)-(L11-C14)))*(B14-B13))-B13),0.5*(L11-C14)*ABS(B14-(B13+((L11-C13)/((L11-C13)-(L11-C14)))*(B14-B13)))))))+(IF(AND((L11-C14)&lt;=0,(L11-C15)&lt;=0),0,IF(AND((L11-C14)&gt;=0,(L11-C15)&gt;=0),0.5*((L11-C14)+(L11-C15))*ABS(B15-B14),IF((L11-C14)&gt;0,0.5*(L11-C14)*ABS((B14+((L11-C14)/((L11-C14)-(L11-C15)))*(B15-B14))-B14),0.5*(L11-C15)*ABS(B15-(B14+((L11-C14)/((L11-C14)-(L11-C15)))*(B15-B14)))))))+(IF(AND((L11-C15)&lt;=0,(L11-C16)&lt;=0),0,IF(AND((L11-C15)&gt;=0,(L11-C16)&gt;=0),0.5*((L11-C15)+(L11-C16))*ABS(B16-B15),IF((L11-C15)&gt;0,0.5*(L11-C15)*ABS((B15+((L11-C15)/((L11-C15)-(L11-C16)))*(B16-B15))-B15),0.5*(L11-C16)*ABS(B16-(B15+((L11-C15)/((L11-C15)-(L11-C16)))*(B16-B15)))))))+(IF(AND((L11-C16)&lt;=0,(L11-C17)&lt;=0),0,IF(AND((L11-C16)&gt;=0,(L11-C17)&gt;=0),0.5*((L11-C16)+(L11-C17))*ABS(B17-B16),IF((L11-C16)&gt;0,0.5*(L11-C16)*ABS((B16+((L11-C16)/((L11-C16)-(L11-C17)))*(B17-B16))-B16),0.5*(L11-C17)*ABS(B17-(B16+((L11-C16)/((L11-C16)-(L11-C17)))*(B17-B16)))))))+(IF(AND((L11-C17)&lt;=0,(L11-C18)&lt;=0),0,IF(AND((L11-C17)&gt;=0,(L11-C18)&gt;=0),0.5*((L11-C17)+(L11-C18))*ABS(B18-B17),IF((L11-C17)&gt;0,0.5*(L11-C17)*ABS((B17+((L11-C17)/((L11-C17)-(L11-C18)))*(B18-B17))-B17),0.5*(L11-C18)*ABS(B18-(B17+((L11-C17)/((L11-C17)-(L11-C18)))*(B18-B17)))))))+(IF(AND((L11-C18)&lt;=0,(L11-C19)&lt;=0),0,IF(AND((L11-C18)&gt;=0,(L11-C19)&gt;=0),0.5*((L11-C18)+(L11-C19))*ABS(B19-B18),IF((L11-C18)&gt;0,0.5*(L11-C18)*ABS((B18+((L11-C18)/((L11-C18)-(L11-C19)))*(B19-B18))-B18),0.5*(L11-C19)*ABS(B19-(B18+((L11-C18)/((L11-C18)-(L11-C19)))*(B19-B18)))))))+(IF(AND((L11-C19)&lt;=0,(L11-C20)&lt;=0),0,IF(AND((L11-C19)&gt;=0,(L11-C20)&gt;=0),0.5*((L11-C19)+(L11-C20))*ABS(B20-B19),IF((L11-C19)&gt;0,0.5*(L11-C19)*ABS((B19+((L11-C19)/((L11-C19)-(L11-C20)))*(B20-B19))-B19),0.5*(L11-C20)*ABS(B20-(B19+((L11-C19)/((L11-C19)-(L11-C20)))*(B20-B19)))))))</f>
        <v/>
      </c>
      <c r="N11">
        <f>(IF(AND((L11-C9)&lt;=0,(L11-C10)&lt;=0),0,IF(AND((L11-C9)&gt;=0,(L11-C10)&gt;=0),SQRT((B10-B9)^2+(C10-C9)^2),IF((L11-C9)&gt;0,SQRT(((B9+((L11-C9)/((L11-C9)-(L11-C10)))*(B10-B9))-B9)^2+(L11-C9)^2),SQRT((B10-(B9+((L11-C9)/((L11-C9)-(L11-C10)))*(B10-B9)))^2+(L11-C10)^2)))))+(IF(AND((L11-C10)&lt;=0,(L11-C11)&lt;=0),0,IF(AND((L11-C10)&gt;=0,(L11-C11)&gt;=0),SQRT((B11-B10)^2+(C11-C10)^2),IF((L11-C10)&gt;0,SQRT(((B10+((L11-C10)/((L11-C10)-(L11-C11)))*(B11-B10))-B10)^2+(L11-C10)^2),SQRT((B11-(B10+((L11-C10)/((L11-C10)-(L11-C11)))*(B11-B10)))^2+(L11-C11)^2)))))+(IF(AND((L11-C11)&lt;=0,(L11-C12)&lt;=0),0,IF(AND((L11-C11)&gt;=0,(L11-C12)&gt;=0),SQRT((B12-B11)^2+(C12-C11)^2),IF((L11-C11)&gt;0,SQRT(((B11+((L11-C11)/((L11-C11)-(L11-C12)))*(B12-B11))-B11)^2+(L11-C11)^2),SQRT((B12-(B11+((L11-C11)/((L11-C11)-(L11-C12)))*(B12-B11)))^2+(L11-C12)^2)))))+(IF(AND((L11-C12)&lt;=0,(L11-C13)&lt;=0),0,IF(AND((L11-C12)&gt;=0,(L11-C13)&gt;=0),SQRT((B13-B12)^2+(C13-C12)^2),IF((L11-C12)&gt;0,SQRT(((B12+((L11-C12)/((L11-C12)-(L11-C13)))*(B13-B12))-B12)^2+(L11-C12)^2),SQRT((B13-(B12+((L11-C12)/((L11-C12)-(L11-C13)))*(B13-B12)))^2+(L11-C13)^2)))))+(IF(AND((L11-C13)&lt;=0,(L11-C14)&lt;=0),0,IF(AND((L11-C13)&gt;=0,(L11-C14)&gt;=0),SQRT((B14-B13)^2+(C14-C13)^2),IF((L11-C13)&gt;0,SQRT(((B13+((L11-C13)/((L11-C13)-(L11-C14)))*(B14-B13))-B13)^2+(L11-C13)^2),SQRT((B14-(B13+((L11-C13)/((L11-C13)-(L11-C14)))*(B14-B13)))^2+(L11-C14)^2)))))+(IF(AND((L11-C14)&lt;=0,(L11-C15)&lt;=0),0,IF(AND((L11-C14)&gt;=0,(L11-C15)&gt;=0),SQRT((B15-B14)^2+(C15-C14)^2),IF((L11-C14)&gt;0,SQRT(((B14+((L11-C14)/((L11-C14)-(L11-C15)))*(B15-B14))-B14)^2+(L11-C14)^2),SQRT((B15-(B14+((L11-C14)/((L11-C14)-(L11-C15)))*(B15-B14)))^2+(L11-C15)^2)))))+(IF(AND((L11-C15)&lt;=0,(L11-C16)&lt;=0),0,IF(AND((L11-C15)&gt;=0,(L11-C16)&gt;=0),SQRT((B16-B15)^2+(C16-C15)^2),IF((L11-C15)&gt;0,SQRT(((B15+((L11-C15)/((L11-C15)-(L11-C16)))*(B16-B15))-B15)^2+(L11-C15)^2),SQRT((B16-(B15+((L11-C15)/((L11-C15)-(L11-C16)))*(B16-B15)))^2+(L11-C16)^2)))))+(IF(AND((L11-C16)&lt;=0,(L11-C17)&lt;=0),0,IF(AND((L11-C16)&gt;=0,(L11-C17)&gt;=0),SQRT((B17-B16)^2+(C17-C16)^2),IF((L11-C16)&gt;0,SQRT(((B16+((L11-C16)/((L11-C16)-(L11-C17)))*(B17-B16))-B16)^2+(L11-C16)^2),SQRT((B17-(B16+((L11-C16)/((L11-C16)-(L11-C17)))*(B17-B16)))^2+(L11-C17)^2)))))+(IF(AND((L11-C17)&lt;=0,(L11-C18)&lt;=0),0,IF(AND((L11-C17)&gt;=0,(L11-C18)&gt;=0),SQRT((B18-B17)^2+(C18-C17)^2),IF((L11-C17)&gt;0,SQRT(((B17+((L11-C17)/((L11-C17)-(L11-C18)))*(B18-B17))-B17)^2+(L11-C17)^2),SQRT((B18-(B17+((L11-C17)/((L11-C17)-(L11-C18)))*(B18-B17)))^2+(L11-C18)^2)))))+(IF(AND((L11-C18)&lt;=0,(L11-C19)&lt;=0),0,IF(AND((L11-C18)&gt;=0,(L11-C19)&gt;=0),SQRT((B19-B18)^2+(C19-C18)^2),IF((L11-C18)&gt;0,SQRT(((B18+((L11-C18)/((L11-C18)-(L11-C19)))*(B19-B18))-B18)^2+(L11-C18)^2),SQRT((B19-(B18+((L11-C18)/((L11-C18)-(L11-C19)))*(B19-B18)))^2+(L11-C19)^2)))))+(IF(AND((L11-C19)&lt;=0,(L11-C20)&lt;=0),0,IF(AND((L11-C19)&gt;=0,(L11-C20)&gt;=0),SQRT((B20-B19)^2+(C20-C19)^2),IF((L11-C19)&gt;0,SQRT(((B19+((L11-C19)/((L11-C19)-(L11-C20)))*(B20-B19))-B19)^2+(L11-C19)^2),SQRT((B20-(B19+((L11-C19)/((L11-C19)-(L11-C20)))*(B20-B19)))^2+(L11-C20)^2)))))</f>
        <v/>
      </c>
      <c r="O11">
        <f>IF(OR($B$6&lt;=0,M11&lt;=0,N11&lt;=0,$B$4&lt;=0),0,(1/$B$6)*M11*((M11/N11)^(2/3))*SQRT($B$4))</f>
        <v/>
      </c>
    </row>
    <row r="12">
      <c r="A12" s="5" t="n">
        <v>4</v>
      </c>
      <c r="B12" s="5" t="n">
        <v>12.369</v>
      </c>
      <c r="C12" s="5" t="n">
        <v>35.8</v>
      </c>
      <c r="D12" s="5" t="inlineStr">
        <is>
          <t>TN</t>
        </is>
      </c>
      <c r="E12" s="5">
        <f>$B$2-C12</f>
        <v/>
      </c>
      <c r="F12" s="5">
        <f>IF(AND(($B$2-C12)&lt;=0,($B$2-C13)&lt;=0),0,IF(AND(($B$2-C12)&gt;=0,($B$2-C13)&gt;=0),0.5*(($B$2-C12)+($B$2-C13))*ABS(B13-B12),IF(($B$2-C12)&gt;0,0.5*($B$2-C12)*ABS((B12+(($B$2-C12)/(($B$2-C12)-($B$2-C13)))*(B13-B12))-B12),0.5*($B$2-C13)*ABS(B13-(B12+(($B$2-C12)/(($B$2-C12)-($B$2-C13)))*(B13-B12))))))</f>
        <v/>
      </c>
      <c r="G12" s="5">
        <f>IF(AND(($B$2-C12)&lt;=0,($B$2-C13)&lt;=0),0,IF(AND(($B$2-C12)&gt;=0,($B$2-C13)&gt;=0),SQRT((B13-B12)^2+(C13-C12)^2),IF(($B$2-C12)&gt;0,SQRT(((B12+(($B$2-C12)/(($B$2-C12)-($B$2-C13)))*(B13-B12))-B12)^2+($B$2-C12)^2),SQRT((B13-(B12+(($B$2-C12)/(($B$2-C12)-($B$2-C13)))*(B13-B12)))^2+($B$2-C13)^2))))</f>
        <v/>
      </c>
      <c r="I12" t="n">
        <v>4</v>
      </c>
      <c r="J12">
        <f>IF(O11&lt;$B$5,L11,J11)</f>
        <v/>
      </c>
      <c r="K12">
        <f>IF(O11&lt;$B$5,K11,L11)</f>
        <v/>
      </c>
      <c r="L12">
        <f>(J12+K12)/2</f>
        <v/>
      </c>
      <c r="M12">
        <f>(IF(AND((L12-C9)&lt;=0,(L12-C10)&lt;=0),0,IF(AND((L12-C9)&gt;=0,(L12-C10)&gt;=0),0.5*((L12-C9)+(L12-C10))*ABS(B10-B9),IF((L12-C9)&gt;0,0.5*(L12-C9)*ABS((B9+((L12-C9)/((L12-C9)-(L12-C10)))*(B10-B9))-B9),0.5*(L12-C10)*ABS(B10-(B9+((L12-C9)/((L12-C9)-(L12-C10)))*(B10-B9)))))))+(IF(AND((L12-C10)&lt;=0,(L12-C11)&lt;=0),0,IF(AND((L12-C10)&gt;=0,(L12-C11)&gt;=0),0.5*((L12-C10)+(L12-C11))*ABS(B11-B10),IF((L12-C10)&gt;0,0.5*(L12-C10)*ABS((B10+((L12-C10)/((L12-C10)-(L12-C11)))*(B11-B10))-B10),0.5*(L12-C11)*ABS(B11-(B10+((L12-C10)/((L12-C10)-(L12-C11)))*(B11-B10)))))))+(IF(AND((L12-C11)&lt;=0,(L12-C12)&lt;=0),0,IF(AND((L12-C11)&gt;=0,(L12-C12)&gt;=0),0.5*((L12-C11)+(L12-C12))*ABS(B12-B11),IF((L12-C11)&gt;0,0.5*(L12-C11)*ABS((B11+((L12-C11)/((L12-C11)-(L12-C12)))*(B12-B11))-B11),0.5*(L12-C12)*ABS(B12-(B11+((L12-C11)/((L12-C11)-(L12-C12)))*(B12-B11)))))))+(IF(AND((L12-C12)&lt;=0,(L12-C13)&lt;=0),0,IF(AND((L12-C12)&gt;=0,(L12-C13)&gt;=0),0.5*((L12-C12)+(L12-C13))*ABS(B13-B12),IF((L12-C12)&gt;0,0.5*(L12-C12)*ABS((B12+((L12-C12)/((L12-C12)-(L12-C13)))*(B13-B12))-B12),0.5*(L12-C13)*ABS(B13-(B12+((L12-C12)/((L12-C12)-(L12-C13)))*(B13-B12)))))))+(IF(AND((L12-C13)&lt;=0,(L12-C14)&lt;=0),0,IF(AND((L12-C13)&gt;=0,(L12-C14)&gt;=0),0.5*((L12-C13)+(L12-C14))*ABS(B14-B13),IF((L12-C13)&gt;0,0.5*(L12-C13)*ABS((B13+((L12-C13)/((L12-C13)-(L12-C14)))*(B14-B13))-B13),0.5*(L12-C14)*ABS(B14-(B13+((L12-C13)/((L12-C13)-(L12-C14)))*(B14-B13)))))))+(IF(AND((L12-C14)&lt;=0,(L12-C15)&lt;=0),0,IF(AND((L12-C14)&gt;=0,(L12-C15)&gt;=0),0.5*((L12-C14)+(L12-C15))*ABS(B15-B14),IF((L12-C14)&gt;0,0.5*(L12-C14)*ABS((B14+((L12-C14)/((L12-C14)-(L12-C15)))*(B15-B14))-B14),0.5*(L12-C15)*ABS(B15-(B14+((L12-C14)/((L12-C14)-(L12-C15)))*(B15-B14)))))))+(IF(AND((L12-C15)&lt;=0,(L12-C16)&lt;=0),0,IF(AND((L12-C15)&gt;=0,(L12-C16)&gt;=0),0.5*((L12-C15)+(L12-C16))*ABS(B16-B15),IF((L12-C15)&gt;0,0.5*(L12-C15)*ABS((B15+((L12-C15)/((L12-C15)-(L12-C16)))*(B16-B15))-B15),0.5*(L12-C16)*ABS(B16-(B15+((L12-C15)/((L12-C15)-(L12-C16)))*(B16-B15)))))))+(IF(AND((L12-C16)&lt;=0,(L12-C17)&lt;=0),0,IF(AND((L12-C16)&gt;=0,(L12-C17)&gt;=0),0.5*((L12-C16)+(L12-C17))*ABS(B17-B16),IF((L12-C16)&gt;0,0.5*(L12-C16)*ABS((B16+((L12-C16)/((L12-C16)-(L12-C17)))*(B17-B16))-B16),0.5*(L12-C17)*ABS(B17-(B16+((L12-C16)/((L12-C16)-(L12-C17)))*(B17-B16)))))))+(IF(AND((L12-C17)&lt;=0,(L12-C18)&lt;=0),0,IF(AND((L12-C17)&gt;=0,(L12-C18)&gt;=0),0.5*((L12-C17)+(L12-C18))*ABS(B18-B17),IF((L12-C17)&gt;0,0.5*(L12-C17)*ABS((B17+((L12-C17)/((L12-C17)-(L12-C18)))*(B18-B17))-B17),0.5*(L12-C18)*ABS(B18-(B17+((L12-C17)/((L12-C17)-(L12-C18)))*(B18-B17)))))))+(IF(AND((L12-C18)&lt;=0,(L12-C19)&lt;=0),0,IF(AND((L12-C18)&gt;=0,(L12-C19)&gt;=0),0.5*((L12-C18)+(L12-C19))*ABS(B19-B18),IF((L12-C18)&gt;0,0.5*(L12-C18)*ABS((B18+((L12-C18)/((L12-C18)-(L12-C19)))*(B19-B18))-B18),0.5*(L12-C19)*ABS(B19-(B18+((L12-C18)/((L12-C18)-(L12-C19)))*(B19-B18)))))))+(IF(AND((L12-C19)&lt;=0,(L12-C20)&lt;=0),0,IF(AND((L12-C19)&gt;=0,(L12-C20)&gt;=0),0.5*((L12-C19)+(L12-C20))*ABS(B20-B19),IF((L12-C19)&gt;0,0.5*(L12-C19)*ABS((B19+((L12-C19)/((L12-C19)-(L12-C20)))*(B20-B19))-B19),0.5*(L12-C20)*ABS(B20-(B19+((L12-C19)/((L12-C19)-(L12-C20)))*(B20-B19)))))))</f>
        <v/>
      </c>
      <c r="N12">
        <f>(IF(AND((L12-C9)&lt;=0,(L12-C10)&lt;=0),0,IF(AND((L12-C9)&gt;=0,(L12-C10)&gt;=0),SQRT((B10-B9)^2+(C10-C9)^2),IF((L12-C9)&gt;0,SQRT(((B9+((L12-C9)/((L12-C9)-(L12-C10)))*(B10-B9))-B9)^2+(L12-C9)^2),SQRT((B10-(B9+((L12-C9)/((L12-C9)-(L12-C10)))*(B10-B9)))^2+(L12-C10)^2)))))+(IF(AND((L12-C10)&lt;=0,(L12-C11)&lt;=0),0,IF(AND((L12-C10)&gt;=0,(L12-C11)&gt;=0),SQRT((B11-B10)^2+(C11-C10)^2),IF((L12-C10)&gt;0,SQRT(((B10+((L12-C10)/((L12-C10)-(L12-C11)))*(B11-B10))-B10)^2+(L12-C10)^2),SQRT((B11-(B10+((L12-C10)/((L12-C10)-(L12-C11)))*(B11-B10)))^2+(L12-C11)^2)))))+(IF(AND((L12-C11)&lt;=0,(L12-C12)&lt;=0),0,IF(AND((L12-C11)&gt;=0,(L12-C12)&gt;=0),SQRT((B12-B11)^2+(C12-C11)^2),IF((L12-C11)&gt;0,SQRT(((B11+((L12-C11)/((L12-C11)-(L12-C12)))*(B12-B11))-B11)^2+(L12-C11)^2),SQRT((B12-(B11+((L12-C11)/((L12-C11)-(L12-C12)))*(B12-B11)))^2+(L12-C12)^2)))))+(IF(AND((L12-C12)&lt;=0,(L12-C13)&lt;=0),0,IF(AND((L12-C12)&gt;=0,(L12-C13)&gt;=0),SQRT((B13-B12)^2+(C13-C12)^2),IF((L12-C12)&gt;0,SQRT(((B12+((L12-C12)/((L12-C12)-(L12-C13)))*(B13-B12))-B12)^2+(L12-C12)^2),SQRT((B13-(B12+((L12-C12)/((L12-C12)-(L12-C13)))*(B13-B12)))^2+(L12-C13)^2)))))+(IF(AND((L12-C13)&lt;=0,(L12-C14)&lt;=0),0,IF(AND((L12-C13)&gt;=0,(L12-C14)&gt;=0),SQRT((B14-B13)^2+(C14-C13)^2),IF((L12-C13)&gt;0,SQRT(((B13+((L12-C13)/((L12-C13)-(L12-C14)))*(B14-B13))-B13)^2+(L12-C13)^2),SQRT((B14-(B13+((L12-C13)/((L12-C13)-(L12-C14)))*(B14-B13)))^2+(L12-C14)^2)))))+(IF(AND((L12-C14)&lt;=0,(L12-C15)&lt;=0),0,IF(AND((L12-C14)&gt;=0,(L12-C15)&gt;=0),SQRT((B15-B14)^2+(C15-C14)^2),IF((L12-C14)&gt;0,SQRT(((B14+((L12-C14)/((L12-C14)-(L12-C15)))*(B15-B14))-B14)^2+(L12-C14)^2),SQRT((B15-(B14+((L12-C14)/((L12-C14)-(L12-C15)))*(B15-B14)))^2+(L12-C15)^2)))))+(IF(AND((L12-C15)&lt;=0,(L12-C16)&lt;=0),0,IF(AND((L12-C15)&gt;=0,(L12-C16)&gt;=0),SQRT((B16-B15)^2+(C16-C15)^2),IF((L12-C15)&gt;0,SQRT(((B15+((L12-C15)/((L12-C15)-(L12-C16)))*(B16-B15))-B15)^2+(L12-C15)^2),SQRT((B16-(B15+((L12-C15)/((L12-C15)-(L12-C16)))*(B16-B15)))^2+(L12-C16)^2)))))+(IF(AND((L12-C16)&lt;=0,(L12-C17)&lt;=0),0,IF(AND((L12-C16)&gt;=0,(L12-C17)&gt;=0),SQRT((B17-B16)^2+(C17-C16)^2),IF((L12-C16)&gt;0,SQRT(((B16+((L12-C16)/((L12-C16)-(L12-C17)))*(B17-B16))-B16)^2+(L12-C16)^2),SQRT((B17-(B16+((L12-C16)/((L12-C16)-(L12-C17)))*(B17-B16)))^2+(L12-C17)^2)))))+(IF(AND((L12-C17)&lt;=0,(L12-C18)&lt;=0),0,IF(AND((L12-C17)&gt;=0,(L12-C18)&gt;=0),SQRT((B18-B17)^2+(C18-C17)^2),IF((L12-C17)&gt;0,SQRT(((B17+((L12-C17)/((L12-C17)-(L12-C18)))*(B18-B17))-B17)^2+(L12-C17)^2),SQRT((B18-(B17+((L12-C17)/((L12-C17)-(L12-C18)))*(B18-B17)))^2+(L12-C18)^2)))))+(IF(AND((L12-C18)&lt;=0,(L12-C19)&lt;=0),0,IF(AND((L12-C18)&gt;=0,(L12-C19)&gt;=0),SQRT((B19-B18)^2+(C19-C18)^2),IF((L12-C18)&gt;0,SQRT(((B18+((L12-C18)/((L12-C18)-(L12-C19)))*(B19-B18))-B18)^2+(L12-C18)^2),SQRT((B19-(B18+((L12-C18)/((L12-C18)-(L12-C19)))*(B19-B18)))^2+(L12-C19)^2)))))+(IF(AND((L12-C19)&lt;=0,(L12-C20)&lt;=0),0,IF(AND((L12-C19)&gt;=0,(L12-C20)&gt;=0),SQRT((B20-B19)^2+(C20-C19)^2),IF((L12-C19)&gt;0,SQRT(((B19+((L12-C19)/((L12-C19)-(L12-C20)))*(B20-B19))-B19)^2+(L12-C19)^2),SQRT((B20-(B19+((L12-C19)/((L12-C19)-(L12-C20)))*(B20-B19)))^2+(L12-C20)^2)))))</f>
        <v/>
      </c>
      <c r="O12">
        <f>IF(OR($B$6&lt;=0,M12&lt;=0,N12&lt;=0,$B$4&lt;=0),0,(1/$B$6)*M12*((M12/N12)^(2/3))*SQRT($B$4))</f>
        <v/>
      </c>
    </row>
    <row r="13">
      <c r="A13" s="5" t="n">
        <v>5</v>
      </c>
      <c r="B13" s="5" t="n">
        <v>12.964</v>
      </c>
      <c r="C13" s="5" t="n">
        <v>34.74</v>
      </c>
      <c r="D13" s="5" t="inlineStr">
        <is>
          <t>TAB</t>
        </is>
      </c>
      <c r="E13" s="5">
        <f>$B$2-C13</f>
        <v/>
      </c>
      <c r="F13" s="5">
        <f>IF(AND(($B$2-C13)&lt;=0,($B$2-C14)&lt;=0),0,IF(AND(($B$2-C13)&gt;=0,($B$2-C14)&gt;=0),0.5*(($B$2-C13)+($B$2-C14))*ABS(B14-B13),IF(($B$2-C13)&gt;0,0.5*($B$2-C13)*ABS((B13+(($B$2-C13)/(($B$2-C13)-($B$2-C14)))*(B14-B13))-B13),0.5*($B$2-C14)*ABS(B14-(B13+(($B$2-C13)/(($B$2-C13)-($B$2-C14)))*(B14-B13))))))</f>
        <v/>
      </c>
      <c r="G13" s="5">
        <f>IF(AND(($B$2-C13)&lt;=0,($B$2-C14)&lt;=0),0,IF(AND(($B$2-C13)&gt;=0,($B$2-C14)&gt;=0),SQRT((B14-B13)^2+(C14-C13)^2),IF(($B$2-C13)&gt;0,SQRT(((B13+(($B$2-C13)/(($B$2-C13)-($B$2-C14)))*(B14-B13))-B13)^2+($B$2-C13)^2),SQRT((B14-(B13+(($B$2-C13)/(($B$2-C13)-($B$2-C14)))*(B14-B13)))^2+($B$2-C14)^2))))</f>
        <v/>
      </c>
      <c r="I13" t="n">
        <v>5</v>
      </c>
      <c r="J13">
        <f>IF(O12&lt;$B$5,L12,J12)</f>
        <v/>
      </c>
      <c r="K13">
        <f>IF(O12&lt;$B$5,K12,L12)</f>
        <v/>
      </c>
      <c r="L13">
        <f>(J13+K13)/2</f>
        <v/>
      </c>
      <c r="M13">
        <f>(IF(AND((L13-C9)&lt;=0,(L13-C10)&lt;=0),0,IF(AND((L13-C9)&gt;=0,(L13-C10)&gt;=0),0.5*((L13-C9)+(L13-C10))*ABS(B10-B9),IF((L13-C9)&gt;0,0.5*(L13-C9)*ABS((B9+((L13-C9)/((L13-C9)-(L13-C10)))*(B10-B9))-B9),0.5*(L13-C10)*ABS(B10-(B9+((L13-C9)/((L13-C9)-(L13-C10)))*(B10-B9)))))))+(IF(AND((L13-C10)&lt;=0,(L13-C11)&lt;=0),0,IF(AND((L13-C10)&gt;=0,(L13-C11)&gt;=0),0.5*((L13-C10)+(L13-C11))*ABS(B11-B10),IF((L13-C10)&gt;0,0.5*(L13-C10)*ABS((B10+((L13-C10)/((L13-C10)-(L13-C11)))*(B11-B10))-B10),0.5*(L13-C11)*ABS(B11-(B10+((L13-C10)/((L13-C10)-(L13-C11)))*(B11-B10)))))))+(IF(AND((L13-C11)&lt;=0,(L13-C12)&lt;=0),0,IF(AND((L13-C11)&gt;=0,(L13-C12)&gt;=0),0.5*((L13-C11)+(L13-C12))*ABS(B12-B11),IF((L13-C11)&gt;0,0.5*(L13-C11)*ABS((B11+((L13-C11)/((L13-C11)-(L13-C12)))*(B12-B11))-B11),0.5*(L13-C12)*ABS(B12-(B11+((L13-C11)/((L13-C11)-(L13-C12)))*(B12-B11)))))))+(IF(AND((L13-C12)&lt;=0,(L13-C13)&lt;=0),0,IF(AND((L13-C12)&gt;=0,(L13-C13)&gt;=0),0.5*((L13-C12)+(L13-C13))*ABS(B13-B12),IF((L13-C12)&gt;0,0.5*(L13-C12)*ABS((B12+((L13-C12)/((L13-C12)-(L13-C13)))*(B13-B12))-B12),0.5*(L13-C13)*ABS(B13-(B12+((L13-C12)/((L13-C12)-(L13-C13)))*(B13-B12)))))))+(IF(AND((L13-C13)&lt;=0,(L13-C14)&lt;=0),0,IF(AND((L13-C13)&gt;=0,(L13-C14)&gt;=0),0.5*((L13-C13)+(L13-C14))*ABS(B14-B13),IF((L13-C13)&gt;0,0.5*(L13-C13)*ABS((B13+((L13-C13)/((L13-C13)-(L13-C14)))*(B14-B13))-B13),0.5*(L13-C14)*ABS(B14-(B13+((L13-C13)/((L13-C13)-(L13-C14)))*(B14-B13)))))))+(IF(AND((L13-C14)&lt;=0,(L13-C15)&lt;=0),0,IF(AND((L13-C14)&gt;=0,(L13-C15)&gt;=0),0.5*((L13-C14)+(L13-C15))*ABS(B15-B14),IF((L13-C14)&gt;0,0.5*(L13-C14)*ABS((B14+((L13-C14)/((L13-C14)-(L13-C15)))*(B15-B14))-B14),0.5*(L13-C15)*ABS(B15-(B14+((L13-C14)/((L13-C14)-(L13-C15)))*(B15-B14)))))))+(IF(AND((L13-C15)&lt;=0,(L13-C16)&lt;=0),0,IF(AND((L13-C15)&gt;=0,(L13-C16)&gt;=0),0.5*((L13-C15)+(L13-C16))*ABS(B16-B15),IF((L13-C15)&gt;0,0.5*(L13-C15)*ABS((B15+((L13-C15)/((L13-C15)-(L13-C16)))*(B16-B15))-B15),0.5*(L13-C16)*ABS(B16-(B15+((L13-C15)/((L13-C15)-(L13-C16)))*(B16-B15)))))))+(IF(AND((L13-C16)&lt;=0,(L13-C17)&lt;=0),0,IF(AND((L13-C16)&gt;=0,(L13-C17)&gt;=0),0.5*((L13-C16)+(L13-C17))*ABS(B17-B16),IF((L13-C16)&gt;0,0.5*(L13-C16)*ABS((B16+((L13-C16)/((L13-C16)-(L13-C17)))*(B17-B16))-B16),0.5*(L13-C17)*ABS(B17-(B16+((L13-C16)/((L13-C16)-(L13-C17)))*(B17-B16)))))))+(IF(AND((L13-C17)&lt;=0,(L13-C18)&lt;=0),0,IF(AND((L13-C17)&gt;=0,(L13-C18)&gt;=0),0.5*((L13-C17)+(L13-C18))*ABS(B18-B17),IF((L13-C17)&gt;0,0.5*(L13-C17)*ABS((B17+((L13-C17)/((L13-C17)-(L13-C18)))*(B18-B17))-B17),0.5*(L13-C18)*ABS(B18-(B17+((L13-C17)/((L13-C17)-(L13-C18)))*(B18-B17)))))))+(IF(AND((L13-C18)&lt;=0,(L13-C19)&lt;=0),0,IF(AND((L13-C18)&gt;=0,(L13-C19)&gt;=0),0.5*((L13-C18)+(L13-C19))*ABS(B19-B18),IF((L13-C18)&gt;0,0.5*(L13-C18)*ABS((B18+((L13-C18)/((L13-C18)-(L13-C19)))*(B19-B18))-B18),0.5*(L13-C19)*ABS(B19-(B18+((L13-C18)/((L13-C18)-(L13-C19)))*(B19-B18)))))))+(IF(AND((L13-C19)&lt;=0,(L13-C20)&lt;=0),0,IF(AND((L13-C19)&gt;=0,(L13-C20)&gt;=0),0.5*((L13-C19)+(L13-C20))*ABS(B20-B19),IF((L13-C19)&gt;0,0.5*(L13-C19)*ABS((B19+((L13-C19)/((L13-C19)-(L13-C20)))*(B20-B19))-B19),0.5*(L13-C20)*ABS(B20-(B19+((L13-C19)/((L13-C19)-(L13-C20)))*(B20-B19)))))))</f>
        <v/>
      </c>
      <c r="N13">
        <f>(IF(AND((L13-C9)&lt;=0,(L13-C10)&lt;=0),0,IF(AND((L13-C9)&gt;=0,(L13-C10)&gt;=0),SQRT((B10-B9)^2+(C10-C9)^2),IF((L13-C9)&gt;0,SQRT(((B9+((L13-C9)/((L13-C9)-(L13-C10)))*(B10-B9))-B9)^2+(L13-C9)^2),SQRT((B10-(B9+((L13-C9)/((L13-C9)-(L13-C10)))*(B10-B9)))^2+(L13-C10)^2)))))+(IF(AND((L13-C10)&lt;=0,(L13-C11)&lt;=0),0,IF(AND((L13-C10)&gt;=0,(L13-C11)&gt;=0),SQRT((B11-B10)^2+(C11-C10)^2),IF((L13-C10)&gt;0,SQRT(((B10+((L13-C10)/((L13-C10)-(L13-C11)))*(B11-B10))-B10)^2+(L13-C10)^2),SQRT((B11-(B10+((L13-C10)/((L13-C10)-(L13-C11)))*(B11-B10)))^2+(L13-C11)^2)))))+(IF(AND((L13-C11)&lt;=0,(L13-C12)&lt;=0),0,IF(AND((L13-C11)&gt;=0,(L13-C12)&gt;=0),SQRT((B12-B11)^2+(C12-C11)^2),IF((L13-C11)&gt;0,SQRT(((B11+((L13-C11)/((L13-C11)-(L13-C12)))*(B12-B11))-B11)^2+(L13-C11)^2),SQRT((B12-(B11+((L13-C11)/((L13-C11)-(L13-C12)))*(B12-B11)))^2+(L13-C12)^2)))))+(IF(AND((L13-C12)&lt;=0,(L13-C13)&lt;=0),0,IF(AND((L13-C12)&gt;=0,(L13-C13)&gt;=0),SQRT((B13-B12)^2+(C13-C12)^2),IF((L13-C12)&gt;0,SQRT(((B12+((L13-C12)/((L13-C12)-(L13-C13)))*(B13-B12))-B12)^2+(L13-C12)^2),SQRT((B13-(B12+((L13-C12)/((L13-C12)-(L13-C13)))*(B13-B12)))^2+(L13-C13)^2)))))+(IF(AND((L13-C13)&lt;=0,(L13-C14)&lt;=0),0,IF(AND((L13-C13)&gt;=0,(L13-C14)&gt;=0),SQRT((B14-B13)^2+(C14-C13)^2),IF((L13-C13)&gt;0,SQRT(((B13+((L13-C13)/((L13-C13)-(L13-C14)))*(B14-B13))-B13)^2+(L13-C13)^2),SQRT((B14-(B13+((L13-C13)/((L13-C13)-(L13-C14)))*(B14-B13)))^2+(L13-C14)^2)))))+(IF(AND((L13-C14)&lt;=0,(L13-C15)&lt;=0),0,IF(AND((L13-C14)&gt;=0,(L13-C15)&gt;=0),SQRT((B15-B14)^2+(C15-C14)^2),IF((L13-C14)&gt;0,SQRT(((B14+((L13-C14)/((L13-C14)-(L13-C15)))*(B15-B14))-B14)^2+(L13-C14)^2),SQRT((B15-(B14+((L13-C14)/((L13-C14)-(L13-C15)))*(B15-B14)))^2+(L13-C15)^2)))))+(IF(AND((L13-C15)&lt;=0,(L13-C16)&lt;=0),0,IF(AND((L13-C15)&gt;=0,(L13-C16)&gt;=0),SQRT((B16-B15)^2+(C16-C15)^2),IF((L13-C15)&gt;0,SQRT(((B15+((L13-C15)/((L13-C15)-(L13-C16)))*(B16-B15))-B15)^2+(L13-C15)^2),SQRT((B16-(B15+((L13-C15)/((L13-C15)-(L13-C16)))*(B16-B15)))^2+(L13-C16)^2)))))+(IF(AND((L13-C16)&lt;=0,(L13-C17)&lt;=0),0,IF(AND((L13-C16)&gt;=0,(L13-C17)&gt;=0),SQRT((B17-B16)^2+(C17-C16)^2),IF((L13-C16)&gt;0,SQRT(((B16+((L13-C16)/((L13-C16)-(L13-C17)))*(B17-B16))-B16)^2+(L13-C16)^2),SQRT((B17-(B16+((L13-C16)/((L13-C16)-(L13-C17)))*(B17-B16)))^2+(L13-C17)^2)))))+(IF(AND((L13-C17)&lt;=0,(L13-C18)&lt;=0),0,IF(AND((L13-C17)&gt;=0,(L13-C18)&gt;=0),SQRT((B18-B17)^2+(C18-C17)^2),IF((L13-C17)&gt;0,SQRT(((B17+((L13-C17)/((L13-C17)-(L13-C18)))*(B18-B17))-B17)^2+(L13-C17)^2),SQRT((B18-(B17+((L13-C17)/((L13-C17)-(L13-C18)))*(B18-B17)))^2+(L13-C18)^2)))))+(IF(AND((L13-C18)&lt;=0,(L13-C19)&lt;=0),0,IF(AND((L13-C18)&gt;=0,(L13-C19)&gt;=0),SQRT((B19-B18)^2+(C19-C18)^2),IF((L13-C18)&gt;0,SQRT(((B18+((L13-C18)/((L13-C18)-(L13-C19)))*(B19-B18))-B18)^2+(L13-C18)^2),SQRT((B19-(B18+((L13-C18)/((L13-C18)-(L13-C19)))*(B19-B18)))^2+(L13-C19)^2)))))+(IF(AND((L13-C19)&lt;=0,(L13-C20)&lt;=0),0,IF(AND((L13-C19)&gt;=0,(L13-C20)&gt;=0),SQRT((B20-B19)^2+(C20-C19)^2),IF((L13-C19)&gt;0,SQRT(((B19+((L13-C19)/((L13-C19)-(L13-C20)))*(B20-B19))-B19)^2+(L13-C19)^2),SQRT((B20-(B19+((L13-C19)/((L13-C19)-(L13-C20)))*(B20-B19)))^2+(L13-C20)^2)))))</f>
        <v/>
      </c>
      <c r="O13">
        <f>IF(OR($B$6&lt;=0,M13&lt;=0,N13&lt;=0,$B$4&lt;=0),0,(1/$B$6)*M13*((M13/N13)^(2/3))*SQRT($B$4))</f>
        <v/>
      </c>
    </row>
    <row r="14">
      <c r="A14" s="5" t="n">
        <v>6</v>
      </c>
      <c r="B14" s="5" t="n">
        <v>14.846</v>
      </c>
      <c r="C14" s="5" t="n">
        <v>34.45</v>
      </c>
      <c r="D14" s="5" t="inlineStr">
        <is>
          <t>FOND</t>
        </is>
      </c>
      <c r="E14" s="5">
        <f>$B$2-C14</f>
        <v/>
      </c>
      <c r="F14" s="5">
        <f>IF(AND(($B$2-C14)&lt;=0,($B$2-C15)&lt;=0),0,IF(AND(($B$2-C14)&gt;=0,($B$2-C15)&gt;=0),0.5*(($B$2-C14)+($B$2-C15))*ABS(B15-B14),IF(($B$2-C14)&gt;0,0.5*($B$2-C14)*ABS((B14+(($B$2-C14)/(($B$2-C14)-($B$2-C15)))*(B15-B14))-B14),0.5*($B$2-C15)*ABS(B15-(B14+(($B$2-C14)/(($B$2-C14)-($B$2-C15)))*(B15-B14))))))</f>
        <v/>
      </c>
      <c r="G14" s="5">
        <f>IF(AND(($B$2-C14)&lt;=0,($B$2-C15)&lt;=0),0,IF(AND(($B$2-C14)&gt;=0,($B$2-C15)&gt;=0),SQRT((B15-B14)^2+(C15-C14)^2),IF(($B$2-C14)&gt;0,SQRT(((B14+(($B$2-C14)/(($B$2-C14)-($B$2-C15)))*(B15-B14))-B14)^2+($B$2-C14)^2),SQRT((B15-(B14+(($B$2-C14)/(($B$2-C14)-($B$2-C15)))*(B15-B14)))^2+($B$2-C15)^2))))</f>
        <v/>
      </c>
      <c r="I14" t="n">
        <v>6</v>
      </c>
      <c r="J14">
        <f>IF(O13&lt;$B$5,L13,J13)</f>
        <v/>
      </c>
      <c r="K14">
        <f>IF(O13&lt;$B$5,K13,L13)</f>
        <v/>
      </c>
      <c r="L14">
        <f>(J14+K14)/2</f>
        <v/>
      </c>
      <c r="M14">
        <f>(IF(AND((L14-C9)&lt;=0,(L14-C10)&lt;=0),0,IF(AND((L14-C9)&gt;=0,(L14-C10)&gt;=0),0.5*((L14-C9)+(L14-C10))*ABS(B10-B9),IF((L14-C9)&gt;0,0.5*(L14-C9)*ABS((B9+((L14-C9)/((L14-C9)-(L14-C10)))*(B10-B9))-B9),0.5*(L14-C10)*ABS(B10-(B9+((L14-C9)/((L14-C9)-(L14-C10)))*(B10-B9)))))))+(IF(AND((L14-C10)&lt;=0,(L14-C11)&lt;=0),0,IF(AND((L14-C10)&gt;=0,(L14-C11)&gt;=0),0.5*((L14-C10)+(L14-C11))*ABS(B11-B10),IF((L14-C10)&gt;0,0.5*(L14-C10)*ABS((B10+((L14-C10)/((L14-C10)-(L14-C11)))*(B11-B10))-B10),0.5*(L14-C11)*ABS(B11-(B10+((L14-C10)/((L14-C10)-(L14-C11)))*(B11-B10)))))))+(IF(AND((L14-C11)&lt;=0,(L14-C12)&lt;=0),0,IF(AND((L14-C11)&gt;=0,(L14-C12)&gt;=0),0.5*((L14-C11)+(L14-C12))*ABS(B12-B11),IF((L14-C11)&gt;0,0.5*(L14-C11)*ABS((B11+((L14-C11)/((L14-C11)-(L14-C12)))*(B12-B11))-B11),0.5*(L14-C12)*ABS(B12-(B11+((L14-C11)/((L14-C11)-(L14-C12)))*(B12-B11)))))))+(IF(AND((L14-C12)&lt;=0,(L14-C13)&lt;=0),0,IF(AND((L14-C12)&gt;=0,(L14-C13)&gt;=0),0.5*((L14-C12)+(L14-C13))*ABS(B13-B12),IF((L14-C12)&gt;0,0.5*(L14-C12)*ABS((B12+((L14-C12)/((L14-C12)-(L14-C13)))*(B13-B12))-B12),0.5*(L14-C13)*ABS(B13-(B12+((L14-C12)/((L14-C12)-(L14-C13)))*(B13-B12)))))))+(IF(AND((L14-C13)&lt;=0,(L14-C14)&lt;=0),0,IF(AND((L14-C13)&gt;=0,(L14-C14)&gt;=0),0.5*((L14-C13)+(L14-C14))*ABS(B14-B13),IF((L14-C13)&gt;0,0.5*(L14-C13)*ABS((B13+((L14-C13)/((L14-C13)-(L14-C14)))*(B14-B13))-B13),0.5*(L14-C14)*ABS(B14-(B13+((L14-C13)/((L14-C13)-(L14-C14)))*(B14-B13)))))))+(IF(AND((L14-C14)&lt;=0,(L14-C15)&lt;=0),0,IF(AND((L14-C14)&gt;=0,(L14-C15)&gt;=0),0.5*((L14-C14)+(L14-C15))*ABS(B15-B14),IF((L14-C14)&gt;0,0.5*(L14-C14)*ABS((B14+((L14-C14)/((L14-C14)-(L14-C15)))*(B15-B14))-B14),0.5*(L14-C15)*ABS(B15-(B14+((L14-C14)/((L14-C14)-(L14-C15)))*(B15-B14)))))))+(IF(AND((L14-C15)&lt;=0,(L14-C16)&lt;=0),0,IF(AND((L14-C15)&gt;=0,(L14-C16)&gt;=0),0.5*((L14-C15)+(L14-C16))*ABS(B16-B15),IF((L14-C15)&gt;0,0.5*(L14-C15)*ABS((B15+((L14-C15)/((L14-C15)-(L14-C16)))*(B16-B15))-B15),0.5*(L14-C16)*ABS(B16-(B15+((L14-C15)/((L14-C15)-(L14-C16)))*(B16-B15)))))))+(IF(AND((L14-C16)&lt;=0,(L14-C17)&lt;=0),0,IF(AND((L14-C16)&gt;=0,(L14-C17)&gt;=0),0.5*((L14-C16)+(L14-C17))*ABS(B17-B16),IF((L14-C16)&gt;0,0.5*(L14-C16)*ABS((B16+((L14-C16)/((L14-C16)-(L14-C17)))*(B17-B16))-B16),0.5*(L14-C17)*ABS(B17-(B16+((L14-C16)/((L14-C16)-(L14-C17)))*(B17-B16)))))))+(IF(AND((L14-C17)&lt;=0,(L14-C18)&lt;=0),0,IF(AND((L14-C17)&gt;=0,(L14-C18)&gt;=0),0.5*((L14-C17)+(L14-C18))*ABS(B18-B17),IF((L14-C17)&gt;0,0.5*(L14-C17)*ABS((B17+((L14-C17)/((L14-C17)-(L14-C18)))*(B18-B17))-B17),0.5*(L14-C18)*ABS(B18-(B17+((L14-C17)/((L14-C17)-(L14-C18)))*(B18-B17)))))))+(IF(AND((L14-C18)&lt;=0,(L14-C19)&lt;=0),0,IF(AND((L14-C18)&gt;=0,(L14-C19)&gt;=0),0.5*((L14-C18)+(L14-C19))*ABS(B19-B18),IF((L14-C18)&gt;0,0.5*(L14-C18)*ABS((B18+((L14-C18)/((L14-C18)-(L14-C19)))*(B19-B18))-B18),0.5*(L14-C19)*ABS(B19-(B18+((L14-C18)/((L14-C18)-(L14-C19)))*(B19-B18)))))))+(IF(AND((L14-C19)&lt;=0,(L14-C20)&lt;=0),0,IF(AND((L14-C19)&gt;=0,(L14-C20)&gt;=0),0.5*((L14-C19)+(L14-C20))*ABS(B20-B19),IF((L14-C19)&gt;0,0.5*(L14-C19)*ABS((B19+((L14-C19)/((L14-C19)-(L14-C20)))*(B20-B19))-B19),0.5*(L14-C20)*ABS(B20-(B19+((L14-C19)/((L14-C19)-(L14-C20)))*(B20-B19)))))))</f>
        <v/>
      </c>
      <c r="N14">
        <f>(IF(AND((L14-C9)&lt;=0,(L14-C10)&lt;=0),0,IF(AND((L14-C9)&gt;=0,(L14-C10)&gt;=0),SQRT((B10-B9)^2+(C10-C9)^2),IF((L14-C9)&gt;0,SQRT(((B9+((L14-C9)/((L14-C9)-(L14-C10)))*(B10-B9))-B9)^2+(L14-C9)^2),SQRT((B10-(B9+((L14-C9)/((L14-C9)-(L14-C10)))*(B10-B9)))^2+(L14-C10)^2)))))+(IF(AND((L14-C10)&lt;=0,(L14-C11)&lt;=0),0,IF(AND((L14-C10)&gt;=0,(L14-C11)&gt;=0),SQRT((B11-B10)^2+(C11-C10)^2),IF((L14-C10)&gt;0,SQRT(((B10+((L14-C10)/((L14-C10)-(L14-C11)))*(B11-B10))-B10)^2+(L14-C10)^2),SQRT((B11-(B10+((L14-C10)/((L14-C10)-(L14-C11)))*(B11-B10)))^2+(L14-C11)^2)))))+(IF(AND((L14-C11)&lt;=0,(L14-C12)&lt;=0),0,IF(AND((L14-C11)&gt;=0,(L14-C12)&gt;=0),SQRT((B12-B11)^2+(C12-C11)^2),IF((L14-C11)&gt;0,SQRT(((B11+((L14-C11)/((L14-C11)-(L14-C12)))*(B12-B11))-B11)^2+(L14-C11)^2),SQRT((B12-(B11+((L14-C11)/((L14-C11)-(L14-C12)))*(B12-B11)))^2+(L14-C12)^2)))))+(IF(AND((L14-C12)&lt;=0,(L14-C13)&lt;=0),0,IF(AND((L14-C12)&gt;=0,(L14-C13)&gt;=0),SQRT((B13-B12)^2+(C13-C12)^2),IF((L14-C12)&gt;0,SQRT(((B12+((L14-C12)/((L14-C12)-(L14-C13)))*(B13-B12))-B12)^2+(L14-C12)^2),SQRT((B13-(B12+((L14-C12)/((L14-C12)-(L14-C13)))*(B13-B12)))^2+(L14-C13)^2)))))+(IF(AND((L14-C13)&lt;=0,(L14-C14)&lt;=0),0,IF(AND((L14-C13)&gt;=0,(L14-C14)&gt;=0),SQRT((B14-B13)^2+(C14-C13)^2),IF((L14-C13)&gt;0,SQRT(((B13+((L14-C13)/((L14-C13)-(L14-C14)))*(B14-B13))-B13)^2+(L14-C13)^2),SQRT((B14-(B13+((L14-C13)/((L14-C13)-(L14-C14)))*(B14-B13)))^2+(L14-C14)^2)))))+(IF(AND((L14-C14)&lt;=0,(L14-C15)&lt;=0),0,IF(AND((L14-C14)&gt;=0,(L14-C15)&gt;=0),SQRT((B15-B14)^2+(C15-C14)^2),IF((L14-C14)&gt;0,SQRT(((B14+((L14-C14)/((L14-C14)-(L14-C15)))*(B15-B14))-B14)^2+(L14-C14)^2),SQRT((B15-(B14+((L14-C14)/((L14-C14)-(L14-C15)))*(B15-B14)))^2+(L14-C15)^2)))))+(IF(AND((L14-C15)&lt;=0,(L14-C16)&lt;=0),0,IF(AND((L14-C15)&gt;=0,(L14-C16)&gt;=0),SQRT((B16-B15)^2+(C16-C15)^2),IF((L14-C15)&gt;0,SQRT(((B15+((L14-C15)/((L14-C15)-(L14-C16)))*(B16-B15))-B15)^2+(L14-C15)^2),SQRT((B16-(B15+((L14-C15)/((L14-C15)-(L14-C16)))*(B16-B15)))^2+(L14-C16)^2)))))+(IF(AND((L14-C16)&lt;=0,(L14-C17)&lt;=0),0,IF(AND((L14-C16)&gt;=0,(L14-C17)&gt;=0),SQRT((B17-B16)^2+(C17-C16)^2),IF((L14-C16)&gt;0,SQRT(((B16+((L14-C16)/((L14-C16)-(L14-C17)))*(B17-B16))-B16)^2+(L14-C16)^2),SQRT((B17-(B16+((L14-C16)/((L14-C16)-(L14-C17)))*(B17-B16)))^2+(L14-C17)^2)))))+(IF(AND((L14-C17)&lt;=0,(L14-C18)&lt;=0),0,IF(AND((L14-C17)&gt;=0,(L14-C18)&gt;=0),SQRT((B18-B17)^2+(C18-C17)^2),IF((L14-C17)&gt;0,SQRT(((B17+((L14-C17)/((L14-C17)-(L14-C18)))*(B18-B17))-B17)^2+(L14-C17)^2),SQRT((B18-(B17+((L14-C17)/((L14-C17)-(L14-C18)))*(B18-B17)))^2+(L14-C18)^2)))))+(IF(AND((L14-C18)&lt;=0,(L14-C19)&lt;=0),0,IF(AND((L14-C18)&gt;=0,(L14-C19)&gt;=0),SQRT((B19-B18)^2+(C19-C18)^2),IF((L14-C18)&gt;0,SQRT(((B18+((L14-C18)/((L14-C18)-(L14-C19)))*(B19-B18))-B18)^2+(L14-C18)^2),SQRT((B19-(B18+((L14-C18)/((L14-C18)-(L14-C19)))*(B19-B18)))^2+(L14-C19)^2)))))+(IF(AND((L14-C19)&lt;=0,(L14-C20)&lt;=0),0,IF(AND((L14-C19)&gt;=0,(L14-C20)&gt;=0),SQRT((B20-B19)^2+(C20-C19)^2),IF((L14-C19)&gt;0,SQRT(((B19+((L14-C19)/((L14-C19)-(L14-C20)))*(B20-B19))-B19)^2+(L14-C19)^2),SQRT((B20-(B19+((L14-C19)/((L14-C19)-(L14-C20)))*(B20-B19)))^2+(L14-C20)^2)))))</f>
        <v/>
      </c>
      <c r="O14">
        <f>IF(OR($B$6&lt;=0,M14&lt;=0,N14&lt;=0,$B$4&lt;=0),0,(1/$B$6)*M14*((M14/N14)^(2/3))*SQRT($B$4))</f>
        <v/>
      </c>
    </row>
    <row r="15">
      <c r="A15" s="5" t="n">
        <v>7</v>
      </c>
      <c r="B15" s="5" t="n">
        <v>17.093</v>
      </c>
      <c r="C15" s="5" t="n">
        <v>34.43</v>
      </c>
      <c r="D15" s="5" t="inlineStr">
        <is>
          <t>FOND</t>
        </is>
      </c>
      <c r="E15" s="5">
        <f>$B$2-C15</f>
        <v/>
      </c>
      <c r="F15" s="5">
        <f>IF(AND(($B$2-C15)&lt;=0,($B$2-C16)&lt;=0),0,IF(AND(($B$2-C15)&gt;=0,($B$2-C16)&gt;=0),0.5*(($B$2-C15)+($B$2-C16))*ABS(B16-B15),IF(($B$2-C15)&gt;0,0.5*($B$2-C15)*ABS((B15+(($B$2-C15)/(($B$2-C15)-($B$2-C16)))*(B16-B15))-B15),0.5*($B$2-C16)*ABS(B16-(B15+(($B$2-C15)/(($B$2-C15)-($B$2-C16)))*(B16-B15))))))</f>
        <v/>
      </c>
      <c r="G15" s="5">
        <f>IF(AND(($B$2-C15)&lt;=0,($B$2-C16)&lt;=0),0,IF(AND(($B$2-C15)&gt;=0,($B$2-C16)&gt;=0),SQRT((B16-B15)^2+(C16-C15)^2),IF(($B$2-C15)&gt;0,SQRT(((B15+(($B$2-C15)/(($B$2-C15)-($B$2-C16)))*(B16-B15))-B15)^2+($B$2-C15)^2),SQRT((B16-(B15+(($B$2-C15)/(($B$2-C15)-($B$2-C16)))*(B16-B15)))^2+($B$2-C16)^2))))</f>
        <v/>
      </c>
      <c r="I15" t="n">
        <v>7</v>
      </c>
      <c r="J15">
        <f>IF(O14&lt;$B$5,L14,J14)</f>
        <v/>
      </c>
      <c r="K15">
        <f>IF(O14&lt;$B$5,K14,L14)</f>
        <v/>
      </c>
      <c r="L15">
        <f>(J15+K15)/2</f>
        <v/>
      </c>
      <c r="M15">
        <f>(IF(AND((L15-C9)&lt;=0,(L15-C10)&lt;=0),0,IF(AND((L15-C9)&gt;=0,(L15-C10)&gt;=0),0.5*((L15-C9)+(L15-C10))*ABS(B10-B9),IF((L15-C9)&gt;0,0.5*(L15-C9)*ABS((B9+((L15-C9)/((L15-C9)-(L15-C10)))*(B10-B9))-B9),0.5*(L15-C10)*ABS(B10-(B9+((L15-C9)/((L15-C9)-(L15-C10)))*(B10-B9)))))))+(IF(AND((L15-C10)&lt;=0,(L15-C11)&lt;=0),0,IF(AND((L15-C10)&gt;=0,(L15-C11)&gt;=0),0.5*((L15-C10)+(L15-C11))*ABS(B11-B10),IF((L15-C10)&gt;0,0.5*(L15-C10)*ABS((B10+((L15-C10)/((L15-C10)-(L15-C11)))*(B11-B10))-B10),0.5*(L15-C11)*ABS(B11-(B10+((L15-C10)/((L15-C10)-(L15-C11)))*(B11-B10)))))))+(IF(AND((L15-C11)&lt;=0,(L15-C12)&lt;=0),0,IF(AND((L15-C11)&gt;=0,(L15-C12)&gt;=0),0.5*((L15-C11)+(L15-C12))*ABS(B12-B11),IF((L15-C11)&gt;0,0.5*(L15-C11)*ABS((B11+((L15-C11)/((L15-C11)-(L15-C12)))*(B12-B11))-B11),0.5*(L15-C12)*ABS(B12-(B11+((L15-C11)/((L15-C11)-(L15-C12)))*(B12-B11)))))))+(IF(AND((L15-C12)&lt;=0,(L15-C13)&lt;=0),0,IF(AND((L15-C12)&gt;=0,(L15-C13)&gt;=0),0.5*((L15-C12)+(L15-C13))*ABS(B13-B12),IF((L15-C12)&gt;0,0.5*(L15-C12)*ABS((B12+((L15-C12)/((L15-C12)-(L15-C13)))*(B13-B12))-B12),0.5*(L15-C13)*ABS(B13-(B12+((L15-C12)/((L15-C12)-(L15-C13)))*(B13-B12)))))))+(IF(AND((L15-C13)&lt;=0,(L15-C14)&lt;=0),0,IF(AND((L15-C13)&gt;=0,(L15-C14)&gt;=0),0.5*((L15-C13)+(L15-C14))*ABS(B14-B13),IF((L15-C13)&gt;0,0.5*(L15-C13)*ABS((B13+((L15-C13)/((L15-C13)-(L15-C14)))*(B14-B13))-B13),0.5*(L15-C14)*ABS(B14-(B13+((L15-C13)/((L15-C13)-(L15-C14)))*(B14-B13)))))))+(IF(AND((L15-C14)&lt;=0,(L15-C15)&lt;=0),0,IF(AND((L15-C14)&gt;=0,(L15-C15)&gt;=0),0.5*((L15-C14)+(L15-C15))*ABS(B15-B14),IF((L15-C14)&gt;0,0.5*(L15-C14)*ABS((B14+((L15-C14)/((L15-C14)-(L15-C15)))*(B15-B14))-B14),0.5*(L15-C15)*ABS(B15-(B14+((L15-C14)/((L15-C14)-(L15-C15)))*(B15-B14)))))))+(IF(AND((L15-C15)&lt;=0,(L15-C16)&lt;=0),0,IF(AND((L15-C15)&gt;=0,(L15-C16)&gt;=0),0.5*((L15-C15)+(L15-C16))*ABS(B16-B15),IF((L15-C15)&gt;0,0.5*(L15-C15)*ABS((B15+((L15-C15)/((L15-C15)-(L15-C16)))*(B16-B15))-B15),0.5*(L15-C16)*ABS(B16-(B15+((L15-C15)/((L15-C15)-(L15-C16)))*(B16-B15)))))))+(IF(AND((L15-C16)&lt;=0,(L15-C17)&lt;=0),0,IF(AND((L15-C16)&gt;=0,(L15-C17)&gt;=0),0.5*((L15-C16)+(L15-C17))*ABS(B17-B16),IF((L15-C16)&gt;0,0.5*(L15-C16)*ABS((B16+((L15-C16)/((L15-C16)-(L15-C17)))*(B17-B16))-B16),0.5*(L15-C17)*ABS(B17-(B16+((L15-C16)/((L15-C16)-(L15-C17)))*(B17-B16)))))))+(IF(AND((L15-C17)&lt;=0,(L15-C18)&lt;=0),0,IF(AND((L15-C17)&gt;=0,(L15-C18)&gt;=0),0.5*((L15-C17)+(L15-C18))*ABS(B18-B17),IF((L15-C17)&gt;0,0.5*(L15-C17)*ABS((B17+((L15-C17)/((L15-C17)-(L15-C18)))*(B18-B17))-B17),0.5*(L15-C18)*ABS(B18-(B17+((L15-C17)/((L15-C17)-(L15-C18)))*(B18-B17)))))))+(IF(AND((L15-C18)&lt;=0,(L15-C19)&lt;=0),0,IF(AND((L15-C18)&gt;=0,(L15-C19)&gt;=0),0.5*((L15-C18)+(L15-C19))*ABS(B19-B18),IF((L15-C18)&gt;0,0.5*(L15-C18)*ABS((B18+((L15-C18)/((L15-C18)-(L15-C19)))*(B19-B18))-B18),0.5*(L15-C19)*ABS(B19-(B18+((L15-C18)/((L15-C18)-(L15-C19)))*(B19-B18)))))))+(IF(AND((L15-C19)&lt;=0,(L15-C20)&lt;=0),0,IF(AND((L15-C19)&gt;=0,(L15-C20)&gt;=0),0.5*((L15-C19)+(L15-C20))*ABS(B20-B19),IF((L15-C19)&gt;0,0.5*(L15-C19)*ABS((B19+((L15-C19)/((L15-C19)-(L15-C20)))*(B20-B19))-B19),0.5*(L15-C20)*ABS(B20-(B19+((L15-C19)/((L15-C19)-(L15-C20)))*(B20-B19)))))))</f>
        <v/>
      </c>
      <c r="N15">
        <f>(IF(AND((L15-C9)&lt;=0,(L15-C10)&lt;=0),0,IF(AND((L15-C9)&gt;=0,(L15-C10)&gt;=0),SQRT((B10-B9)^2+(C10-C9)^2),IF((L15-C9)&gt;0,SQRT(((B9+((L15-C9)/((L15-C9)-(L15-C10)))*(B10-B9))-B9)^2+(L15-C9)^2),SQRT((B10-(B9+((L15-C9)/((L15-C9)-(L15-C10)))*(B10-B9)))^2+(L15-C10)^2)))))+(IF(AND((L15-C10)&lt;=0,(L15-C11)&lt;=0),0,IF(AND((L15-C10)&gt;=0,(L15-C11)&gt;=0),SQRT((B11-B10)^2+(C11-C10)^2),IF((L15-C10)&gt;0,SQRT(((B10+((L15-C10)/((L15-C10)-(L15-C11)))*(B11-B10))-B10)^2+(L15-C10)^2),SQRT((B11-(B10+((L15-C10)/((L15-C10)-(L15-C11)))*(B11-B10)))^2+(L15-C11)^2)))))+(IF(AND((L15-C11)&lt;=0,(L15-C12)&lt;=0),0,IF(AND((L15-C11)&gt;=0,(L15-C12)&gt;=0),SQRT((B12-B11)^2+(C12-C11)^2),IF((L15-C11)&gt;0,SQRT(((B11+((L15-C11)/((L15-C11)-(L15-C12)))*(B12-B11))-B11)^2+(L15-C11)^2),SQRT((B12-(B11+((L15-C11)/((L15-C11)-(L15-C12)))*(B12-B11)))^2+(L15-C12)^2)))))+(IF(AND((L15-C12)&lt;=0,(L15-C13)&lt;=0),0,IF(AND((L15-C12)&gt;=0,(L15-C13)&gt;=0),SQRT((B13-B12)^2+(C13-C12)^2),IF((L15-C12)&gt;0,SQRT(((B12+((L15-C12)/((L15-C12)-(L15-C13)))*(B13-B12))-B12)^2+(L15-C12)^2),SQRT((B13-(B12+((L15-C12)/((L15-C12)-(L15-C13)))*(B13-B12)))^2+(L15-C13)^2)))))+(IF(AND((L15-C13)&lt;=0,(L15-C14)&lt;=0),0,IF(AND((L15-C13)&gt;=0,(L15-C14)&gt;=0),SQRT((B14-B13)^2+(C14-C13)^2),IF((L15-C13)&gt;0,SQRT(((B13+((L15-C13)/((L15-C13)-(L15-C14)))*(B14-B13))-B13)^2+(L15-C13)^2),SQRT((B14-(B13+((L15-C13)/((L15-C13)-(L15-C14)))*(B14-B13)))^2+(L15-C14)^2)))))+(IF(AND((L15-C14)&lt;=0,(L15-C15)&lt;=0),0,IF(AND((L15-C14)&gt;=0,(L15-C15)&gt;=0),SQRT((B15-B14)^2+(C15-C14)^2),IF((L15-C14)&gt;0,SQRT(((B14+((L15-C14)/((L15-C14)-(L15-C15)))*(B15-B14))-B14)^2+(L15-C14)^2),SQRT((B15-(B14+((L15-C14)/((L15-C14)-(L15-C15)))*(B15-B14)))^2+(L15-C15)^2)))))+(IF(AND((L15-C15)&lt;=0,(L15-C16)&lt;=0),0,IF(AND((L15-C15)&gt;=0,(L15-C16)&gt;=0),SQRT((B16-B15)^2+(C16-C15)^2),IF((L15-C15)&gt;0,SQRT(((B15+((L15-C15)/((L15-C15)-(L15-C16)))*(B16-B15))-B15)^2+(L15-C15)^2),SQRT((B16-(B15+((L15-C15)/((L15-C15)-(L15-C16)))*(B16-B15)))^2+(L15-C16)^2)))))+(IF(AND((L15-C16)&lt;=0,(L15-C17)&lt;=0),0,IF(AND((L15-C16)&gt;=0,(L15-C17)&gt;=0),SQRT((B17-B16)^2+(C17-C16)^2),IF((L15-C16)&gt;0,SQRT(((B16+((L15-C16)/((L15-C16)-(L15-C17)))*(B17-B16))-B16)^2+(L15-C16)^2),SQRT((B17-(B16+((L15-C16)/((L15-C16)-(L15-C17)))*(B17-B16)))^2+(L15-C17)^2)))))+(IF(AND((L15-C17)&lt;=0,(L15-C18)&lt;=0),0,IF(AND((L15-C17)&gt;=0,(L15-C18)&gt;=0),SQRT((B18-B17)^2+(C18-C17)^2),IF((L15-C17)&gt;0,SQRT(((B17+((L15-C17)/((L15-C17)-(L15-C18)))*(B18-B17))-B17)^2+(L15-C17)^2),SQRT((B18-(B17+((L15-C17)/((L15-C17)-(L15-C18)))*(B18-B17)))^2+(L15-C18)^2)))))+(IF(AND((L15-C18)&lt;=0,(L15-C19)&lt;=0),0,IF(AND((L15-C18)&gt;=0,(L15-C19)&gt;=0),SQRT((B19-B18)^2+(C19-C18)^2),IF((L15-C18)&gt;0,SQRT(((B18+((L15-C18)/((L15-C18)-(L15-C19)))*(B19-B18))-B18)^2+(L15-C18)^2),SQRT((B19-(B18+((L15-C18)/((L15-C18)-(L15-C19)))*(B19-B18)))^2+(L15-C19)^2)))))+(IF(AND((L15-C19)&lt;=0,(L15-C20)&lt;=0),0,IF(AND((L15-C19)&gt;=0,(L15-C20)&gt;=0),SQRT((B20-B19)^2+(C20-C19)^2),IF((L15-C19)&gt;0,SQRT(((B19+((L15-C19)/((L15-C19)-(L15-C20)))*(B20-B19))-B19)^2+(L15-C19)^2),SQRT((B20-(B19+((L15-C19)/((L15-C19)-(L15-C20)))*(B20-B19)))^2+(L15-C20)^2)))))</f>
        <v/>
      </c>
      <c r="O15">
        <f>IF(OR($B$6&lt;=0,M15&lt;=0,N15&lt;=0,$B$4&lt;=0),0,(1/$B$6)*M15*((M15/N15)^(2/3))*SQRT($B$4))</f>
        <v/>
      </c>
    </row>
    <row r="16">
      <c r="A16" s="5" t="n">
        <v>8</v>
      </c>
      <c r="B16" s="5" t="n">
        <v>18.878</v>
      </c>
      <c r="C16" s="5" t="n">
        <v>34.59</v>
      </c>
      <c r="D16" s="5" t="inlineStr">
        <is>
          <t>FOND</t>
        </is>
      </c>
      <c r="E16" s="5">
        <f>$B$2-C16</f>
        <v/>
      </c>
      <c r="F16" s="5">
        <f>IF(AND(($B$2-C16)&lt;=0,($B$2-C17)&lt;=0),0,IF(AND(($B$2-C16)&gt;=0,($B$2-C17)&gt;=0),0.5*(($B$2-C16)+($B$2-C17))*ABS(B17-B16),IF(($B$2-C16)&gt;0,0.5*($B$2-C16)*ABS((B16+(($B$2-C16)/(($B$2-C16)-($B$2-C17)))*(B17-B16))-B16),0.5*($B$2-C17)*ABS(B17-(B16+(($B$2-C16)/(($B$2-C16)-($B$2-C17)))*(B17-B16))))))</f>
        <v/>
      </c>
      <c r="G16" s="5">
        <f>IF(AND(($B$2-C16)&lt;=0,($B$2-C17)&lt;=0),0,IF(AND(($B$2-C16)&gt;=0,($B$2-C17)&gt;=0),SQRT((B17-B16)^2+(C17-C16)^2),IF(($B$2-C16)&gt;0,SQRT(((B16+(($B$2-C16)/(($B$2-C16)-($B$2-C17)))*(B17-B16))-B16)^2+($B$2-C16)^2),SQRT((B17-(B16+(($B$2-C16)/(($B$2-C16)-($B$2-C17)))*(B17-B16)))^2+($B$2-C17)^2))))</f>
        <v/>
      </c>
      <c r="I16" t="n">
        <v>8</v>
      </c>
      <c r="J16">
        <f>IF(O15&lt;$B$5,L15,J15)</f>
        <v/>
      </c>
      <c r="K16">
        <f>IF(O15&lt;$B$5,K15,L15)</f>
        <v/>
      </c>
      <c r="L16">
        <f>(J16+K16)/2</f>
        <v/>
      </c>
      <c r="M16">
        <f>(IF(AND((L16-C9)&lt;=0,(L16-C10)&lt;=0),0,IF(AND((L16-C9)&gt;=0,(L16-C10)&gt;=0),0.5*((L16-C9)+(L16-C10))*ABS(B10-B9),IF((L16-C9)&gt;0,0.5*(L16-C9)*ABS((B9+((L16-C9)/((L16-C9)-(L16-C10)))*(B10-B9))-B9),0.5*(L16-C10)*ABS(B10-(B9+((L16-C9)/((L16-C9)-(L16-C10)))*(B10-B9)))))))+(IF(AND((L16-C10)&lt;=0,(L16-C11)&lt;=0),0,IF(AND((L16-C10)&gt;=0,(L16-C11)&gt;=0),0.5*((L16-C10)+(L16-C11))*ABS(B11-B10),IF((L16-C10)&gt;0,0.5*(L16-C10)*ABS((B10+((L16-C10)/((L16-C10)-(L16-C11)))*(B11-B10))-B10),0.5*(L16-C11)*ABS(B11-(B10+((L16-C10)/((L16-C10)-(L16-C11)))*(B11-B10)))))))+(IF(AND((L16-C11)&lt;=0,(L16-C12)&lt;=0),0,IF(AND((L16-C11)&gt;=0,(L16-C12)&gt;=0),0.5*((L16-C11)+(L16-C12))*ABS(B12-B11),IF((L16-C11)&gt;0,0.5*(L16-C11)*ABS((B11+((L16-C11)/((L16-C11)-(L16-C12)))*(B12-B11))-B11),0.5*(L16-C12)*ABS(B12-(B11+((L16-C11)/((L16-C11)-(L16-C12)))*(B12-B11)))))))+(IF(AND((L16-C12)&lt;=0,(L16-C13)&lt;=0),0,IF(AND((L16-C12)&gt;=0,(L16-C13)&gt;=0),0.5*((L16-C12)+(L16-C13))*ABS(B13-B12),IF((L16-C12)&gt;0,0.5*(L16-C12)*ABS((B12+((L16-C12)/((L16-C12)-(L16-C13)))*(B13-B12))-B12),0.5*(L16-C13)*ABS(B13-(B12+((L16-C12)/((L16-C12)-(L16-C13)))*(B13-B12)))))))+(IF(AND((L16-C13)&lt;=0,(L16-C14)&lt;=0),0,IF(AND((L16-C13)&gt;=0,(L16-C14)&gt;=0),0.5*((L16-C13)+(L16-C14))*ABS(B14-B13),IF((L16-C13)&gt;0,0.5*(L16-C13)*ABS((B13+((L16-C13)/((L16-C13)-(L16-C14)))*(B14-B13))-B13),0.5*(L16-C14)*ABS(B14-(B13+((L16-C13)/((L16-C13)-(L16-C14)))*(B14-B13)))))))+(IF(AND((L16-C14)&lt;=0,(L16-C15)&lt;=0),0,IF(AND((L16-C14)&gt;=0,(L16-C15)&gt;=0),0.5*((L16-C14)+(L16-C15))*ABS(B15-B14),IF((L16-C14)&gt;0,0.5*(L16-C14)*ABS((B14+((L16-C14)/((L16-C14)-(L16-C15)))*(B15-B14))-B14),0.5*(L16-C15)*ABS(B15-(B14+((L16-C14)/((L16-C14)-(L16-C15)))*(B15-B14)))))))+(IF(AND((L16-C15)&lt;=0,(L16-C16)&lt;=0),0,IF(AND((L16-C15)&gt;=0,(L16-C16)&gt;=0),0.5*((L16-C15)+(L16-C16))*ABS(B16-B15),IF((L16-C15)&gt;0,0.5*(L16-C15)*ABS((B15+((L16-C15)/((L16-C15)-(L16-C16)))*(B16-B15))-B15),0.5*(L16-C16)*ABS(B16-(B15+((L16-C15)/((L16-C15)-(L16-C16)))*(B16-B15)))))))+(IF(AND((L16-C16)&lt;=0,(L16-C17)&lt;=0),0,IF(AND((L16-C16)&gt;=0,(L16-C17)&gt;=0),0.5*((L16-C16)+(L16-C17))*ABS(B17-B16),IF((L16-C16)&gt;0,0.5*(L16-C16)*ABS((B16+((L16-C16)/((L16-C16)-(L16-C17)))*(B17-B16))-B16),0.5*(L16-C17)*ABS(B17-(B16+((L16-C16)/((L16-C16)-(L16-C17)))*(B17-B16)))))))+(IF(AND((L16-C17)&lt;=0,(L16-C18)&lt;=0),0,IF(AND((L16-C17)&gt;=0,(L16-C18)&gt;=0),0.5*((L16-C17)+(L16-C18))*ABS(B18-B17),IF((L16-C17)&gt;0,0.5*(L16-C17)*ABS((B17+((L16-C17)/((L16-C17)-(L16-C18)))*(B18-B17))-B17),0.5*(L16-C18)*ABS(B18-(B17+((L16-C17)/((L16-C17)-(L16-C18)))*(B18-B17)))))))+(IF(AND((L16-C18)&lt;=0,(L16-C19)&lt;=0),0,IF(AND((L16-C18)&gt;=0,(L16-C19)&gt;=0),0.5*((L16-C18)+(L16-C19))*ABS(B19-B18),IF((L16-C18)&gt;0,0.5*(L16-C18)*ABS((B18+((L16-C18)/((L16-C18)-(L16-C19)))*(B19-B18))-B18),0.5*(L16-C19)*ABS(B19-(B18+((L16-C18)/((L16-C18)-(L16-C19)))*(B19-B18)))))))+(IF(AND((L16-C19)&lt;=0,(L16-C20)&lt;=0),0,IF(AND((L16-C19)&gt;=0,(L16-C20)&gt;=0),0.5*((L16-C19)+(L16-C20))*ABS(B20-B19),IF((L16-C19)&gt;0,0.5*(L16-C19)*ABS((B19+((L16-C19)/((L16-C19)-(L16-C20)))*(B20-B19))-B19),0.5*(L16-C20)*ABS(B20-(B19+((L16-C19)/((L16-C19)-(L16-C20)))*(B20-B19)))))))</f>
        <v/>
      </c>
      <c r="N16">
        <f>(IF(AND((L16-C9)&lt;=0,(L16-C10)&lt;=0),0,IF(AND((L16-C9)&gt;=0,(L16-C10)&gt;=0),SQRT((B10-B9)^2+(C10-C9)^2),IF((L16-C9)&gt;0,SQRT(((B9+((L16-C9)/((L16-C9)-(L16-C10)))*(B10-B9))-B9)^2+(L16-C9)^2),SQRT((B10-(B9+((L16-C9)/((L16-C9)-(L16-C10)))*(B10-B9)))^2+(L16-C10)^2)))))+(IF(AND((L16-C10)&lt;=0,(L16-C11)&lt;=0),0,IF(AND((L16-C10)&gt;=0,(L16-C11)&gt;=0),SQRT((B11-B10)^2+(C11-C10)^2),IF((L16-C10)&gt;0,SQRT(((B10+((L16-C10)/((L16-C10)-(L16-C11)))*(B11-B10))-B10)^2+(L16-C10)^2),SQRT((B11-(B10+((L16-C10)/((L16-C10)-(L16-C11)))*(B11-B10)))^2+(L16-C11)^2)))))+(IF(AND((L16-C11)&lt;=0,(L16-C12)&lt;=0),0,IF(AND((L16-C11)&gt;=0,(L16-C12)&gt;=0),SQRT((B12-B11)^2+(C12-C11)^2),IF((L16-C11)&gt;0,SQRT(((B11+((L16-C11)/((L16-C11)-(L16-C12)))*(B12-B11))-B11)^2+(L16-C11)^2),SQRT((B12-(B11+((L16-C11)/((L16-C11)-(L16-C12)))*(B12-B11)))^2+(L16-C12)^2)))))+(IF(AND((L16-C12)&lt;=0,(L16-C13)&lt;=0),0,IF(AND((L16-C12)&gt;=0,(L16-C13)&gt;=0),SQRT((B13-B12)^2+(C13-C12)^2),IF((L16-C12)&gt;0,SQRT(((B12+((L16-C12)/((L16-C12)-(L16-C13)))*(B13-B12))-B12)^2+(L16-C12)^2),SQRT((B13-(B12+((L16-C12)/((L16-C12)-(L16-C13)))*(B13-B12)))^2+(L16-C13)^2)))))+(IF(AND((L16-C13)&lt;=0,(L16-C14)&lt;=0),0,IF(AND((L16-C13)&gt;=0,(L16-C14)&gt;=0),SQRT((B14-B13)^2+(C14-C13)^2),IF((L16-C13)&gt;0,SQRT(((B13+((L16-C13)/((L16-C13)-(L16-C14)))*(B14-B13))-B13)^2+(L16-C13)^2),SQRT((B14-(B13+((L16-C13)/((L16-C13)-(L16-C14)))*(B14-B13)))^2+(L16-C14)^2)))))+(IF(AND((L16-C14)&lt;=0,(L16-C15)&lt;=0),0,IF(AND((L16-C14)&gt;=0,(L16-C15)&gt;=0),SQRT((B15-B14)^2+(C15-C14)^2),IF((L16-C14)&gt;0,SQRT(((B14+((L16-C14)/((L16-C14)-(L16-C15)))*(B15-B14))-B14)^2+(L16-C14)^2),SQRT((B15-(B14+((L16-C14)/((L16-C14)-(L16-C15)))*(B15-B14)))^2+(L16-C15)^2)))))+(IF(AND((L16-C15)&lt;=0,(L16-C16)&lt;=0),0,IF(AND((L16-C15)&gt;=0,(L16-C16)&gt;=0),SQRT((B16-B15)^2+(C16-C15)^2),IF((L16-C15)&gt;0,SQRT(((B15+((L16-C15)/((L16-C15)-(L16-C16)))*(B16-B15))-B15)^2+(L16-C15)^2),SQRT((B16-(B15+((L16-C15)/((L16-C15)-(L16-C16)))*(B16-B15)))^2+(L16-C16)^2)))))+(IF(AND((L16-C16)&lt;=0,(L16-C17)&lt;=0),0,IF(AND((L16-C16)&gt;=0,(L16-C17)&gt;=0),SQRT((B17-B16)^2+(C17-C16)^2),IF((L16-C16)&gt;0,SQRT(((B16+((L16-C16)/((L16-C16)-(L16-C17)))*(B17-B16))-B16)^2+(L16-C16)^2),SQRT((B17-(B16+((L16-C16)/((L16-C16)-(L16-C17)))*(B17-B16)))^2+(L16-C17)^2)))))+(IF(AND((L16-C17)&lt;=0,(L16-C18)&lt;=0),0,IF(AND((L16-C17)&gt;=0,(L16-C18)&gt;=0),SQRT((B18-B17)^2+(C18-C17)^2),IF((L16-C17)&gt;0,SQRT(((B17+((L16-C17)/((L16-C17)-(L16-C18)))*(B18-B17))-B17)^2+(L16-C17)^2),SQRT((B18-(B17+((L16-C17)/((L16-C17)-(L16-C18)))*(B18-B17)))^2+(L16-C18)^2)))))+(IF(AND((L16-C18)&lt;=0,(L16-C19)&lt;=0),0,IF(AND((L16-C18)&gt;=0,(L16-C19)&gt;=0),SQRT((B19-B18)^2+(C19-C18)^2),IF((L16-C18)&gt;0,SQRT(((B18+((L16-C18)/((L16-C18)-(L16-C19)))*(B19-B18))-B18)^2+(L16-C18)^2),SQRT((B19-(B18+((L16-C18)/((L16-C18)-(L16-C19)))*(B19-B18)))^2+(L16-C19)^2)))))+(IF(AND((L16-C19)&lt;=0,(L16-C20)&lt;=0),0,IF(AND((L16-C19)&gt;=0,(L16-C20)&gt;=0),SQRT((B20-B19)^2+(C20-C19)^2),IF((L16-C19)&gt;0,SQRT(((B19+((L16-C19)/((L16-C19)-(L16-C20)))*(B20-B19))-B19)^2+(L16-C19)^2),SQRT((B20-(B19+((L16-C19)/((L16-C19)-(L16-C20)))*(B20-B19)))^2+(L16-C20)^2)))))</f>
        <v/>
      </c>
      <c r="O16">
        <f>IF(OR($B$6&lt;=0,M16&lt;=0,N16&lt;=0,$B$4&lt;=0),0,(1/$B$6)*M16*((M16/N16)^(2/3))*SQRT($B$4))</f>
        <v/>
      </c>
    </row>
    <row r="17">
      <c r="A17" s="5" t="n">
        <v>9</v>
      </c>
      <c r="B17" s="5" t="n">
        <v>20.643</v>
      </c>
      <c r="C17" s="5" t="n">
        <v>34.94</v>
      </c>
      <c r="D17" s="5" t="inlineStr">
        <is>
          <t>TAB</t>
        </is>
      </c>
      <c r="E17" s="5">
        <f>$B$2-C17</f>
        <v/>
      </c>
      <c r="F17" s="5">
        <f>IF(AND(($B$2-C17)&lt;=0,($B$2-C18)&lt;=0),0,IF(AND(($B$2-C17)&gt;=0,($B$2-C18)&gt;=0),0.5*(($B$2-C17)+($B$2-C18))*ABS(B18-B17),IF(($B$2-C17)&gt;0,0.5*($B$2-C17)*ABS((B17+(($B$2-C17)/(($B$2-C17)-($B$2-C18)))*(B18-B17))-B17),0.5*($B$2-C18)*ABS(B18-(B17+(($B$2-C17)/(($B$2-C17)-($B$2-C18)))*(B18-B17))))))</f>
        <v/>
      </c>
      <c r="G17" s="5">
        <f>IF(AND(($B$2-C17)&lt;=0,($B$2-C18)&lt;=0),0,IF(AND(($B$2-C17)&gt;=0,($B$2-C18)&gt;=0),SQRT((B18-B17)^2+(C18-C17)^2),IF(($B$2-C17)&gt;0,SQRT(((B17+(($B$2-C17)/(($B$2-C17)-($B$2-C18)))*(B18-B17))-B17)^2+($B$2-C17)^2),SQRT((B18-(B17+(($B$2-C17)/(($B$2-C17)-($B$2-C18)))*(B18-B17)))^2+($B$2-C18)^2))))</f>
        <v/>
      </c>
      <c r="I17" t="n">
        <v>9</v>
      </c>
      <c r="J17">
        <f>IF(O16&lt;$B$5,L16,J16)</f>
        <v/>
      </c>
      <c r="K17">
        <f>IF(O16&lt;$B$5,K16,L16)</f>
        <v/>
      </c>
      <c r="L17">
        <f>(J17+K17)/2</f>
        <v/>
      </c>
      <c r="M17">
        <f>(IF(AND((L17-C9)&lt;=0,(L17-C10)&lt;=0),0,IF(AND((L17-C9)&gt;=0,(L17-C10)&gt;=0),0.5*((L17-C9)+(L17-C10))*ABS(B10-B9),IF((L17-C9)&gt;0,0.5*(L17-C9)*ABS((B9+((L17-C9)/((L17-C9)-(L17-C10)))*(B10-B9))-B9),0.5*(L17-C10)*ABS(B10-(B9+((L17-C9)/((L17-C9)-(L17-C10)))*(B10-B9)))))))+(IF(AND((L17-C10)&lt;=0,(L17-C11)&lt;=0),0,IF(AND((L17-C10)&gt;=0,(L17-C11)&gt;=0),0.5*((L17-C10)+(L17-C11))*ABS(B11-B10),IF((L17-C10)&gt;0,0.5*(L17-C10)*ABS((B10+((L17-C10)/((L17-C10)-(L17-C11)))*(B11-B10))-B10),0.5*(L17-C11)*ABS(B11-(B10+((L17-C10)/((L17-C10)-(L17-C11)))*(B11-B10)))))))+(IF(AND((L17-C11)&lt;=0,(L17-C12)&lt;=0),0,IF(AND((L17-C11)&gt;=0,(L17-C12)&gt;=0),0.5*((L17-C11)+(L17-C12))*ABS(B12-B11),IF((L17-C11)&gt;0,0.5*(L17-C11)*ABS((B11+((L17-C11)/((L17-C11)-(L17-C12)))*(B12-B11))-B11),0.5*(L17-C12)*ABS(B12-(B11+((L17-C11)/((L17-C11)-(L17-C12)))*(B12-B11)))))))+(IF(AND((L17-C12)&lt;=0,(L17-C13)&lt;=0),0,IF(AND((L17-C12)&gt;=0,(L17-C13)&gt;=0),0.5*((L17-C12)+(L17-C13))*ABS(B13-B12),IF((L17-C12)&gt;0,0.5*(L17-C12)*ABS((B12+((L17-C12)/((L17-C12)-(L17-C13)))*(B13-B12))-B12),0.5*(L17-C13)*ABS(B13-(B12+((L17-C12)/((L17-C12)-(L17-C13)))*(B13-B12)))))))+(IF(AND((L17-C13)&lt;=0,(L17-C14)&lt;=0),0,IF(AND((L17-C13)&gt;=0,(L17-C14)&gt;=0),0.5*((L17-C13)+(L17-C14))*ABS(B14-B13),IF((L17-C13)&gt;0,0.5*(L17-C13)*ABS((B13+((L17-C13)/((L17-C13)-(L17-C14)))*(B14-B13))-B13),0.5*(L17-C14)*ABS(B14-(B13+((L17-C13)/((L17-C13)-(L17-C14)))*(B14-B13)))))))+(IF(AND((L17-C14)&lt;=0,(L17-C15)&lt;=0),0,IF(AND((L17-C14)&gt;=0,(L17-C15)&gt;=0),0.5*((L17-C14)+(L17-C15))*ABS(B15-B14),IF((L17-C14)&gt;0,0.5*(L17-C14)*ABS((B14+((L17-C14)/((L17-C14)-(L17-C15)))*(B15-B14))-B14),0.5*(L17-C15)*ABS(B15-(B14+((L17-C14)/((L17-C14)-(L17-C15)))*(B15-B14)))))))+(IF(AND((L17-C15)&lt;=0,(L17-C16)&lt;=0),0,IF(AND((L17-C15)&gt;=0,(L17-C16)&gt;=0),0.5*((L17-C15)+(L17-C16))*ABS(B16-B15),IF((L17-C15)&gt;0,0.5*(L17-C15)*ABS((B15+((L17-C15)/((L17-C15)-(L17-C16)))*(B16-B15))-B15),0.5*(L17-C16)*ABS(B16-(B15+((L17-C15)/((L17-C15)-(L17-C16)))*(B16-B15)))))))+(IF(AND((L17-C16)&lt;=0,(L17-C17)&lt;=0),0,IF(AND((L17-C16)&gt;=0,(L17-C17)&gt;=0),0.5*((L17-C16)+(L17-C17))*ABS(B17-B16),IF((L17-C16)&gt;0,0.5*(L17-C16)*ABS((B16+((L17-C16)/((L17-C16)-(L17-C17)))*(B17-B16))-B16),0.5*(L17-C17)*ABS(B17-(B16+((L17-C16)/((L17-C16)-(L17-C17)))*(B17-B16)))))))+(IF(AND((L17-C17)&lt;=0,(L17-C18)&lt;=0),0,IF(AND((L17-C17)&gt;=0,(L17-C18)&gt;=0),0.5*((L17-C17)+(L17-C18))*ABS(B18-B17),IF((L17-C17)&gt;0,0.5*(L17-C17)*ABS((B17+((L17-C17)/((L17-C17)-(L17-C18)))*(B18-B17))-B17),0.5*(L17-C18)*ABS(B18-(B17+((L17-C17)/((L17-C17)-(L17-C18)))*(B18-B17)))))))+(IF(AND((L17-C18)&lt;=0,(L17-C19)&lt;=0),0,IF(AND((L17-C18)&gt;=0,(L17-C19)&gt;=0),0.5*((L17-C18)+(L17-C19))*ABS(B19-B18),IF((L17-C18)&gt;0,0.5*(L17-C18)*ABS((B18+((L17-C18)/((L17-C18)-(L17-C19)))*(B19-B18))-B18),0.5*(L17-C19)*ABS(B19-(B18+((L17-C18)/((L17-C18)-(L17-C19)))*(B19-B18)))))))+(IF(AND((L17-C19)&lt;=0,(L17-C20)&lt;=0),0,IF(AND((L17-C19)&gt;=0,(L17-C20)&gt;=0),0.5*((L17-C19)+(L17-C20))*ABS(B20-B19),IF((L17-C19)&gt;0,0.5*(L17-C19)*ABS((B19+((L17-C19)/((L17-C19)-(L17-C20)))*(B20-B19))-B19),0.5*(L17-C20)*ABS(B20-(B19+((L17-C19)/((L17-C19)-(L17-C20)))*(B20-B19)))))))</f>
        <v/>
      </c>
      <c r="N17">
        <f>(IF(AND((L17-C9)&lt;=0,(L17-C10)&lt;=0),0,IF(AND((L17-C9)&gt;=0,(L17-C10)&gt;=0),SQRT((B10-B9)^2+(C10-C9)^2),IF((L17-C9)&gt;0,SQRT(((B9+((L17-C9)/((L17-C9)-(L17-C10)))*(B10-B9))-B9)^2+(L17-C9)^2),SQRT((B10-(B9+((L17-C9)/((L17-C9)-(L17-C10)))*(B10-B9)))^2+(L17-C10)^2)))))+(IF(AND((L17-C10)&lt;=0,(L17-C11)&lt;=0),0,IF(AND((L17-C10)&gt;=0,(L17-C11)&gt;=0),SQRT((B11-B10)^2+(C11-C10)^2),IF((L17-C10)&gt;0,SQRT(((B10+((L17-C10)/((L17-C10)-(L17-C11)))*(B11-B10))-B10)^2+(L17-C10)^2),SQRT((B11-(B10+((L17-C10)/((L17-C10)-(L17-C11)))*(B11-B10)))^2+(L17-C11)^2)))))+(IF(AND((L17-C11)&lt;=0,(L17-C12)&lt;=0),0,IF(AND((L17-C11)&gt;=0,(L17-C12)&gt;=0),SQRT((B12-B11)^2+(C12-C11)^2),IF((L17-C11)&gt;0,SQRT(((B11+((L17-C11)/((L17-C11)-(L17-C12)))*(B12-B11))-B11)^2+(L17-C11)^2),SQRT((B12-(B11+((L17-C11)/((L17-C11)-(L17-C12)))*(B12-B11)))^2+(L17-C12)^2)))))+(IF(AND((L17-C12)&lt;=0,(L17-C13)&lt;=0),0,IF(AND((L17-C12)&gt;=0,(L17-C13)&gt;=0),SQRT((B13-B12)^2+(C13-C12)^2),IF((L17-C12)&gt;0,SQRT(((B12+((L17-C12)/((L17-C12)-(L17-C13)))*(B13-B12))-B12)^2+(L17-C12)^2),SQRT((B13-(B12+((L17-C12)/((L17-C12)-(L17-C13)))*(B13-B12)))^2+(L17-C13)^2)))))+(IF(AND((L17-C13)&lt;=0,(L17-C14)&lt;=0),0,IF(AND((L17-C13)&gt;=0,(L17-C14)&gt;=0),SQRT((B14-B13)^2+(C14-C13)^2),IF((L17-C13)&gt;0,SQRT(((B13+((L17-C13)/((L17-C13)-(L17-C14)))*(B14-B13))-B13)^2+(L17-C13)^2),SQRT((B14-(B13+((L17-C13)/((L17-C13)-(L17-C14)))*(B14-B13)))^2+(L17-C14)^2)))))+(IF(AND((L17-C14)&lt;=0,(L17-C15)&lt;=0),0,IF(AND((L17-C14)&gt;=0,(L17-C15)&gt;=0),SQRT((B15-B14)^2+(C15-C14)^2),IF((L17-C14)&gt;0,SQRT(((B14+((L17-C14)/((L17-C14)-(L17-C15)))*(B15-B14))-B14)^2+(L17-C14)^2),SQRT((B15-(B14+((L17-C14)/((L17-C14)-(L17-C15)))*(B15-B14)))^2+(L17-C15)^2)))))+(IF(AND((L17-C15)&lt;=0,(L17-C16)&lt;=0),0,IF(AND((L17-C15)&gt;=0,(L17-C16)&gt;=0),SQRT((B16-B15)^2+(C16-C15)^2),IF((L17-C15)&gt;0,SQRT(((B15+((L17-C15)/((L17-C15)-(L17-C16)))*(B16-B15))-B15)^2+(L17-C15)^2),SQRT((B16-(B15+((L17-C15)/((L17-C15)-(L17-C16)))*(B16-B15)))^2+(L17-C16)^2)))))+(IF(AND((L17-C16)&lt;=0,(L17-C17)&lt;=0),0,IF(AND((L17-C16)&gt;=0,(L17-C17)&gt;=0),SQRT((B17-B16)^2+(C17-C16)^2),IF((L17-C16)&gt;0,SQRT(((B16+((L17-C16)/((L17-C16)-(L17-C17)))*(B17-B16))-B16)^2+(L17-C16)^2),SQRT((B17-(B16+((L17-C16)/((L17-C16)-(L17-C17)))*(B17-B16)))^2+(L17-C17)^2)))))+(IF(AND((L17-C17)&lt;=0,(L17-C18)&lt;=0),0,IF(AND((L17-C17)&gt;=0,(L17-C18)&gt;=0),SQRT((B18-B17)^2+(C18-C17)^2),IF((L17-C17)&gt;0,SQRT(((B17+((L17-C17)/((L17-C17)-(L17-C18)))*(B18-B17))-B17)^2+(L17-C17)^2),SQRT((B18-(B17+((L17-C17)/((L17-C17)-(L17-C18)))*(B18-B17)))^2+(L17-C18)^2)))))+(IF(AND((L17-C18)&lt;=0,(L17-C19)&lt;=0),0,IF(AND((L17-C18)&gt;=0,(L17-C19)&gt;=0),SQRT((B19-B18)^2+(C19-C18)^2),IF((L17-C18)&gt;0,SQRT(((B18+((L17-C18)/((L17-C18)-(L17-C19)))*(B19-B18))-B18)^2+(L17-C18)^2),SQRT((B19-(B18+((L17-C18)/((L17-C18)-(L17-C19)))*(B19-B18)))^2+(L17-C19)^2)))))+(IF(AND((L17-C19)&lt;=0,(L17-C20)&lt;=0),0,IF(AND((L17-C19)&gt;=0,(L17-C20)&gt;=0),SQRT((B20-B19)^2+(C20-C19)^2),IF((L17-C19)&gt;0,SQRT(((B19+((L17-C19)/((L17-C19)-(L17-C20)))*(B20-B19))-B19)^2+(L17-C19)^2),SQRT((B20-(B19+((L17-C19)/((L17-C19)-(L17-C20)))*(B20-B19)))^2+(L17-C20)^2)))))</f>
        <v/>
      </c>
      <c r="O17">
        <f>IF(OR($B$6&lt;=0,M17&lt;=0,N17&lt;=0,$B$4&lt;=0),0,(1/$B$6)*M17*((M17/N17)^(2/3))*SQRT($B$4))</f>
        <v/>
      </c>
    </row>
    <row r="18">
      <c r="A18" s="5" t="n">
        <v>10</v>
      </c>
      <c r="B18" s="5" t="n">
        <v>21.275</v>
      </c>
      <c r="C18" s="5" t="n">
        <v>35.77</v>
      </c>
      <c r="D18" s="5" t="inlineStr">
        <is>
          <t>TN</t>
        </is>
      </c>
      <c r="E18" s="5">
        <f>$B$2-C18</f>
        <v/>
      </c>
      <c r="F18" s="5">
        <f>IF(AND(($B$2-C18)&lt;=0,($B$2-C19)&lt;=0),0,IF(AND(($B$2-C18)&gt;=0,($B$2-C19)&gt;=0),0.5*(($B$2-C18)+($B$2-C19))*ABS(B19-B18),IF(($B$2-C18)&gt;0,0.5*($B$2-C18)*ABS((B18+(($B$2-C18)/(($B$2-C18)-($B$2-C19)))*(B19-B18))-B18),0.5*($B$2-C19)*ABS(B19-(B18+(($B$2-C18)/(($B$2-C18)-($B$2-C19)))*(B19-B18))))))</f>
        <v/>
      </c>
      <c r="G18" s="5">
        <f>IF(AND(($B$2-C18)&lt;=0,($B$2-C19)&lt;=0),0,IF(AND(($B$2-C18)&gt;=0,($B$2-C19)&gt;=0),SQRT((B19-B18)^2+(C19-C18)^2),IF(($B$2-C18)&gt;0,SQRT(((B18+(($B$2-C18)/(($B$2-C18)-($B$2-C19)))*(B19-B18))-B18)^2+($B$2-C18)^2),SQRT((B19-(B18+(($B$2-C18)/(($B$2-C18)-($B$2-C19)))*(B19-B18)))^2+($B$2-C19)^2))))</f>
        <v/>
      </c>
      <c r="I18" t="n">
        <v>10</v>
      </c>
      <c r="J18">
        <f>IF(O17&lt;$B$5,L17,J17)</f>
        <v/>
      </c>
      <c r="K18">
        <f>IF(O17&lt;$B$5,K17,L17)</f>
        <v/>
      </c>
      <c r="L18">
        <f>(J18+K18)/2</f>
        <v/>
      </c>
      <c r="M18">
        <f>(IF(AND((L18-C9)&lt;=0,(L18-C10)&lt;=0),0,IF(AND((L18-C9)&gt;=0,(L18-C10)&gt;=0),0.5*((L18-C9)+(L18-C10))*ABS(B10-B9),IF((L18-C9)&gt;0,0.5*(L18-C9)*ABS((B9+((L18-C9)/((L18-C9)-(L18-C10)))*(B10-B9))-B9),0.5*(L18-C10)*ABS(B10-(B9+((L18-C9)/((L18-C9)-(L18-C10)))*(B10-B9)))))))+(IF(AND((L18-C10)&lt;=0,(L18-C11)&lt;=0),0,IF(AND((L18-C10)&gt;=0,(L18-C11)&gt;=0),0.5*((L18-C10)+(L18-C11))*ABS(B11-B10),IF((L18-C10)&gt;0,0.5*(L18-C10)*ABS((B10+((L18-C10)/((L18-C10)-(L18-C11)))*(B11-B10))-B10),0.5*(L18-C11)*ABS(B11-(B10+((L18-C10)/((L18-C10)-(L18-C11)))*(B11-B10)))))))+(IF(AND((L18-C11)&lt;=0,(L18-C12)&lt;=0),0,IF(AND((L18-C11)&gt;=0,(L18-C12)&gt;=0),0.5*((L18-C11)+(L18-C12))*ABS(B12-B11),IF((L18-C11)&gt;0,0.5*(L18-C11)*ABS((B11+((L18-C11)/((L18-C11)-(L18-C12)))*(B12-B11))-B11),0.5*(L18-C12)*ABS(B12-(B11+((L18-C11)/((L18-C11)-(L18-C12)))*(B12-B11)))))))+(IF(AND((L18-C12)&lt;=0,(L18-C13)&lt;=0),0,IF(AND((L18-C12)&gt;=0,(L18-C13)&gt;=0),0.5*((L18-C12)+(L18-C13))*ABS(B13-B12),IF((L18-C12)&gt;0,0.5*(L18-C12)*ABS((B12+((L18-C12)/((L18-C12)-(L18-C13)))*(B13-B12))-B12),0.5*(L18-C13)*ABS(B13-(B12+((L18-C12)/((L18-C12)-(L18-C13)))*(B13-B12)))))))+(IF(AND((L18-C13)&lt;=0,(L18-C14)&lt;=0),0,IF(AND((L18-C13)&gt;=0,(L18-C14)&gt;=0),0.5*((L18-C13)+(L18-C14))*ABS(B14-B13),IF((L18-C13)&gt;0,0.5*(L18-C13)*ABS((B13+((L18-C13)/((L18-C13)-(L18-C14)))*(B14-B13))-B13),0.5*(L18-C14)*ABS(B14-(B13+((L18-C13)/((L18-C13)-(L18-C14)))*(B14-B13)))))))+(IF(AND((L18-C14)&lt;=0,(L18-C15)&lt;=0),0,IF(AND((L18-C14)&gt;=0,(L18-C15)&gt;=0),0.5*((L18-C14)+(L18-C15))*ABS(B15-B14),IF((L18-C14)&gt;0,0.5*(L18-C14)*ABS((B14+((L18-C14)/((L18-C14)-(L18-C15)))*(B15-B14))-B14),0.5*(L18-C15)*ABS(B15-(B14+((L18-C14)/((L18-C14)-(L18-C15)))*(B15-B14)))))))+(IF(AND((L18-C15)&lt;=0,(L18-C16)&lt;=0),0,IF(AND((L18-C15)&gt;=0,(L18-C16)&gt;=0),0.5*((L18-C15)+(L18-C16))*ABS(B16-B15),IF((L18-C15)&gt;0,0.5*(L18-C15)*ABS((B15+((L18-C15)/((L18-C15)-(L18-C16)))*(B16-B15))-B15),0.5*(L18-C16)*ABS(B16-(B15+((L18-C15)/((L18-C15)-(L18-C16)))*(B16-B15)))))))+(IF(AND((L18-C16)&lt;=0,(L18-C17)&lt;=0),0,IF(AND((L18-C16)&gt;=0,(L18-C17)&gt;=0),0.5*((L18-C16)+(L18-C17))*ABS(B17-B16),IF((L18-C16)&gt;0,0.5*(L18-C16)*ABS((B16+((L18-C16)/((L18-C16)-(L18-C17)))*(B17-B16))-B16),0.5*(L18-C17)*ABS(B17-(B16+((L18-C16)/((L18-C16)-(L18-C17)))*(B17-B16)))))))+(IF(AND((L18-C17)&lt;=0,(L18-C18)&lt;=0),0,IF(AND((L18-C17)&gt;=0,(L18-C18)&gt;=0),0.5*((L18-C17)+(L18-C18))*ABS(B18-B17),IF((L18-C17)&gt;0,0.5*(L18-C17)*ABS((B17+((L18-C17)/((L18-C17)-(L18-C18)))*(B18-B17))-B17),0.5*(L18-C18)*ABS(B18-(B17+((L18-C17)/((L18-C17)-(L18-C18)))*(B18-B17)))))))+(IF(AND((L18-C18)&lt;=0,(L18-C19)&lt;=0),0,IF(AND((L18-C18)&gt;=0,(L18-C19)&gt;=0),0.5*((L18-C18)+(L18-C19))*ABS(B19-B18),IF((L18-C18)&gt;0,0.5*(L18-C18)*ABS((B18+((L18-C18)/((L18-C18)-(L18-C19)))*(B19-B18))-B18),0.5*(L18-C19)*ABS(B19-(B18+((L18-C18)/((L18-C18)-(L18-C19)))*(B19-B18)))))))+(IF(AND((L18-C19)&lt;=0,(L18-C20)&lt;=0),0,IF(AND((L18-C19)&gt;=0,(L18-C20)&gt;=0),0.5*((L18-C19)+(L18-C20))*ABS(B20-B19),IF((L18-C19)&gt;0,0.5*(L18-C19)*ABS((B19+((L18-C19)/((L18-C19)-(L18-C20)))*(B20-B19))-B19),0.5*(L18-C20)*ABS(B20-(B19+((L18-C19)/((L18-C19)-(L18-C20)))*(B20-B19)))))))</f>
        <v/>
      </c>
      <c r="N18">
        <f>(IF(AND((L18-C9)&lt;=0,(L18-C10)&lt;=0),0,IF(AND((L18-C9)&gt;=0,(L18-C10)&gt;=0),SQRT((B10-B9)^2+(C10-C9)^2),IF((L18-C9)&gt;0,SQRT(((B9+((L18-C9)/((L18-C9)-(L18-C10)))*(B10-B9))-B9)^2+(L18-C9)^2),SQRT((B10-(B9+((L18-C9)/((L18-C9)-(L18-C10)))*(B10-B9)))^2+(L18-C10)^2)))))+(IF(AND((L18-C10)&lt;=0,(L18-C11)&lt;=0),0,IF(AND((L18-C10)&gt;=0,(L18-C11)&gt;=0),SQRT((B11-B10)^2+(C11-C10)^2),IF((L18-C10)&gt;0,SQRT(((B10+((L18-C10)/((L18-C10)-(L18-C11)))*(B11-B10))-B10)^2+(L18-C10)^2),SQRT((B11-(B10+((L18-C10)/((L18-C10)-(L18-C11)))*(B11-B10)))^2+(L18-C11)^2)))))+(IF(AND((L18-C11)&lt;=0,(L18-C12)&lt;=0),0,IF(AND((L18-C11)&gt;=0,(L18-C12)&gt;=0),SQRT((B12-B11)^2+(C12-C11)^2),IF((L18-C11)&gt;0,SQRT(((B11+((L18-C11)/((L18-C11)-(L18-C12)))*(B12-B11))-B11)^2+(L18-C11)^2),SQRT((B12-(B11+((L18-C11)/((L18-C11)-(L18-C12)))*(B12-B11)))^2+(L18-C12)^2)))))+(IF(AND((L18-C12)&lt;=0,(L18-C13)&lt;=0),0,IF(AND((L18-C12)&gt;=0,(L18-C13)&gt;=0),SQRT((B13-B12)^2+(C13-C12)^2),IF((L18-C12)&gt;0,SQRT(((B12+((L18-C12)/((L18-C12)-(L18-C13)))*(B13-B12))-B12)^2+(L18-C12)^2),SQRT((B13-(B12+((L18-C12)/((L18-C12)-(L18-C13)))*(B13-B12)))^2+(L18-C13)^2)))))+(IF(AND((L18-C13)&lt;=0,(L18-C14)&lt;=0),0,IF(AND((L18-C13)&gt;=0,(L18-C14)&gt;=0),SQRT((B14-B13)^2+(C14-C13)^2),IF((L18-C13)&gt;0,SQRT(((B13+((L18-C13)/((L18-C13)-(L18-C14)))*(B14-B13))-B13)^2+(L18-C13)^2),SQRT((B14-(B13+((L18-C13)/((L18-C13)-(L18-C14)))*(B14-B13)))^2+(L18-C14)^2)))))+(IF(AND((L18-C14)&lt;=0,(L18-C15)&lt;=0),0,IF(AND((L18-C14)&gt;=0,(L18-C15)&gt;=0),SQRT((B15-B14)^2+(C15-C14)^2),IF((L18-C14)&gt;0,SQRT(((B14+((L18-C14)/((L18-C14)-(L18-C15)))*(B15-B14))-B14)^2+(L18-C14)^2),SQRT((B15-(B14+((L18-C14)/((L18-C14)-(L18-C15)))*(B15-B14)))^2+(L18-C15)^2)))))+(IF(AND((L18-C15)&lt;=0,(L18-C16)&lt;=0),0,IF(AND((L18-C15)&gt;=0,(L18-C16)&gt;=0),SQRT((B16-B15)^2+(C16-C15)^2),IF((L18-C15)&gt;0,SQRT(((B15+((L18-C15)/((L18-C15)-(L18-C16)))*(B16-B15))-B15)^2+(L18-C15)^2),SQRT((B16-(B15+((L18-C15)/((L18-C15)-(L18-C16)))*(B16-B15)))^2+(L18-C16)^2)))))+(IF(AND((L18-C16)&lt;=0,(L18-C17)&lt;=0),0,IF(AND((L18-C16)&gt;=0,(L18-C17)&gt;=0),SQRT((B17-B16)^2+(C17-C16)^2),IF((L18-C16)&gt;0,SQRT(((B16+((L18-C16)/((L18-C16)-(L18-C17)))*(B17-B16))-B16)^2+(L18-C16)^2),SQRT((B17-(B16+((L18-C16)/((L18-C16)-(L18-C17)))*(B17-B16)))^2+(L18-C17)^2)))))+(IF(AND((L18-C17)&lt;=0,(L18-C18)&lt;=0),0,IF(AND((L18-C17)&gt;=0,(L18-C18)&gt;=0),SQRT((B18-B17)^2+(C18-C17)^2),IF((L18-C17)&gt;0,SQRT(((B17+((L18-C17)/((L18-C17)-(L18-C18)))*(B18-B17))-B17)^2+(L18-C17)^2),SQRT((B18-(B17+((L18-C17)/((L18-C17)-(L18-C18)))*(B18-B17)))^2+(L18-C18)^2)))))+(IF(AND((L18-C18)&lt;=0,(L18-C19)&lt;=0),0,IF(AND((L18-C18)&gt;=0,(L18-C19)&gt;=0),SQRT((B19-B18)^2+(C19-C18)^2),IF((L18-C18)&gt;0,SQRT(((B18+((L18-C18)/((L18-C18)-(L18-C19)))*(B19-B18))-B18)^2+(L18-C18)^2),SQRT((B19-(B18+((L18-C18)/((L18-C18)-(L18-C19)))*(B19-B18)))^2+(L18-C19)^2)))))+(IF(AND((L18-C19)&lt;=0,(L18-C20)&lt;=0),0,IF(AND((L18-C19)&gt;=0,(L18-C20)&gt;=0),SQRT((B20-B19)^2+(C20-C19)^2),IF((L18-C19)&gt;0,SQRT(((B19+((L18-C19)/((L18-C19)-(L18-C20)))*(B20-B19))-B19)^2+(L18-C19)^2),SQRT((B20-(B19+((L18-C19)/((L18-C19)-(L18-C20)))*(B20-B19)))^2+(L18-C20)^2)))))</f>
        <v/>
      </c>
      <c r="O18">
        <f>IF(OR($B$6&lt;=0,M18&lt;=0,N18&lt;=0,$B$4&lt;=0),0,(1/$B$6)*M18*((M18/N18)^(2/3))*SQRT($B$4))</f>
        <v/>
      </c>
    </row>
    <row r="19">
      <c r="A19" s="5" t="n">
        <v>11</v>
      </c>
      <c r="B19" s="5" t="n">
        <v>24.672</v>
      </c>
      <c r="C19" s="5" t="n">
        <v>37.9</v>
      </c>
      <c r="D19" s="5" t="inlineStr">
        <is>
          <t>TN</t>
        </is>
      </c>
      <c r="E19" s="5">
        <f>$B$2-C19</f>
        <v/>
      </c>
      <c r="F19" s="5">
        <f>IF(AND(($B$2-C19)&lt;=0,($B$2-C20)&lt;=0),0,IF(AND(($B$2-C19)&gt;=0,($B$2-C20)&gt;=0),0.5*(($B$2-C19)+($B$2-C20))*ABS(B20-B19),IF(($B$2-C19)&gt;0,0.5*($B$2-C19)*ABS((B19+(($B$2-C19)/(($B$2-C19)-($B$2-C20)))*(B20-B19))-B19),0.5*($B$2-C20)*ABS(B20-(B19+(($B$2-C19)/(($B$2-C19)-($B$2-C20)))*(B20-B19))))))</f>
        <v/>
      </c>
      <c r="G19" s="5">
        <f>IF(AND(($B$2-C19)&lt;=0,($B$2-C20)&lt;=0),0,IF(AND(($B$2-C19)&gt;=0,($B$2-C20)&gt;=0),SQRT((B20-B19)^2+(C20-C19)^2),IF(($B$2-C19)&gt;0,SQRT(((B19+(($B$2-C19)/(($B$2-C19)-($B$2-C20)))*(B20-B19))-B19)^2+($B$2-C19)^2),SQRT((B20-(B19+(($B$2-C19)/(($B$2-C19)-($B$2-C20)))*(B20-B19)))^2+($B$2-C20)^2))))</f>
        <v/>
      </c>
      <c r="I19" t="n">
        <v>11</v>
      </c>
      <c r="J19">
        <f>IF(O18&lt;$B$5,L18,J18)</f>
        <v/>
      </c>
      <c r="K19">
        <f>IF(O18&lt;$B$5,K18,L18)</f>
        <v/>
      </c>
      <c r="L19">
        <f>(J19+K19)/2</f>
        <v/>
      </c>
      <c r="M19">
        <f>(IF(AND((L19-C9)&lt;=0,(L19-C10)&lt;=0),0,IF(AND((L19-C9)&gt;=0,(L19-C10)&gt;=0),0.5*((L19-C9)+(L19-C10))*ABS(B10-B9),IF((L19-C9)&gt;0,0.5*(L19-C9)*ABS((B9+((L19-C9)/((L19-C9)-(L19-C10)))*(B10-B9))-B9),0.5*(L19-C10)*ABS(B10-(B9+((L19-C9)/((L19-C9)-(L19-C10)))*(B10-B9)))))))+(IF(AND((L19-C10)&lt;=0,(L19-C11)&lt;=0),0,IF(AND((L19-C10)&gt;=0,(L19-C11)&gt;=0),0.5*((L19-C10)+(L19-C11))*ABS(B11-B10),IF((L19-C10)&gt;0,0.5*(L19-C10)*ABS((B10+((L19-C10)/((L19-C10)-(L19-C11)))*(B11-B10))-B10),0.5*(L19-C11)*ABS(B11-(B10+((L19-C10)/((L19-C10)-(L19-C11)))*(B11-B10)))))))+(IF(AND((L19-C11)&lt;=0,(L19-C12)&lt;=0),0,IF(AND((L19-C11)&gt;=0,(L19-C12)&gt;=0),0.5*((L19-C11)+(L19-C12))*ABS(B12-B11),IF((L19-C11)&gt;0,0.5*(L19-C11)*ABS((B11+((L19-C11)/((L19-C11)-(L19-C12)))*(B12-B11))-B11),0.5*(L19-C12)*ABS(B12-(B11+((L19-C11)/((L19-C11)-(L19-C12)))*(B12-B11)))))))+(IF(AND((L19-C12)&lt;=0,(L19-C13)&lt;=0),0,IF(AND((L19-C12)&gt;=0,(L19-C13)&gt;=0),0.5*((L19-C12)+(L19-C13))*ABS(B13-B12),IF((L19-C12)&gt;0,0.5*(L19-C12)*ABS((B12+((L19-C12)/((L19-C12)-(L19-C13)))*(B13-B12))-B12),0.5*(L19-C13)*ABS(B13-(B12+((L19-C12)/((L19-C12)-(L19-C13)))*(B13-B12)))))))+(IF(AND((L19-C13)&lt;=0,(L19-C14)&lt;=0),0,IF(AND((L19-C13)&gt;=0,(L19-C14)&gt;=0),0.5*((L19-C13)+(L19-C14))*ABS(B14-B13),IF((L19-C13)&gt;0,0.5*(L19-C13)*ABS((B13+((L19-C13)/((L19-C13)-(L19-C14)))*(B14-B13))-B13),0.5*(L19-C14)*ABS(B14-(B13+((L19-C13)/((L19-C13)-(L19-C14)))*(B14-B13)))))))+(IF(AND((L19-C14)&lt;=0,(L19-C15)&lt;=0),0,IF(AND((L19-C14)&gt;=0,(L19-C15)&gt;=0),0.5*((L19-C14)+(L19-C15))*ABS(B15-B14),IF((L19-C14)&gt;0,0.5*(L19-C14)*ABS((B14+((L19-C14)/((L19-C14)-(L19-C15)))*(B15-B14))-B14),0.5*(L19-C15)*ABS(B15-(B14+((L19-C14)/((L19-C14)-(L19-C15)))*(B15-B14)))))))+(IF(AND((L19-C15)&lt;=0,(L19-C16)&lt;=0),0,IF(AND((L19-C15)&gt;=0,(L19-C16)&gt;=0),0.5*((L19-C15)+(L19-C16))*ABS(B16-B15),IF((L19-C15)&gt;0,0.5*(L19-C15)*ABS((B15+((L19-C15)/((L19-C15)-(L19-C16)))*(B16-B15))-B15),0.5*(L19-C16)*ABS(B16-(B15+((L19-C15)/((L19-C15)-(L19-C16)))*(B16-B15)))))))+(IF(AND((L19-C16)&lt;=0,(L19-C17)&lt;=0),0,IF(AND((L19-C16)&gt;=0,(L19-C17)&gt;=0),0.5*((L19-C16)+(L19-C17))*ABS(B17-B16),IF((L19-C16)&gt;0,0.5*(L19-C16)*ABS((B16+((L19-C16)/((L19-C16)-(L19-C17)))*(B17-B16))-B16),0.5*(L19-C17)*ABS(B17-(B16+((L19-C16)/((L19-C16)-(L19-C17)))*(B17-B16)))))))+(IF(AND((L19-C17)&lt;=0,(L19-C18)&lt;=0),0,IF(AND((L19-C17)&gt;=0,(L19-C18)&gt;=0),0.5*((L19-C17)+(L19-C18))*ABS(B18-B17),IF((L19-C17)&gt;0,0.5*(L19-C17)*ABS((B17+((L19-C17)/((L19-C17)-(L19-C18)))*(B18-B17))-B17),0.5*(L19-C18)*ABS(B18-(B17+((L19-C17)/((L19-C17)-(L19-C18)))*(B18-B17)))))))+(IF(AND((L19-C18)&lt;=0,(L19-C19)&lt;=0),0,IF(AND((L19-C18)&gt;=0,(L19-C19)&gt;=0),0.5*((L19-C18)+(L19-C19))*ABS(B19-B18),IF((L19-C18)&gt;0,0.5*(L19-C18)*ABS((B18+((L19-C18)/((L19-C18)-(L19-C19)))*(B19-B18))-B18),0.5*(L19-C19)*ABS(B19-(B18+((L19-C18)/((L19-C18)-(L19-C19)))*(B19-B18)))))))+(IF(AND((L19-C19)&lt;=0,(L19-C20)&lt;=0),0,IF(AND((L19-C19)&gt;=0,(L19-C20)&gt;=0),0.5*((L19-C19)+(L19-C20))*ABS(B20-B19),IF((L19-C19)&gt;0,0.5*(L19-C19)*ABS((B19+((L19-C19)/((L19-C19)-(L19-C20)))*(B20-B19))-B19),0.5*(L19-C20)*ABS(B20-(B19+((L19-C19)/((L19-C19)-(L19-C20)))*(B20-B19)))))))</f>
        <v/>
      </c>
      <c r="N19">
        <f>(IF(AND((L19-C9)&lt;=0,(L19-C10)&lt;=0),0,IF(AND((L19-C9)&gt;=0,(L19-C10)&gt;=0),SQRT((B10-B9)^2+(C10-C9)^2),IF((L19-C9)&gt;0,SQRT(((B9+((L19-C9)/((L19-C9)-(L19-C10)))*(B10-B9))-B9)^2+(L19-C9)^2),SQRT((B10-(B9+((L19-C9)/((L19-C9)-(L19-C10)))*(B10-B9)))^2+(L19-C10)^2)))))+(IF(AND((L19-C10)&lt;=0,(L19-C11)&lt;=0),0,IF(AND((L19-C10)&gt;=0,(L19-C11)&gt;=0),SQRT((B11-B10)^2+(C11-C10)^2),IF((L19-C10)&gt;0,SQRT(((B10+((L19-C10)/((L19-C10)-(L19-C11)))*(B11-B10))-B10)^2+(L19-C10)^2),SQRT((B11-(B10+((L19-C10)/((L19-C10)-(L19-C11)))*(B11-B10)))^2+(L19-C11)^2)))))+(IF(AND((L19-C11)&lt;=0,(L19-C12)&lt;=0),0,IF(AND((L19-C11)&gt;=0,(L19-C12)&gt;=0),SQRT((B12-B11)^2+(C12-C11)^2),IF((L19-C11)&gt;0,SQRT(((B11+((L19-C11)/((L19-C11)-(L19-C12)))*(B12-B11))-B11)^2+(L19-C11)^2),SQRT((B12-(B11+((L19-C11)/((L19-C11)-(L19-C12)))*(B12-B11)))^2+(L19-C12)^2)))))+(IF(AND((L19-C12)&lt;=0,(L19-C13)&lt;=0),0,IF(AND((L19-C12)&gt;=0,(L19-C13)&gt;=0),SQRT((B13-B12)^2+(C13-C12)^2),IF((L19-C12)&gt;0,SQRT(((B12+((L19-C12)/((L19-C12)-(L19-C13)))*(B13-B12))-B12)^2+(L19-C12)^2),SQRT((B13-(B12+((L19-C12)/((L19-C12)-(L19-C13)))*(B13-B12)))^2+(L19-C13)^2)))))+(IF(AND((L19-C13)&lt;=0,(L19-C14)&lt;=0),0,IF(AND((L19-C13)&gt;=0,(L19-C14)&gt;=0),SQRT((B14-B13)^2+(C14-C13)^2),IF((L19-C13)&gt;0,SQRT(((B13+((L19-C13)/((L19-C13)-(L19-C14)))*(B14-B13))-B13)^2+(L19-C13)^2),SQRT((B14-(B13+((L19-C13)/((L19-C13)-(L19-C14)))*(B14-B13)))^2+(L19-C14)^2)))))+(IF(AND((L19-C14)&lt;=0,(L19-C15)&lt;=0),0,IF(AND((L19-C14)&gt;=0,(L19-C15)&gt;=0),SQRT((B15-B14)^2+(C15-C14)^2),IF((L19-C14)&gt;0,SQRT(((B14+((L19-C14)/((L19-C14)-(L19-C15)))*(B15-B14))-B14)^2+(L19-C14)^2),SQRT((B15-(B14+((L19-C14)/((L19-C14)-(L19-C15)))*(B15-B14)))^2+(L19-C15)^2)))))+(IF(AND((L19-C15)&lt;=0,(L19-C16)&lt;=0),0,IF(AND((L19-C15)&gt;=0,(L19-C16)&gt;=0),SQRT((B16-B15)^2+(C16-C15)^2),IF((L19-C15)&gt;0,SQRT(((B15+((L19-C15)/((L19-C15)-(L19-C16)))*(B16-B15))-B15)^2+(L19-C15)^2),SQRT((B16-(B15+((L19-C15)/((L19-C15)-(L19-C16)))*(B16-B15)))^2+(L19-C16)^2)))))+(IF(AND((L19-C16)&lt;=0,(L19-C17)&lt;=0),0,IF(AND((L19-C16)&gt;=0,(L19-C17)&gt;=0),SQRT((B17-B16)^2+(C17-C16)^2),IF((L19-C16)&gt;0,SQRT(((B16+((L19-C16)/((L19-C16)-(L19-C17)))*(B17-B16))-B16)^2+(L19-C16)^2),SQRT((B17-(B16+((L19-C16)/((L19-C16)-(L19-C17)))*(B17-B16)))^2+(L19-C17)^2)))))+(IF(AND((L19-C17)&lt;=0,(L19-C18)&lt;=0),0,IF(AND((L19-C17)&gt;=0,(L19-C18)&gt;=0),SQRT((B18-B17)^2+(C18-C17)^2),IF((L19-C17)&gt;0,SQRT(((B17+((L19-C17)/((L19-C17)-(L19-C18)))*(B18-B17))-B17)^2+(L19-C17)^2),SQRT((B18-(B17+((L19-C17)/((L19-C17)-(L19-C18)))*(B18-B17)))^2+(L19-C18)^2)))))+(IF(AND((L19-C18)&lt;=0,(L19-C19)&lt;=0),0,IF(AND((L19-C18)&gt;=0,(L19-C19)&gt;=0),SQRT((B19-B18)^2+(C19-C18)^2),IF((L19-C18)&gt;0,SQRT(((B18+((L19-C18)/((L19-C18)-(L19-C19)))*(B19-B18))-B18)^2+(L19-C18)^2),SQRT((B19-(B18+((L19-C18)/((L19-C18)-(L19-C19)))*(B19-B18)))^2+(L19-C19)^2)))))+(IF(AND((L19-C19)&lt;=0,(L19-C20)&lt;=0),0,IF(AND((L19-C19)&gt;=0,(L19-C20)&gt;=0),SQRT((B20-B19)^2+(C20-C19)^2),IF((L19-C19)&gt;0,SQRT(((B19+((L19-C19)/((L19-C19)-(L19-C20)))*(B20-B19))-B19)^2+(L19-C19)^2),SQRT((B20-(B19+((L19-C19)/((L19-C19)-(L19-C20)))*(B20-B19)))^2+(L19-C20)^2)))))</f>
        <v/>
      </c>
      <c r="O19">
        <f>IF(OR($B$6&lt;=0,M19&lt;=0,N19&lt;=0,$B$4&lt;=0),0,(1/$B$6)*M19*((M19/N19)^(2/3))*SQRT($B$4))</f>
        <v/>
      </c>
    </row>
    <row r="20">
      <c r="A20" s="5" t="n">
        <v>12</v>
      </c>
      <c r="B20" s="5" t="n">
        <v>26.991</v>
      </c>
      <c r="C20" s="5" t="n">
        <v>39.53</v>
      </c>
      <c r="D20" s="5" t="inlineStr">
        <is>
          <t>CLO</t>
        </is>
      </c>
      <c r="E20" s="5">
        <f>$B$2-C20</f>
        <v/>
      </c>
      <c r="F20" s="5" t="n"/>
      <c r="G20" s="5" t="n"/>
      <c r="I20" t="n">
        <v>12</v>
      </c>
      <c r="J20">
        <f>IF(O19&lt;$B$5,L19,J19)</f>
        <v/>
      </c>
      <c r="K20">
        <f>IF(O19&lt;$B$5,K19,L19)</f>
        <v/>
      </c>
      <c r="L20">
        <f>(J20+K20)/2</f>
        <v/>
      </c>
      <c r="M20">
        <f>(IF(AND((L20-C9)&lt;=0,(L20-C10)&lt;=0),0,IF(AND((L20-C9)&gt;=0,(L20-C10)&gt;=0),0.5*((L20-C9)+(L20-C10))*ABS(B10-B9),IF((L20-C9)&gt;0,0.5*(L20-C9)*ABS((B9+((L20-C9)/((L20-C9)-(L20-C10)))*(B10-B9))-B9),0.5*(L20-C10)*ABS(B10-(B9+((L20-C9)/((L20-C9)-(L20-C10)))*(B10-B9)))))))+(IF(AND((L20-C10)&lt;=0,(L20-C11)&lt;=0),0,IF(AND((L20-C10)&gt;=0,(L20-C11)&gt;=0),0.5*((L20-C10)+(L20-C11))*ABS(B11-B10),IF((L20-C10)&gt;0,0.5*(L20-C10)*ABS((B10+((L20-C10)/((L20-C10)-(L20-C11)))*(B11-B10))-B10),0.5*(L20-C11)*ABS(B11-(B10+((L20-C10)/((L20-C10)-(L20-C11)))*(B11-B10)))))))+(IF(AND((L20-C11)&lt;=0,(L20-C12)&lt;=0),0,IF(AND((L20-C11)&gt;=0,(L20-C12)&gt;=0),0.5*((L20-C11)+(L20-C12))*ABS(B12-B11),IF((L20-C11)&gt;0,0.5*(L20-C11)*ABS((B11+((L20-C11)/((L20-C11)-(L20-C12)))*(B12-B11))-B11),0.5*(L20-C12)*ABS(B12-(B11+((L20-C11)/((L20-C11)-(L20-C12)))*(B12-B11)))))))+(IF(AND((L20-C12)&lt;=0,(L20-C13)&lt;=0),0,IF(AND((L20-C12)&gt;=0,(L20-C13)&gt;=0),0.5*((L20-C12)+(L20-C13))*ABS(B13-B12),IF((L20-C12)&gt;0,0.5*(L20-C12)*ABS((B12+((L20-C12)/((L20-C12)-(L20-C13)))*(B13-B12))-B12),0.5*(L20-C13)*ABS(B13-(B12+((L20-C12)/((L20-C12)-(L20-C13)))*(B13-B12)))))))+(IF(AND((L20-C13)&lt;=0,(L20-C14)&lt;=0),0,IF(AND((L20-C13)&gt;=0,(L20-C14)&gt;=0),0.5*((L20-C13)+(L20-C14))*ABS(B14-B13),IF((L20-C13)&gt;0,0.5*(L20-C13)*ABS((B13+((L20-C13)/((L20-C13)-(L20-C14)))*(B14-B13))-B13),0.5*(L20-C14)*ABS(B14-(B13+((L20-C13)/((L20-C13)-(L20-C14)))*(B14-B13)))))))+(IF(AND((L20-C14)&lt;=0,(L20-C15)&lt;=0),0,IF(AND((L20-C14)&gt;=0,(L20-C15)&gt;=0),0.5*((L20-C14)+(L20-C15))*ABS(B15-B14),IF((L20-C14)&gt;0,0.5*(L20-C14)*ABS((B14+((L20-C14)/((L20-C14)-(L20-C15)))*(B15-B14))-B14),0.5*(L20-C15)*ABS(B15-(B14+((L20-C14)/((L20-C14)-(L20-C15)))*(B15-B14)))))))+(IF(AND((L20-C15)&lt;=0,(L20-C16)&lt;=0),0,IF(AND((L20-C15)&gt;=0,(L20-C16)&gt;=0),0.5*((L20-C15)+(L20-C16))*ABS(B16-B15),IF((L20-C15)&gt;0,0.5*(L20-C15)*ABS((B15+((L20-C15)/((L20-C15)-(L20-C16)))*(B16-B15))-B15),0.5*(L20-C16)*ABS(B16-(B15+((L20-C15)/((L20-C15)-(L20-C16)))*(B16-B15)))))))+(IF(AND((L20-C16)&lt;=0,(L20-C17)&lt;=0),0,IF(AND((L20-C16)&gt;=0,(L20-C17)&gt;=0),0.5*((L20-C16)+(L20-C17))*ABS(B17-B16),IF((L20-C16)&gt;0,0.5*(L20-C16)*ABS((B16+((L20-C16)/((L20-C16)-(L20-C17)))*(B17-B16))-B16),0.5*(L20-C17)*ABS(B17-(B16+((L20-C16)/((L20-C16)-(L20-C17)))*(B17-B16)))))))+(IF(AND((L20-C17)&lt;=0,(L20-C18)&lt;=0),0,IF(AND((L20-C17)&gt;=0,(L20-C18)&gt;=0),0.5*((L20-C17)+(L20-C18))*ABS(B18-B17),IF((L20-C17)&gt;0,0.5*(L20-C17)*ABS((B17+((L20-C17)/((L20-C17)-(L20-C18)))*(B18-B17))-B17),0.5*(L20-C18)*ABS(B18-(B17+((L20-C17)/((L20-C17)-(L20-C18)))*(B18-B17)))))))+(IF(AND((L20-C18)&lt;=0,(L20-C19)&lt;=0),0,IF(AND((L20-C18)&gt;=0,(L20-C19)&gt;=0),0.5*((L20-C18)+(L20-C19))*ABS(B19-B18),IF((L20-C18)&gt;0,0.5*(L20-C18)*ABS((B18+((L20-C18)/((L20-C18)-(L20-C19)))*(B19-B18))-B18),0.5*(L20-C19)*ABS(B19-(B18+((L20-C18)/((L20-C18)-(L20-C19)))*(B19-B18)))))))+(IF(AND((L20-C19)&lt;=0,(L20-C20)&lt;=0),0,IF(AND((L20-C19)&gt;=0,(L20-C20)&gt;=0),0.5*((L20-C19)+(L20-C20))*ABS(B20-B19),IF((L20-C19)&gt;0,0.5*(L20-C19)*ABS((B19+((L20-C19)/((L20-C19)-(L20-C20)))*(B20-B19))-B19),0.5*(L20-C20)*ABS(B20-(B19+((L20-C19)/((L20-C19)-(L20-C20)))*(B20-B19)))))))</f>
        <v/>
      </c>
      <c r="N20">
        <f>(IF(AND((L20-C9)&lt;=0,(L20-C10)&lt;=0),0,IF(AND((L20-C9)&gt;=0,(L20-C10)&gt;=0),SQRT((B10-B9)^2+(C10-C9)^2),IF((L20-C9)&gt;0,SQRT(((B9+((L20-C9)/((L20-C9)-(L20-C10)))*(B10-B9))-B9)^2+(L20-C9)^2),SQRT((B10-(B9+((L20-C9)/((L20-C9)-(L20-C10)))*(B10-B9)))^2+(L20-C10)^2)))))+(IF(AND((L20-C10)&lt;=0,(L20-C11)&lt;=0),0,IF(AND((L20-C10)&gt;=0,(L20-C11)&gt;=0),SQRT((B11-B10)^2+(C11-C10)^2),IF((L20-C10)&gt;0,SQRT(((B10+((L20-C10)/((L20-C10)-(L20-C11)))*(B11-B10))-B10)^2+(L20-C10)^2),SQRT((B11-(B10+((L20-C10)/((L20-C10)-(L20-C11)))*(B11-B10)))^2+(L20-C11)^2)))))+(IF(AND((L20-C11)&lt;=0,(L20-C12)&lt;=0),0,IF(AND((L20-C11)&gt;=0,(L20-C12)&gt;=0),SQRT((B12-B11)^2+(C12-C11)^2),IF((L20-C11)&gt;0,SQRT(((B11+((L20-C11)/((L20-C11)-(L20-C12)))*(B12-B11))-B11)^2+(L20-C11)^2),SQRT((B12-(B11+((L20-C11)/((L20-C11)-(L20-C12)))*(B12-B11)))^2+(L20-C12)^2)))))+(IF(AND((L20-C12)&lt;=0,(L20-C13)&lt;=0),0,IF(AND((L20-C12)&gt;=0,(L20-C13)&gt;=0),SQRT((B13-B12)^2+(C13-C12)^2),IF((L20-C12)&gt;0,SQRT(((B12+((L20-C12)/((L20-C12)-(L20-C13)))*(B13-B12))-B12)^2+(L20-C12)^2),SQRT((B13-(B12+((L20-C12)/((L20-C12)-(L20-C13)))*(B13-B12)))^2+(L20-C13)^2)))))+(IF(AND((L20-C13)&lt;=0,(L20-C14)&lt;=0),0,IF(AND((L20-C13)&gt;=0,(L20-C14)&gt;=0),SQRT((B14-B13)^2+(C14-C13)^2),IF((L20-C13)&gt;0,SQRT(((B13+((L20-C13)/((L20-C13)-(L20-C14)))*(B14-B13))-B13)^2+(L20-C13)^2),SQRT((B14-(B13+((L20-C13)/((L20-C13)-(L20-C14)))*(B14-B13)))^2+(L20-C14)^2)))))+(IF(AND((L20-C14)&lt;=0,(L20-C15)&lt;=0),0,IF(AND((L20-C14)&gt;=0,(L20-C15)&gt;=0),SQRT((B15-B14)^2+(C15-C14)^2),IF((L20-C14)&gt;0,SQRT(((B14+((L20-C14)/((L20-C14)-(L20-C15)))*(B15-B14))-B14)^2+(L20-C14)^2),SQRT((B15-(B14+((L20-C14)/((L20-C14)-(L20-C15)))*(B15-B14)))^2+(L20-C15)^2)))))+(IF(AND((L20-C15)&lt;=0,(L20-C16)&lt;=0),0,IF(AND((L20-C15)&gt;=0,(L20-C16)&gt;=0),SQRT((B16-B15)^2+(C16-C15)^2),IF((L20-C15)&gt;0,SQRT(((B15+((L20-C15)/((L20-C15)-(L20-C16)))*(B16-B15))-B15)^2+(L20-C15)^2),SQRT((B16-(B15+((L20-C15)/((L20-C15)-(L20-C16)))*(B16-B15)))^2+(L20-C16)^2)))))+(IF(AND((L20-C16)&lt;=0,(L20-C17)&lt;=0),0,IF(AND((L20-C16)&gt;=0,(L20-C17)&gt;=0),SQRT((B17-B16)^2+(C17-C16)^2),IF((L20-C16)&gt;0,SQRT(((B16+((L20-C16)/((L20-C16)-(L20-C17)))*(B17-B16))-B16)^2+(L20-C16)^2),SQRT((B17-(B16+((L20-C16)/((L20-C16)-(L20-C17)))*(B17-B16)))^2+(L20-C17)^2)))))+(IF(AND((L20-C17)&lt;=0,(L20-C18)&lt;=0),0,IF(AND((L20-C17)&gt;=0,(L20-C18)&gt;=0),SQRT((B18-B17)^2+(C18-C17)^2),IF((L20-C17)&gt;0,SQRT(((B17+((L20-C17)/((L20-C17)-(L20-C18)))*(B18-B17))-B17)^2+(L20-C17)^2),SQRT((B18-(B17+((L20-C17)/((L20-C17)-(L20-C18)))*(B18-B17)))^2+(L20-C18)^2)))))+(IF(AND((L20-C18)&lt;=0,(L20-C19)&lt;=0),0,IF(AND((L20-C18)&gt;=0,(L20-C19)&gt;=0),SQRT((B19-B18)^2+(C19-C18)^2),IF((L20-C18)&gt;0,SQRT(((B18+((L20-C18)/((L20-C18)-(L20-C19)))*(B19-B18))-B18)^2+(L20-C18)^2),SQRT((B19-(B18+((L20-C18)/((L20-C18)-(L20-C19)))*(B19-B18)))^2+(L20-C19)^2)))))+(IF(AND((L20-C19)&lt;=0,(L20-C20)&lt;=0),0,IF(AND((L20-C19)&gt;=0,(L20-C20)&gt;=0),SQRT((B20-B19)^2+(C20-C19)^2),IF((L20-C19)&gt;0,SQRT(((B19+((L20-C19)/((L20-C19)-(L20-C20)))*(B20-B19))-B19)^2+(L20-C19)^2),SQRT((B20-(B19+((L20-C19)/((L20-C19)-(L20-C20)))*(B20-B19)))^2+(L20-C20)^2)))))</f>
        <v/>
      </c>
      <c r="O20">
        <f>IF(OR($B$6&lt;=0,M20&lt;=0,N20&lt;=0,$B$4&lt;=0),0,(1/$B$6)*M20*((M20/N20)^(2/3))*SQRT($B$4))</f>
        <v/>
      </c>
    </row>
    <row r="21">
      <c r="G21" t="inlineStr">
        <is>
          <t>P = Σ Pi</t>
        </is>
      </c>
      <c r="I21" t="n">
        <v>13</v>
      </c>
      <c r="J21">
        <f>IF(O20&lt;$B$5,L20,J20)</f>
        <v/>
      </c>
      <c r="K21">
        <f>IF(O20&lt;$B$5,K20,L20)</f>
        <v/>
      </c>
      <c r="L21">
        <f>(J21+K21)/2</f>
        <v/>
      </c>
      <c r="M21">
        <f>(IF(AND((L21-C9)&lt;=0,(L21-C10)&lt;=0),0,IF(AND((L21-C9)&gt;=0,(L21-C10)&gt;=0),0.5*((L21-C9)+(L21-C10))*ABS(B10-B9),IF((L21-C9)&gt;0,0.5*(L21-C9)*ABS((B9+((L21-C9)/((L21-C9)-(L21-C10)))*(B10-B9))-B9),0.5*(L21-C10)*ABS(B10-(B9+((L21-C9)/((L21-C9)-(L21-C10)))*(B10-B9)))))))+(IF(AND((L21-C10)&lt;=0,(L21-C11)&lt;=0),0,IF(AND((L21-C10)&gt;=0,(L21-C11)&gt;=0),0.5*((L21-C10)+(L21-C11))*ABS(B11-B10),IF((L21-C10)&gt;0,0.5*(L21-C10)*ABS((B10+((L21-C10)/((L21-C10)-(L21-C11)))*(B11-B10))-B10),0.5*(L21-C11)*ABS(B11-(B10+((L21-C10)/((L21-C10)-(L21-C11)))*(B11-B10)))))))+(IF(AND((L21-C11)&lt;=0,(L21-C12)&lt;=0),0,IF(AND((L21-C11)&gt;=0,(L21-C12)&gt;=0),0.5*((L21-C11)+(L21-C12))*ABS(B12-B11),IF((L21-C11)&gt;0,0.5*(L21-C11)*ABS((B11+((L21-C11)/((L21-C11)-(L21-C12)))*(B12-B11))-B11),0.5*(L21-C12)*ABS(B12-(B11+((L21-C11)/((L21-C11)-(L21-C12)))*(B12-B11)))))))+(IF(AND((L21-C12)&lt;=0,(L21-C13)&lt;=0),0,IF(AND((L21-C12)&gt;=0,(L21-C13)&gt;=0),0.5*((L21-C12)+(L21-C13))*ABS(B13-B12),IF((L21-C12)&gt;0,0.5*(L21-C12)*ABS((B12+((L21-C12)/((L21-C12)-(L21-C13)))*(B13-B12))-B12),0.5*(L21-C13)*ABS(B13-(B12+((L21-C12)/((L21-C12)-(L21-C13)))*(B13-B12)))))))+(IF(AND((L21-C13)&lt;=0,(L21-C14)&lt;=0),0,IF(AND((L21-C13)&gt;=0,(L21-C14)&gt;=0),0.5*((L21-C13)+(L21-C14))*ABS(B14-B13),IF((L21-C13)&gt;0,0.5*(L21-C13)*ABS((B13+((L21-C13)/((L21-C13)-(L21-C14)))*(B14-B13))-B13),0.5*(L21-C14)*ABS(B14-(B13+((L21-C13)/((L21-C13)-(L21-C14)))*(B14-B13)))))))+(IF(AND((L21-C14)&lt;=0,(L21-C15)&lt;=0),0,IF(AND((L21-C14)&gt;=0,(L21-C15)&gt;=0),0.5*((L21-C14)+(L21-C15))*ABS(B15-B14),IF((L21-C14)&gt;0,0.5*(L21-C14)*ABS((B14+((L21-C14)/((L21-C14)-(L21-C15)))*(B15-B14))-B14),0.5*(L21-C15)*ABS(B15-(B14+((L21-C14)/((L21-C14)-(L21-C15)))*(B15-B14)))))))+(IF(AND((L21-C15)&lt;=0,(L21-C16)&lt;=0),0,IF(AND((L21-C15)&gt;=0,(L21-C16)&gt;=0),0.5*((L21-C15)+(L21-C16))*ABS(B16-B15),IF((L21-C15)&gt;0,0.5*(L21-C15)*ABS((B15+((L21-C15)/((L21-C15)-(L21-C16)))*(B16-B15))-B15),0.5*(L21-C16)*ABS(B16-(B15+((L21-C15)/((L21-C15)-(L21-C16)))*(B16-B15)))))))+(IF(AND((L21-C16)&lt;=0,(L21-C17)&lt;=0),0,IF(AND((L21-C16)&gt;=0,(L21-C17)&gt;=0),0.5*((L21-C16)+(L21-C17))*ABS(B17-B16),IF((L21-C16)&gt;0,0.5*(L21-C16)*ABS((B16+((L21-C16)/((L21-C16)-(L21-C17)))*(B17-B16))-B16),0.5*(L21-C17)*ABS(B17-(B16+((L21-C16)/((L21-C16)-(L21-C17)))*(B17-B16)))))))+(IF(AND((L21-C17)&lt;=0,(L21-C18)&lt;=0),0,IF(AND((L21-C17)&gt;=0,(L21-C18)&gt;=0),0.5*((L21-C17)+(L21-C18))*ABS(B18-B17),IF((L21-C17)&gt;0,0.5*(L21-C17)*ABS((B17+((L21-C17)/((L21-C17)-(L21-C18)))*(B18-B17))-B17),0.5*(L21-C18)*ABS(B18-(B17+((L21-C17)/((L21-C17)-(L21-C18)))*(B18-B17)))))))+(IF(AND((L21-C18)&lt;=0,(L21-C19)&lt;=0),0,IF(AND((L21-C18)&gt;=0,(L21-C19)&gt;=0),0.5*((L21-C18)+(L21-C19))*ABS(B19-B18),IF((L21-C18)&gt;0,0.5*(L21-C18)*ABS((B18+((L21-C18)/((L21-C18)-(L21-C19)))*(B19-B18))-B18),0.5*(L21-C19)*ABS(B19-(B18+((L21-C18)/((L21-C18)-(L21-C19)))*(B19-B18)))))))+(IF(AND((L21-C19)&lt;=0,(L21-C20)&lt;=0),0,IF(AND((L21-C19)&gt;=0,(L21-C20)&gt;=0),0.5*((L21-C19)+(L21-C20))*ABS(B20-B19),IF((L21-C19)&gt;0,0.5*(L21-C19)*ABS((B19+((L21-C19)/((L21-C19)-(L21-C20)))*(B20-B19))-B19),0.5*(L21-C20)*ABS(B20-(B19+((L21-C19)/((L21-C19)-(L21-C20)))*(B20-B19)))))))</f>
        <v/>
      </c>
      <c r="N21">
        <f>(IF(AND((L21-C9)&lt;=0,(L21-C10)&lt;=0),0,IF(AND((L21-C9)&gt;=0,(L21-C10)&gt;=0),SQRT((B10-B9)^2+(C10-C9)^2),IF((L21-C9)&gt;0,SQRT(((B9+((L21-C9)/((L21-C9)-(L21-C10)))*(B10-B9))-B9)^2+(L21-C9)^2),SQRT((B10-(B9+((L21-C9)/((L21-C9)-(L21-C10)))*(B10-B9)))^2+(L21-C10)^2)))))+(IF(AND((L21-C10)&lt;=0,(L21-C11)&lt;=0),0,IF(AND((L21-C10)&gt;=0,(L21-C11)&gt;=0),SQRT((B11-B10)^2+(C11-C10)^2),IF((L21-C10)&gt;0,SQRT(((B10+((L21-C10)/((L21-C10)-(L21-C11)))*(B11-B10))-B10)^2+(L21-C10)^2),SQRT((B11-(B10+((L21-C10)/((L21-C10)-(L21-C11)))*(B11-B10)))^2+(L21-C11)^2)))))+(IF(AND((L21-C11)&lt;=0,(L21-C12)&lt;=0),0,IF(AND((L21-C11)&gt;=0,(L21-C12)&gt;=0),SQRT((B12-B11)^2+(C12-C11)^2),IF((L21-C11)&gt;0,SQRT(((B11+((L21-C11)/((L21-C11)-(L21-C12)))*(B12-B11))-B11)^2+(L21-C11)^2),SQRT((B12-(B11+((L21-C11)/((L21-C11)-(L21-C12)))*(B12-B11)))^2+(L21-C12)^2)))))+(IF(AND((L21-C12)&lt;=0,(L21-C13)&lt;=0),0,IF(AND((L21-C12)&gt;=0,(L21-C13)&gt;=0),SQRT((B13-B12)^2+(C13-C12)^2),IF((L21-C12)&gt;0,SQRT(((B12+((L21-C12)/((L21-C12)-(L21-C13)))*(B13-B12))-B12)^2+(L21-C12)^2),SQRT((B13-(B12+((L21-C12)/((L21-C12)-(L21-C13)))*(B13-B12)))^2+(L21-C13)^2)))))+(IF(AND((L21-C13)&lt;=0,(L21-C14)&lt;=0),0,IF(AND((L21-C13)&gt;=0,(L21-C14)&gt;=0),SQRT((B14-B13)^2+(C14-C13)^2),IF((L21-C13)&gt;0,SQRT(((B13+((L21-C13)/((L21-C13)-(L21-C14)))*(B14-B13))-B13)^2+(L21-C13)^2),SQRT((B14-(B13+((L21-C13)/((L21-C13)-(L21-C14)))*(B14-B13)))^2+(L21-C14)^2)))))+(IF(AND((L21-C14)&lt;=0,(L21-C15)&lt;=0),0,IF(AND((L21-C14)&gt;=0,(L21-C15)&gt;=0),SQRT((B15-B14)^2+(C15-C14)^2),IF((L21-C14)&gt;0,SQRT(((B14+((L21-C14)/((L21-C14)-(L21-C15)))*(B15-B14))-B14)^2+(L21-C14)^2),SQRT((B15-(B14+((L21-C14)/((L21-C14)-(L21-C15)))*(B15-B14)))^2+(L21-C15)^2)))))+(IF(AND((L21-C15)&lt;=0,(L21-C16)&lt;=0),0,IF(AND((L21-C15)&gt;=0,(L21-C16)&gt;=0),SQRT((B16-B15)^2+(C16-C15)^2),IF((L21-C15)&gt;0,SQRT(((B15+((L21-C15)/((L21-C15)-(L21-C16)))*(B16-B15))-B15)^2+(L21-C15)^2),SQRT((B16-(B15+((L21-C15)/((L21-C15)-(L21-C16)))*(B16-B15)))^2+(L21-C16)^2)))))+(IF(AND((L21-C16)&lt;=0,(L21-C17)&lt;=0),0,IF(AND((L21-C16)&gt;=0,(L21-C17)&gt;=0),SQRT((B17-B16)^2+(C17-C16)^2),IF((L21-C16)&gt;0,SQRT(((B16+((L21-C16)/((L21-C16)-(L21-C17)))*(B17-B16))-B16)^2+(L21-C16)^2),SQRT((B17-(B16+((L21-C16)/((L21-C16)-(L21-C17)))*(B17-B16)))^2+(L21-C17)^2)))))+(IF(AND((L21-C17)&lt;=0,(L21-C18)&lt;=0),0,IF(AND((L21-C17)&gt;=0,(L21-C18)&gt;=0),SQRT((B18-B17)^2+(C18-C17)^2),IF((L21-C17)&gt;0,SQRT(((B17+((L21-C17)/((L21-C17)-(L21-C18)))*(B18-B17))-B17)^2+(L21-C17)^2),SQRT((B18-(B17+((L21-C17)/((L21-C17)-(L21-C18)))*(B18-B17)))^2+(L21-C18)^2)))))+(IF(AND((L21-C18)&lt;=0,(L21-C19)&lt;=0),0,IF(AND((L21-C18)&gt;=0,(L21-C19)&gt;=0),SQRT((B19-B18)^2+(C19-C18)^2),IF((L21-C18)&gt;0,SQRT(((B18+((L21-C18)/((L21-C18)-(L21-C19)))*(B19-B18))-B18)^2+(L21-C18)^2),SQRT((B19-(B18+((L21-C18)/((L21-C18)-(L21-C19)))*(B19-B18)))^2+(L21-C19)^2)))))+(IF(AND((L21-C19)&lt;=0,(L21-C20)&lt;=0),0,IF(AND((L21-C19)&gt;=0,(L21-C20)&gt;=0),SQRT((B20-B19)^2+(C20-C19)^2),IF((L21-C19)&gt;0,SQRT(((B19+((L21-C19)/((L21-C19)-(L21-C20)))*(B20-B19))-B19)^2+(L21-C19)^2),SQRT((B20-(B19+((L21-C19)/((L21-C19)-(L21-C20)))*(B20-B19)))^2+(L21-C20)^2)))))</f>
        <v/>
      </c>
      <c r="O21">
        <f>IF(OR($B$6&lt;=0,M21&lt;=0,N21&lt;=0,$B$4&lt;=0),0,(1/$B$6)*M21*((M21/N21)^(2/3))*SQRT($B$4))</f>
        <v/>
      </c>
    </row>
    <row r="22">
      <c r="A22" s="10" t="inlineStr">
        <is>
          <t>Totaux</t>
        </is>
      </c>
      <c r="E22" t="inlineStr">
        <is>
          <t>A = Σ Ai</t>
        </is>
      </c>
      <c r="F22" s="17">
        <f>SUM(F9:F19)</f>
        <v/>
      </c>
      <c r="G22" s="17">
        <f>SUM(G9:G19)</f>
        <v/>
      </c>
      <c r="I22" t="n">
        <v>14</v>
      </c>
      <c r="J22">
        <f>IF(O21&lt;$B$5,L21,J21)</f>
        <v/>
      </c>
      <c r="K22">
        <f>IF(O21&lt;$B$5,K21,L21)</f>
        <v/>
      </c>
      <c r="L22">
        <f>(J22+K22)/2</f>
        <v/>
      </c>
      <c r="M22">
        <f>(IF(AND((L22-C9)&lt;=0,(L22-C10)&lt;=0),0,IF(AND((L22-C9)&gt;=0,(L22-C10)&gt;=0),0.5*((L22-C9)+(L22-C10))*ABS(B10-B9),IF((L22-C9)&gt;0,0.5*(L22-C9)*ABS((B9+((L22-C9)/((L22-C9)-(L22-C10)))*(B10-B9))-B9),0.5*(L22-C10)*ABS(B10-(B9+((L22-C9)/((L22-C9)-(L22-C10)))*(B10-B9)))))))+(IF(AND((L22-C10)&lt;=0,(L22-C11)&lt;=0),0,IF(AND((L22-C10)&gt;=0,(L22-C11)&gt;=0),0.5*((L22-C10)+(L22-C11))*ABS(B11-B10),IF((L22-C10)&gt;0,0.5*(L22-C10)*ABS((B10+((L22-C10)/((L22-C10)-(L22-C11)))*(B11-B10))-B10),0.5*(L22-C11)*ABS(B11-(B10+((L22-C10)/((L22-C10)-(L22-C11)))*(B11-B10)))))))+(IF(AND((L22-C11)&lt;=0,(L22-C12)&lt;=0),0,IF(AND((L22-C11)&gt;=0,(L22-C12)&gt;=0),0.5*((L22-C11)+(L22-C12))*ABS(B12-B11),IF((L22-C11)&gt;0,0.5*(L22-C11)*ABS((B11+((L22-C11)/((L22-C11)-(L22-C12)))*(B12-B11))-B11),0.5*(L22-C12)*ABS(B12-(B11+((L22-C11)/((L22-C11)-(L22-C12)))*(B12-B11)))))))+(IF(AND((L22-C12)&lt;=0,(L22-C13)&lt;=0),0,IF(AND((L22-C12)&gt;=0,(L22-C13)&gt;=0),0.5*((L22-C12)+(L22-C13))*ABS(B13-B12),IF((L22-C12)&gt;0,0.5*(L22-C12)*ABS((B12+((L22-C12)/((L22-C12)-(L22-C13)))*(B13-B12))-B12),0.5*(L22-C13)*ABS(B13-(B12+((L22-C12)/((L22-C12)-(L22-C13)))*(B13-B12)))))))+(IF(AND((L22-C13)&lt;=0,(L22-C14)&lt;=0),0,IF(AND((L22-C13)&gt;=0,(L22-C14)&gt;=0),0.5*((L22-C13)+(L22-C14))*ABS(B14-B13),IF((L22-C13)&gt;0,0.5*(L22-C13)*ABS((B13+((L22-C13)/((L22-C13)-(L22-C14)))*(B14-B13))-B13),0.5*(L22-C14)*ABS(B14-(B13+((L22-C13)/((L22-C13)-(L22-C14)))*(B14-B13)))))))+(IF(AND((L22-C14)&lt;=0,(L22-C15)&lt;=0),0,IF(AND((L22-C14)&gt;=0,(L22-C15)&gt;=0),0.5*((L22-C14)+(L22-C15))*ABS(B15-B14),IF((L22-C14)&gt;0,0.5*(L22-C14)*ABS((B14+((L22-C14)/((L22-C14)-(L22-C15)))*(B15-B14))-B14),0.5*(L22-C15)*ABS(B15-(B14+((L22-C14)/((L22-C14)-(L22-C15)))*(B15-B14)))))))+(IF(AND((L22-C15)&lt;=0,(L22-C16)&lt;=0),0,IF(AND((L22-C15)&gt;=0,(L22-C16)&gt;=0),0.5*((L22-C15)+(L22-C16))*ABS(B16-B15),IF((L22-C15)&gt;0,0.5*(L22-C15)*ABS((B15+((L22-C15)/((L22-C15)-(L22-C16)))*(B16-B15))-B15),0.5*(L22-C16)*ABS(B16-(B15+((L22-C15)/((L22-C15)-(L22-C16)))*(B16-B15)))))))+(IF(AND((L22-C16)&lt;=0,(L22-C17)&lt;=0),0,IF(AND((L22-C16)&gt;=0,(L22-C17)&gt;=0),0.5*((L22-C16)+(L22-C17))*ABS(B17-B16),IF((L22-C16)&gt;0,0.5*(L22-C16)*ABS((B16+((L22-C16)/((L22-C16)-(L22-C17)))*(B17-B16))-B16),0.5*(L22-C17)*ABS(B17-(B16+((L22-C16)/((L22-C16)-(L22-C17)))*(B17-B16)))))))+(IF(AND((L22-C17)&lt;=0,(L22-C18)&lt;=0),0,IF(AND((L22-C17)&gt;=0,(L22-C18)&gt;=0),0.5*((L22-C17)+(L22-C18))*ABS(B18-B17),IF((L22-C17)&gt;0,0.5*(L22-C17)*ABS((B17+((L22-C17)/((L22-C17)-(L22-C18)))*(B18-B17))-B17),0.5*(L22-C18)*ABS(B18-(B17+((L22-C17)/((L22-C17)-(L22-C18)))*(B18-B17)))))))+(IF(AND((L22-C18)&lt;=0,(L22-C19)&lt;=0),0,IF(AND((L22-C18)&gt;=0,(L22-C19)&gt;=0),0.5*((L22-C18)+(L22-C19))*ABS(B19-B18),IF((L22-C18)&gt;0,0.5*(L22-C18)*ABS((B18+((L22-C18)/((L22-C18)-(L22-C19)))*(B19-B18))-B18),0.5*(L22-C19)*ABS(B19-(B18+((L22-C18)/((L22-C18)-(L22-C19)))*(B19-B18)))))))+(IF(AND((L22-C19)&lt;=0,(L22-C20)&lt;=0),0,IF(AND((L22-C19)&gt;=0,(L22-C20)&gt;=0),0.5*((L22-C19)+(L22-C20))*ABS(B20-B19),IF((L22-C19)&gt;0,0.5*(L22-C19)*ABS((B19+((L22-C19)/((L22-C19)-(L22-C20)))*(B20-B19))-B19),0.5*(L22-C20)*ABS(B20-(B19+((L22-C19)/((L22-C19)-(L22-C20)))*(B20-B19)))))))</f>
        <v/>
      </c>
      <c r="N22">
        <f>(IF(AND((L22-C9)&lt;=0,(L22-C10)&lt;=0),0,IF(AND((L22-C9)&gt;=0,(L22-C10)&gt;=0),SQRT((B10-B9)^2+(C10-C9)^2),IF((L22-C9)&gt;0,SQRT(((B9+((L22-C9)/((L22-C9)-(L22-C10)))*(B10-B9))-B9)^2+(L22-C9)^2),SQRT((B10-(B9+((L22-C9)/((L22-C9)-(L22-C10)))*(B10-B9)))^2+(L22-C10)^2)))))+(IF(AND((L22-C10)&lt;=0,(L22-C11)&lt;=0),0,IF(AND((L22-C10)&gt;=0,(L22-C11)&gt;=0),SQRT((B11-B10)^2+(C11-C10)^2),IF((L22-C10)&gt;0,SQRT(((B10+((L22-C10)/((L22-C10)-(L22-C11)))*(B11-B10))-B10)^2+(L22-C10)^2),SQRT((B11-(B10+((L22-C10)/((L22-C10)-(L22-C11)))*(B11-B10)))^2+(L22-C11)^2)))))+(IF(AND((L22-C11)&lt;=0,(L22-C12)&lt;=0),0,IF(AND((L22-C11)&gt;=0,(L22-C12)&gt;=0),SQRT((B12-B11)^2+(C12-C11)^2),IF((L22-C11)&gt;0,SQRT(((B11+((L22-C11)/((L22-C11)-(L22-C12)))*(B12-B11))-B11)^2+(L22-C11)^2),SQRT((B12-(B11+((L22-C11)/((L22-C11)-(L22-C12)))*(B12-B11)))^2+(L22-C12)^2)))))+(IF(AND((L22-C12)&lt;=0,(L22-C13)&lt;=0),0,IF(AND((L22-C12)&gt;=0,(L22-C13)&gt;=0),SQRT((B13-B12)^2+(C13-C12)^2),IF((L22-C12)&gt;0,SQRT(((B12+((L22-C12)/((L22-C12)-(L22-C13)))*(B13-B12))-B12)^2+(L22-C12)^2),SQRT((B13-(B12+((L22-C12)/((L22-C12)-(L22-C13)))*(B13-B12)))^2+(L22-C13)^2)))))+(IF(AND((L22-C13)&lt;=0,(L22-C14)&lt;=0),0,IF(AND((L22-C13)&gt;=0,(L22-C14)&gt;=0),SQRT((B14-B13)^2+(C14-C13)^2),IF((L22-C13)&gt;0,SQRT(((B13+((L22-C13)/((L22-C13)-(L22-C14)))*(B14-B13))-B13)^2+(L22-C13)^2),SQRT((B14-(B13+((L22-C13)/((L22-C13)-(L22-C14)))*(B14-B13)))^2+(L22-C14)^2)))))+(IF(AND((L22-C14)&lt;=0,(L22-C15)&lt;=0),0,IF(AND((L22-C14)&gt;=0,(L22-C15)&gt;=0),SQRT((B15-B14)^2+(C15-C14)^2),IF((L22-C14)&gt;0,SQRT(((B14+((L22-C14)/((L22-C14)-(L22-C15)))*(B15-B14))-B14)^2+(L22-C14)^2),SQRT((B15-(B14+((L22-C14)/((L22-C14)-(L22-C15)))*(B15-B14)))^2+(L22-C15)^2)))))+(IF(AND((L22-C15)&lt;=0,(L22-C16)&lt;=0),0,IF(AND((L22-C15)&gt;=0,(L22-C16)&gt;=0),SQRT((B16-B15)^2+(C16-C15)^2),IF((L22-C15)&gt;0,SQRT(((B15+((L22-C15)/((L22-C15)-(L22-C16)))*(B16-B15))-B15)^2+(L22-C15)^2),SQRT((B16-(B15+((L22-C15)/((L22-C15)-(L22-C16)))*(B16-B15)))^2+(L22-C16)^2)))))+(IF(AND((L22-C16)&lt;=0,(L22-C17)&lt;=0),0,IF(AND((L22-C16)&gt;=0,(L22-C17)&gt;=0),SQRT((B17-B16)^2+(C17-C16)^2),IF((L22-C16)&gt;0,SQRT(((B16+((L22-C16)/((L22-C16)-(L22-C17)))*(B17-B16))-B16)^2+(L22-C16)^2),SQRT((B17-(B16+((L22-C16)/((L22-C16)-(L22-C17)))*(B17-B16)))^2+(L22-C17)^2)))))+(IF(AND((L22-C17)&lt;=0,(L22-C18)&lt;=0),0,IF(AND((L22-C17)&gt;=0,(L22-C18)&gt;=0),SQRT((B18-B17)^2+(C18-C17)^2),IF((L22-C17)&gt;0,SQRT(((B17+((L22-C17)/((L22-C17)-(L22-C18)))*(B18-B17))-B17)^2+(L22-C17)^2),SQRT((B18-(B17+((L22-C17)/((L22-C17)-(L22-C18)))*(B18-B17)))^2+(L22-C18)^2)))))+(IF(AND((L22-C18)&lt;=0,(L22-C19)&lt;=0),0,IF(AND((L22-C18)&gt;=0,(L22-C19)&gt;=0),SQRT((B19-B18)^2+(C19-C18)^2),IF((L22-C18)&gt;0,SQRT(((B18+((L22-C18)/((L22-C18)-(L22-C19)))*(B19-B18))-B18)^2+(L22-C18)^2),SQRT((B19-(B18+((L22-C18)/((L22-C18)-(L22-C19)))*(B19-B18)))^2+(L22-C19)^2)))))+(IF(AND((L22-C19)&lt;=0,(L22-C20)&lt;=0),0,IF(AND((L22-C19)&gt;=0,(L22-C20)&gt;=0),SQRT((B20-B19)^2+(C20-C19)^2),IF((L22-C19)&gt;0,SQRT(((B19+((L22-C19)/((L22-C19)-(L22-C20)))*(B20-B19))-B19)^2+(L22-C19)^2),SQRT((B20-(B19+((L22-C19)/((L22-C19)-(L22-C20)))*(B20-B19)))^2+(L22-C20)^2)))))</f>
        <v/>
      </c>
      <c r="O22">
        <f>IF(OR($B$6&lt;=0,M22&lt;=0,N22&lt;=0,$B$4&lt;=0),0,(1/$B$6)*M22*((M22/N22)^(2/3))*SQRT($B$4))</f>
        <v/>
      </c>
    </row>
    <row r="23">
      <c r="I23" t="n">
        <v>15</v>
      </c>
      <c r="J23">
        <f>IF(O22&lt;$B$5,L22,J22)</f>
        <v/>
      </c>
      <c r="K23">
        <f>IF(O22&lt;$B$5,K22,L22)</f>
        <v/>
      </c>
      <c r="L23">
        <f>(J23+K23)/2</f>
        <v/>
      </c>
      <c r="M23">
        <f>(IF(AND((L23-C9)&lt;=0,(L23-C10)&lt;=0),0,IF(AND((L23-C9)&gt;=0,(L23-C10)&gt;=0),0.5*((L23-C9)+(L23-C10))*ABS(B10-B9),IF((L23-C9)&gt;0,0.5*(L23-C9)*ABS((B9+((L23-C9)/((L23-C9)-(L23-C10)))*(B10-B9))-B9),0.5*(L23-C10)*ABS(B10-(B9+((L23-C9)/((L23-C9)-(L23-C10)))*(B10-B9)))))))+(IF(AND((L23-C10)&lt;=0,(L23-C11)&lt;=0),0,IF(AND((L23-C10)&gt;=0,(L23-C11)&gt;=0),0.5*((L23-C10)+(L23-C11))*ABS(B11-B10),IF((L23-C10)&gt;0,0.5*(L23-C10)*ABS((B10+((L23-C10)/((L23-C10)-(L23-C11)))*(B11-B10))-B10),0.5*(L23-C11)*ABS(B11-(B10+((L23-C10)/((L23-C10)-(L23-C11)))*(B11-B10)))))))+(IF(AND((L23-C11)&lt;=0,(L23-C12)&lt;=0),0,IF(AND((L23-C11)&gt;=0,(L23-C12)&gt;=0),0.5*((L23-C11)+(L23-C12))*ABS(B12-B11),IF((L23-C11)&gt;0,0.5*(L23-C11)*ABS((B11+((L23-C11)/((L23-C11)-(L23-C12)))*(B12-B11))-B11),0.5*(L23-C12)*ABS(B12-(B11+((L23-C11)/((L23-C11)-(L23-C12)))*(B12-B11)))))))+(IF(AND((L23-C12)&lt;=0,(L23-C13)&lt;=0),0,IF(AND((L23-C12)&gt;=0,(L23-C13)&gt;=0),0.5*((L23-C12)+(L23-C13))*ABS(B13-B12),IF((L23-C12)&gt;0,0.5*(L23-C12)*ABS((B12+((L23-C12)/((L23-C12)-(L23-C13)))*(B13-B12))-B12),0.5*(L23-C13)*ABS(B13-(B12+((L23-C12)/((L23-C12)-(L23-C13)))*(B13-B12)))))))+(IF(AND((L23-C13)&lt;=0,(L23-C14)&lt;=0),0,IF(AND((L23-C13)&gt;=0,(L23-C14)&gt;=0),0.5*((L23-C13)+(L23-C14))*ABS(B14-B13),IF((L23-C13)&gt;0,0.5*(L23-C13)*ABS((B13+((L23-C13)/((L23-C13)-(L23-C14)))*(B14-B13))-B13),0.5*(L23-C14)*ABS(B14-(B13+((L23-C13)/((L23-C13)-(L23-C14)))*(B14-B13)))))))+(IF(AND((L23-C14)&lt;=0,(L23-C15)&lt;=0),0,IF(AND((L23-C14)&gt;=0,(L23-C15)&gt;=0),0.5*((L23-C14)+(L23-C15))*ABS(B15-B14),IF((L23-C14)&gt;0,0.5*(L23-C14)*ABS((B14+((L23-C14)/((L23-C14)-(L23-C15)))*(B15-B14))-B14),0.5*(L23-C15)*ABS(B15-(B14+((L23-C14)/((L23-C14)-(L23-C15)))*(B15-B14)))))))+(IF(AND((L23-C15)&lt;=0,(L23-C16)&lt;=0),0,IF(AND((L23-C15)&gt;=0,(L23-C16)&gt;=0),0.5*((L23-C15)+(L23-C16))*ABS(B16-B15),IF((L23-C15)&gt;0,0.5*(L23-C15)*ABS((B15+((L23-C15)/((L23-C15)-(L23-C16)))*(B16-B15))-B15),0.5*(L23-C16)*ABS(B16-(B15+((L23-C15)/((L23-C15)-(L23-C16)))*(B16-B15)))))))+(IF(AND((L23-C16)&lt;=0,(L23-C17)&lt;=0),0,IF(AND((L23-C16)&gt;=0,(L23-C17)&gt;=0),0.5*((L23-C16)+(L23-C17))*ABS(B17-B16),IF((L23-C16)&gt;0,0.5*(L23-C16)*ABS((B16+((L23-C16)/((L23-C16)-(L23-C17)))*(B17-B16))-B16),0.5*(L23-C17)*ABS(B17-(B16+((L23-C16)/((L23-C16)-(L23-C17)))*(B17-B16)))))))+(IF(AND((L23-C17)&lt;=0,(L23-C18)&lt;=0),0,IF(AND((L23-C17)&gt;=0,(L23-C18)&gt;=0),0.5*((L23-C17)+(L23-C18))*ABS(B18-B17),IF((L23-C17)&gt;0,0.5*(L23-C17)*ABS((B17+((L23-C17)/((L23-C17)-(L23-C18)))*(B18-B17))-B17),0.5*(L23-C18)*ABS(B18-(B17+((L23-C17)/((L23-C17)-(L23-C18)))*(B18-B17)))))))+(IF(AND((L23-C18)&lt;=0,(L23-C19)&lt;=0),0,IF(AND((L23-C18)&gt;=0,(L23-C19)&gt;=0),0.5*((L23-C18)+(L23-C19))*ABS(B19-B18),IF((L23-C18)&gt;0,0.5*(L23-C18)*ABS((B18+((L23-C18)/((L23-C18)-(L23-C19)))*(B19-B18))-B18),0.5*(L23-C19)*ABS(B19-(B18+((L23-C18)/((L23-C18)-(L23-C19)))*(B19-B18)))))))+(IF(AND((L23-C19)&lt;=0,(L23-C20)&lt;=0),0,IF(AND((L23-C19)&gt;=0,(L23-C20)&gt;=0),0.5*((L23-C19)+(L23-C20))*ABS(B20-B19),IF((L23-C19)&gt;0,0.5*(L23-C19)*ABS((B19+((L23-C19)/((L23-C19)-(L23-C20)))*(B20-B19))-B19),0.5*(L23-C20)*ABS(B20-(B19+((L23-C19)/((L23-C19)-(L23-C20)))*(B20-B19)))))))</f>
        <v/>
      </c>
      <c r="N23">
        <f>(IF(AND((L23-C9)&lt;=0,(L23-C10)&lt;=0),0,IF(AND((L23-C9)&gt;=0,(L23-C10)&gt;=0),SQRT((B10-B9)^2+(C10-C9)^2),IF((L23-C9)&gt;0,SQRT(((B9+((L23-C9)/((L23-C9)-(L23-C10)))*(B10-B9))-B9)^2+(L23-C9)^2),SQRT((B10-(B9+((L23-C9)/((L23-C9)-(L23-C10)))*(B10-B9)))^2+(L23-C10)^2)))))+(IF(AND((L23-C10)&lt;=0,(L23-C11)&lt;=0),0,IF(AND((L23-C10)&gt;=0,(L23-C11)&gt;=0),SQRT((B11-B10)^2+(C11-C10)^2),IF((L23-C10)&gt;0,SQRT(((B10+((L23-C10)/((L23-C10)-(L23-C11)))*(B11-B10))-B10)^2+(L23-C10)^2),SQRT((B11-(B10+((L23-C10)/((L23-C10)-(L23-C11)))*(B11-B10)))^2+(L23-C11)^2)))))+(IF(AND((L23-C11)&lt;=0,(L23-C12)&lt;=0),0,IF(AND((L23-C11)&gt;=0,(L23-C12)&gt;=0),SQRT((B12-B11)^2+(C12-C11)^2),IF((L23-C11)&gt;0,SQRT(((B11+((L23-C11)/((L23-C11)-(L23-C12)))*(B12-B11))-B11)^2+(L23-C11)^2),SQRT((B12-(B11+((L23-C11)/((L23-C11)-(L23-C12)))*(B12-B11)))^2+(L23-C12)^2)))))+(IF(AND((L23-C12)&lt;=0,(L23-C13)&lt;=0),0,IF(AND((L23-C12)&gt;=0,(L23-C13)&gt;=0),SQRT((B13-B12)^2+(C13-C12)^2),IF((L23-C12)&gt;0,SQRT(((B12+((L23-C12)/((L23-C12)-(L23-C13)))*(B13-B12))-B12)^2+(L23-C12)^2),SQRT((B13-(B12+((L23-C12)/((L23-C12)-(L23-C13)))*(B13-B12)))^2+(L23-C13)^2)))))+(IF(AND((L23-C13)&lt;=0,(L23-C14)&lt;=0),0,IF(AND((L23-C13)&gt;=0,(L23-C14)&gt;=0),SQRT((B14-B13)^2+(C14-C13)^2),IF((L23-C13)&gt;0,SQRT(((B13+((L23-C13)/((L23-C13)-(L23-C14)))*(B14-B13))-B13)^2+(L23-C13)^2),SQRT((B14-(B13+((L23-C13)/((L23-C13)-(L23-C14)))*(B14-B13)))^2+(L23-C14)^2)))))+(IF(AND((L23-C14)&lt;=0,(L23-C15)&lt;=0),0,IF(AND((L23-C14)&gt;=0,(L23-C15)&gt;=0),SQRT((B15-B14)^2+(C15-C14)^2),IF((L23-C14)&gt;0,SQRT(((B14+((L23-C14)/((L23-C14)-(L23-C15)))*(B15-B14))-B14)^2+(L23-C14)^2),SQRT((B15-(B14+((L23-C14)/((L23-C14)-(L23-C15)))*(B15-B14)))^2+(L23-C15)^2)))))+(IF(AND((L23-C15)&lt;=0,(L23-C16)&lt;=0),0,IF(AND((L23-C15)&gt;=0,(L23-C16)&gt;=0),SQRT((B16-B15)^2+(C16-C15)^2),IF((L23-C15)&gt;0,SQRT(((B15+((L23-C15)/((L23-C15)-(L23-C16)))*(B16-B15))-B15)^2+(L23-C15)^2),SQRT((B16-(B15+((L23-C15)/((L23-C15)-(L23-C16)))*(B16-B15)))^2+(L23-C16)^2)))))+(IF(AND((L23-C16)&lt;=0,(L23-C17)&lt;=0),0,IF(AND((L23-C16)&gt;=0,(L23-C17)&gt;=0),SQRT((B17-B16)^2+(C17-C16)^2),IF((L23-C16)&gt;0,SQRT(((B16+((L23-C16)/((L23-C16)-(L23-C17)))*(B17-B16))-B16)^2+(L23-C16)^2),SQRT((B17-(B16+((L23-C16)/((L23-C16)-(L23-C17)))*(B17-B16)))^2+(L23-C17)^2)))))+(IF(AND((L23-C17)&lt;=0,(L23-C18)&lt;=0),0,IF(AND((L23-C17)&gt;=0,(L23-C18)&gt;=0),SQRT((B18-B17)^2+(C18-C17)^2),IF((L23-C17)&gt;0,SQRT(((B17+((L23-C17)/((L23-C17)-(L23-C18)))*(B18-B17))-B17)^2+(L23-C17)^2),SQRT((B18-(B17+((L23-C17)/((L23-C17)-(L23-C18)))*(B18-B17)))^2+(L23-C18)^2)))))+(IF(AND((L23-C18)&lt;=0,(L23-C19)&lt;=0),0,IF(AND((L23-C18)&gt;=0,(L23-C19)&gt;=0),SQRT((B19-B18)^2+(C19-C18)^2),IF((L23-C18)&gt;0,SQRT(((B18+((L23-C18)/((L23-C18)-(L23-C19)))*(B19-B18))-B18)^2+(L23-C18)^2),SQRT((B19-(B18+((L23-C18)/((L23-C18)-(L23-C19)))*(B19-B18)))^2+(L23-C19)^2)))))+(IF(AND((L23-C19)&lt;=0,(L23-C20)&lt;=0),0,IF(AND((L23-C19)&gt;=0,(L23-C20)&gt;=0),SQRT((B20-B19)^2+(C20-C19)^2),IF((L23-C19)&gt;0,SQRT(((B19+((L23-C19)/((L23-C19)-(L23-C20)))*(B20-B19))-B19)^2+(L23-C19)^2),SQRT((B20-(B19+((L23-C19)/((L23-C19)-(L23-C20)))*(B20-B19)))^2+(L23-C20)^2)))))</f>
        <v/>
      </c>
      <c r="O23">
        <f>IF(OR($B$6&lt;=0,M23&lt;=0,N23&lt;=0,$B$4&lt;=0),0,(1/$B$6)*M23*((M23/N23)^(2/3))*SQRT($B$4))</f>
        <v/>
      </c>
    </row>
    <row r="24">
      <c r="A24" t="inlineStr">
        <is>
          <t>Fond min (m)</t>
        </is>
      </c>
      <c r="B24">
        <f>MIN(C9:C20)</f>
        <v/>
      </c>
      <c r="I24" t="n">
        <v>16</v>
      </c>
      <c r="J24">
        <f>IF(O23&lt;$B$5,L23,J23)</f>
        <v/>
      </c>
      <c r="K24">
        <f>IF(O23&lt;$B$5,K23,L23)</f>
        <v/>
      </c>
      <c r="L24">
        <f>(J24+K24)/2</f>
        <v/>
      </c>
      <c r="M24">
        <f>(IF(AND((L24-C9)&lt;=0,(L24-C10)&lt;=0),0,IF(AND((L24-C9)&gt;=0,(L24-C10)&gt;=0),0.5*((L24-C9)+(L24-C10))*ABS(B10-B9),IF((L24-C9)&gt;0,0.5*(L24-C9)*ABS((B9+((L24-C9)/((L24-C9)-(L24-C10)))*(B10-B9))-B9),0.5*(L24-C10)*ABS(B10-(B9+((L24-C9)/((L24-C9)-(L24-C10)))*(B10-B9)))))))+(IF(AND((L24-C10)&lt;=0,(L24-C11)&lt;=0),0,IF(AND((L24-C10)&gt;=0,(L24-C11)&gt;=0),0.5*((L24-C10)+(L24-C11))*ABS(B11-B10),IF((L24-C10)&gt;0,0.5*(L24-C10)*ABS((B10+((L24-C10)/((L24-C10)-(L24-C11)))*(B11-B10))-B10),0.5*(L24-C11)*ABS(B11-(B10+((L24-C10)/((L24-C10)-(L24-C11)))*(B11-B10)))))))+(IF(AND((L24-C11)&lt;=0,(L24-C12)&lt;=0),0,IF(AND((L24-C11)&gt;=0,(L24-C12)&gt;=0),0.5*((L24-C11)+(L24-C12))*ABS(B12-B11),IF((L24-C11)&gt;0,0.5*(L24-C11)*ABS((B11+((L24-C11)/((L24-C11)-(L24-C12)))*(B12-B11))-B11),0.5*(L24-C12)*ABS(B12-(B11+((L24-C11)/((L24-C11)-(L24-C12)))*(B12-B11)))))))+(IF(AND((L24-C12)&lt;=0,(L24-C13)&lt;=0),0,IF(AND((L24-C12)&gt;=0,(L24-C13)&gt;=0),0.5*((L24-C12)+(L24-C13))*ABS(B13-B12),IF((L24-C12)&gt;0,0.5*(L24-C12)*ABS((B12+((L24-C12)/((L24-C12)-(L24-C13)))*(B13-B12))-B12),0.5*(L24-C13)*ABS(B13-(B12+((L24-C12)/((L24-C12)-(L24-C13)))*(B13-B12)))))))+(IF(AND((L24-C13)&lt;=0,(L24-C14)&lt;=0),0,IF(AND((L24-C13)&gt;=0,(L24-C14)&gt;=0),0.5*((L24-C13)+(L24-C14))*ABS(B14-B13),IF((L24-C13)&gt;0,0.5*(L24-C13)*ABS((B13+((L24-C13)/((L24-C13)-(L24-C14)))*(B14-B13))-B13),0.5*(L24-C14)*ABS(B14-(B13+((L24-C13)/((L24-C13)-(L24-C14)))*(B14-B13)))))))+(IF(AND((L24-C14)&lt;=0,(L24-C15)&lt;=0),0,IF(AND((L24-C14)&gt;=0,(L24-C15)&gt;=0),0.5*((L24-C14)+(L24-C15))*ABS(B15-B14),IF((L24-C14)&gt;0,0.5*(L24-C14)*ABS((B14+((L24-C14)/((L24-C14)-(L24-C15)))*(B15-B14))-B14),0.5*(L24-C15)*ABS(B15-(B14+((L24-C14)/((L24-C14)-(L24-C15)))*(B15-B14)))))))+(IF(AND((L24-C15)&lt;=0,(L24-C16)&lt;=0),0,IF(AND((L24-C15)&gt;=0,(L24-C16)&gt;=0),0.5*((L24-C15)+(L24-C16))*ABS(B16-B15),IF((L24-C15)&gt;0,0.5*(L24-C15)*ABS((B15+((L24-C15)/((L24-C15)-(L24-C16)))*(B16-B15))-B15),0.5*(L24-C16)*ABS(B16-(B15+((L24-C15)/((L24-C15)-(L24-C16)))*(B16-B15)))))))+(IF(AND((L24-C16)&lt;=0,(L24-C17)&lt;=0),0,IF(AND((L24-C16)&gt;=0,(L24-C17)&gt;=0),0.5*((L24-C16)+(L24-C17))*ABS(B17-B16),IF((L24-C16)&gt;0,0.5*(L24-C16)*ABS((B16+((L24-C16)/((L24-C16)-(L24-C17)))*(B17-B16))-B16),0.5*(L24-C17)*ABS(B17-(B16+((L24-C16)/((L24-C16)-(L24-C17)))*(B17-B16)))))))+(IF(AND((L24-C17)&lt;=0,(L24-C18)&lt;=0),0,IF(AND((L24-C17)&gt;=0,(L24-C18)&gt;=0),0.5*((L24-C17)+(L24-C18))*ABS(B18-B17),IF((L24-C17)&gt;0,0.5*(L24-C17)*ABS((B17+((L24-C17)/((L24-C17)-(L24-C18)))*(B18-B17))-B17),0.5*(L24-C18)*ABS(B18-(B17+((L24-C17)/((L24-C17)-(L24-C18)))*(B18-B17)))))))+(IF(AND((L24-C18)&lt;=0,(L24-C19)&lt;=0),0,IF(AND((L24-C18)&gt;=0,(L24-C19)&gt;=0),0.5*((L24-C18)+(L24-C19))*ABS(B19-B18),IF((L24-C18)&gt;0,0.5*(L24-C18)*ABS((B18+((L24-C18)/((L24-C18)-(L24-C19)))*(B19-B18))-B18),0.5*(L24-C19)*ABS(B19-(B18+((L24-C18)/((L24-C18)-(L24-C19)))*(B19-B18)))))))+(IF(AND((L24-C19)&lt;=0,(L24-C20)&lt;=0),0,IF(AND((L24-C19)&gt;=0,(L24-C20)&gt;=0),0.5*((L24-C19)+(L24-C20))*ABS(B20-B19),IF((L24-C19)&gt;0,0.5*(L24-C19)*ABS((B19+((L24-C19)/((L24-C19)-(L24-C20)))*(B20-B19))-B19),0.5*(L24-C20)*ABS(B20-(B19+((L24-C19)/((L24-C19)-(L24-C20)))*(B20-B19)))))))</f>
        <v/>
      </c>
      <c r="N24">
        <f>(IF(AND((L24-C9)&lt;=0,(L24-C10)&lt;=0),0,IF(AND((L24-C9)&gt;=0,(L24-C10)&gt;=0),SQRT((B10-B9)^2+(C10-C9)^2),IF((L24-C9)&gt;0,SQRT(((B9+((L24-C9)/((L24-C9)-(L24-C10)))*(B10-B9))-B9)^2+(L24-C9)^2),SQRT((B10-(B9+((L24-C9)/((L24-C9)-(L24-C10)))*(B10-B9)))^2+(L24-C10)^2)))))+(IF(AND((L24-C10)&lt;=0,(L24-C11)&lt;=0),0,IF(AND((L24-C10)&gt;=0,(L24-C11)&gt;=0),SQRT((B11-B10)^2+(C11-C10)^2),IF((L24-C10)&gt;0,SQRT(((B10+((L24-C10)/((L24-C10)-(L24-C11)))*(B11-B10))-B10)^2+(L24-C10)^2),SQRT((B11-(B10+((L24-C10)/((L24-C10)-(L24-C11)))*(B11-B10)))^2+(L24-C11)^2)))))+(IF(AND((L24-C11)&lt;=0,(L24-C12)&lt;=0),0,IF(AND((L24-C11)&gt;=0,(L24-C12)&gt;=0),SQRT((B12-B11)^2+(C12-C11)^2),IF((L24-C11)&gt;0,SQRT(((B11+((L24-C11)/((L24-C11)-(L24-C12)))*(B12-B11))-B11)^2+(L24-C11)^2),SQRT((B12-(B11+((L24-C11)/((L24-C11)-(L24-C12)))*(B12-B11)))^2+(L24-C12)^2)))))+(IF(AND((L24-C12)&lt;=0,(L24-C13)&lt;=0),0,IF(AND((L24-C12)&gt;=0,(L24-C13)&gt;=0),SQRT((B13-B12)^2+(C13-C12)^2),IF((L24-C12)&gt;0,SQRT(((B12+((L24-C12)/((L24-C12)-(L24-C13)))*(B13-B12))-B12)^2+(L24-C12)^2),SQRT((B13-(B12+((L24-C12)/((L24-C12)-(L24-C13)))*(B13-B12)))^2+(L24-C13)^2)))))+(IF(AND((L24-C13)&lt;=0,(L24-C14)&lt;=0),0,IF(AND((L24-C13)&gt;=0,(L24-C14)&gt;=0),SQRT((B14-B13)^2+(C14-C13)^2),IF((L24-C13)&gt;0,SQRT(((B13+((L24-C13)/((L24-C13)-(L24-C14)))*(B14-B13))-B13)^2+(L24-C13)^2),SQRT((B14-(B13+((L24-C13)/((L24-C13)-(L24-C14)))*(B14-B13)))^2+(L24-C14)^2)))))+(IF(AND((L24-C14)&lt;=0,(L24-C15)&lt;=0),0,IF(AND((L24-C14)&gt;=0,(L24-C15)&gt;=0),SQRT((B15-B14)^2+(C15-C14)^2),IF((L24-C14)&gt;0,SQRT(((B14+((L24-C14)/((L24-C14)-(L24-C15)))*(B15-B14))-B14)^2+(L24-C14)^2),SQRT((B15-(B14+((L24-C14)/((L24-C14)-(L24-C15)))*(B15-B14)))^2+(L24-C15)^2)))))+(IF(AND((L24-C15)&lt;=0,(L24-C16)&lt;=0),0,IF(AND((L24-C15)&gt;=0,(L24-C16)&gt;=0),SQRT((B16-B15)^2+(C16-C15)^2),IF((L24-C15)&gt;0,SQRT(((B15+((L24-C15)/((L24-C15)-(L24-C16)))*(B16-B15))-B15)^2+(L24-C15)^2),SQRT((B16-(B15+((L24-C15)/((L24-C15)-(L24-C16)))*(B16-B15)))^2+(L24-C16)^2)))))+(IF(AND((L24-C16)&lt;=0,(L24-C17)&lt;=0),0,IF(AND((L24-C16)&gt;=0,(L24-C17)&gt;=0),SQRT((B17-B16)^2+(C17-C16)^2),IF((L24-C16)&gt;0,SQRT(((B16+((L24-C16)/((L24-C16)-(L24-C17)))*(B17-B16))-B16)^2+(L24-C16)^2),SQRT((B17-(B16+((L24-C16)/((L24-C16)-(L24-C17)))*(B17-B16)))^2+(L24-C17)^2)))))+(IF(AND((L24-C17)&lt;=0,(L24-C18)&lt;=0),0,IF(AND((L24-C17)&gt;=0,(L24-C18)&gt;=0),SQRT((B18-B17)^2+(C18-C17)^2),IF((L24-C17)&gt;0,SQRT(((B17+((L24-C17)/((L24-C17)-(L24-C18)))*(B18-B17))-B17)^2+(L24-C17)^2),SQRT((B18-(B17+((L24-C17)/((L24-C17)-(L24-C18)))*(B18-B17)))^2+(L24-C18)^2)))))+(IF(AND((L24-C18)&lt;=0,(L24-C19)&lt;=0),0,IF(AND((L24-C18)&gt;=0,(L24-C19)&gt;=0),SQRT((B19-B18)^2+(C19-C18)^2),IF((L24-C18)&gt;0,SQRT(((B18+((L24-C18)/((L24-C18)-(L24-C19)))*(B19-B18))-B18)^2+(L24-C18)^2),SQRT((B19-(B18+((L24-C18)/((L24-C18)-(L24-C19)))*(B19-B18)))^2+(L24-C19)^2)))))+(IF(AND((L24-C19)&lt;=0,(L24-C20)&lt;=0),0,IF(AND((L24-C19)&gt;=0,(L24-C20)&gt;=0),SQRT((B20-B19)^2+(C20-C19)^2),IF((L24-C19)&gt;0,SQRT(((B19+((L24-C19)/((L24-C19)-(L24-C20)))*(B20-B19))-B19)^2+(L24-C19)^2),SQRT((B20-(B19+((L24-C19)/((L24-C19)-(L24-C20)))*(B20-B19)))^2+(L24-C20)^2)))))</f>
        <v/>
      </c>
      <c r="O24">
        <f>IF(OR($B$6&lt;=0,M24&lt;=0,N24&lt;=0,$B$4&lt;=0),0,(1/$B$6)*M24*((M24/N24)^(2/3))*SQRT($B$4))</f>
        <v/>
      </c>
    </row>
    <row r="25">
      <c r="A25" t="inlineStr">
        <is>
          <t>y = WSE − fond (m)</t>
        </is>
      </c>
      <c r="B25">
        <f>IF(ISNUMBER(B2),B2-B24,"")</f>
        <v/>
      </c>
      <c r="I25" t="n">
        <v>17</v>
      </c>
      <c r="J25">
        <f>IF(O24&lt;$B$5,L24,J24)</f>
        <v/>
      </c>
      <c r="K25">
        <f>IF(O24&lt;$B$5,K24,L24)</f>
        <v/>
      </c>
      <c r="L25">
        <f>(J25+K25)/2</f>
        <v/>
      </c>
      <c r="M25">
        <f>(IF(AND((L25-C9)&lt;=0,(L25-C10)&lt;=0),0,IF(AND((L25-C9)&gt;=0,(L25-C10)&gt;=0),0.5*((L25-C9)+(L25-C10))*ABS(B10-B9),IF((L25-C9)&gt;0,0.5*(L25-C9)*ABS((B9+((L25-C9)/((L25-C9)-(L25-C10)))*(B10-B9))-B9),0.5*(L25-C10)*ABS(B10-(B9+((L25-C9)/((L25-C9)-(L25-C10)))*(B10-B9)))))))+(IF(AND((L25-C10)&lt;=0,(L25-C11)&lt;=0),0,IF(AND((L25-C10)&gt;=0,(L25-C11)&gt;=0),0.5*((L25-C10)+(L25-C11))*ABS(B11-B10),IF((L25-C10)&gt;0,0.5*(L25-C10)*ABS((B10+((L25-C10)/((L25-C10)-(L25-C11)))*(B11-B10))-B10),0.5*(L25-C11)*ABS(B11-(B10+((L25-C10)/((L25-C10)-(L25-C11)))*(B11-B10)))))))+(IF(AND((L25-C11)&lt;=0,(L25-C12)&lt;=0),0,IF(AND((L25-C11)&gt;=0,(L25-C12)&gt;=0),0.5*((L25-C11)+(L25-C12))*ABS(B12-B11),IF((L25-C11)&gt;0,0.5*(L25-C11)*ABS((B11+((L25-C11)/((L25-C11)-(L25-C12)))*(B12-B11))-B11),0.5*(L25-C12)*ABS(B12-(B11+((L25-C11)/((L25-C11)-(L25-C12)))*(B12-B11)))))))+(IF(AND((L25-C12)&lt;=0,(L25-C13)&lt;=0),0,IF(AND((L25-C12)&gt;=0,(L25-C13)&gt;=0),0.5*((L25-C12)+(L25-C13))*ABS(B13-B12),IF((L25-C12)&gt;0,0.5*(L25-C12)*ABS((B12+((L25-C12)/((L25-C12)-(L25-C13)))*(B13-B12))-B12),0.5*(L25-C13)*ABS(B13-(B12+((L25-C12)/((L25-C12)-(L25-C13)))*(B13-B12)))))))+(IF(AND((L25-C13)&lt;=0,(L25-C14)&lt;=0),0,IF(AND((L25-C13)&gt;=0,(L25-C14)&gt;=0),0.5*((L25-C13)+(L25-C14))*ABS(B14-B13),IF((L25-C13)&gt;0,0.5*(L25-C13)*ABS((B13+((L25-C13)/((L25-C13)-(L25-C14)))*(B14-B13))-B13),0.5*(L25-C14)*ABS(B14-(B13+((L25-C13)/((L25-C13)-(L25-C14)))*(B14-B13)))))))+(IF(AND((L25-C14)&lt;=0,(L25-C15)&lt;=0),0,IF(AND((L25-C14)&gt;=0,(L25-C15)&gt;=0),0.5*((L25-C14)+(L25-C15))*ABS(B15-B14),IF((L25-C14)&gt;0,0.5*(L25-C14)*ABS((B14+((L25-C14)/((L25-C14)-(L25-C15)))*(B15-B14))-B14),0.5*(L25-C15)*ABS(B15-(B14+((L25-C14)/((L25-C14)-(L25-C15)))*(B15-B14)))))))+(IF(AND((L25-C15)&lt;=0,(L25-C16)&lt;=0),0,IF(AND((L25-C15)&gt;=0,(L25-C16)&gt;=0),0.5*((L25-C15)+(L25-C16))*ABS(B16-B15),IF((L25-C15)&gt;0,0.5*(L25-C15)*ABS((B15+((L25-C15)/((L25-C15)-(L25-C16)))*(B16-B15))-B15),0.5*(L25-C16)*ABS(B16-(B15+((L25-C15)/((L25-C15)-(L25-C16)))*(B16-B15)))))))+(IF(AND((L25-C16)&lt;=0,(L25-C17)&lt;=0),0,IF(AND((L25-C16)&gt;=0,(L25-C17)&gt;=0),0.5*((L25-C16)+(L25-C17))*ABS(B17-B16),IF((L25-C16)&gt;0,0.5*(L25-C16)*ABS((B16+((L25-C16)/((L25-C16)-(L25-C17)))*(B17-B16))-B16),0.5*(L25-C17)*ABS(B17-(B16+((L25-C16)/((L25-C16)-(L25-C17)))*(B17-B16)))))))+(IF(AND((L25-C17)&lt;=0,(L25-C18)&lt;=0),0,IF(AND((L25-C17)&gt;=0,(L25-C18)&gt;=0),0.5*((L25-C17)+(L25-C18))*ABS(B18-B17),IF((L25-C17)&gt;0,0.5*(L25-C17)*ABS((B17+((L25-C17)/((L25-C17)-(L25-C18)))*(B18-B17))-B17),0.5*(L25-C18)*ABS(B18-(B17+((L25-C17)/((L25-C17)-(L25-C18)))*(B18-B17)))))))+(IF(AND((L25-C18)&lt;=0,(L25-C19)&lt;=0),0,IF(AND((L25-C18)&gt;=0,(L25-C19)&gt;=0),0.5*((L25-C18)+(L25-C19))*ABS(B19-B18),IF((L25-C18)&gt;0,0.5*(L25-C18)*ABS((B18+((L25-C18)/((L25-C18)-(L25-C19)))*(B19-B18))-B18),0.5*(L25-C19)*ABS(B19-(B18+((L25-C18)/((L25-C18)-(L25-C19)))*(B19-B18)))))))+(IF(AND((L25-C19)&lt;=0,(L25-C20)&lt;=0),0,IF(AND((L25-C19)&gt;=0,(L25-C20)&gt;=0),0.5*((L25-C19)+(L25-C20))*ABS(B20-B19),IF((L25-C19)&gt;0,0.5*(L25-C19)*ABS((B19+((L25-C19)/((L25-C19)-(L25-C20)))*(B20-B19))-B19),0.5*(L25-C20)*ABS(B20-(B19+((L25-C19)/((L25-C19)-(L25-C20)))*(B20-B19)))))))</f>
        <v/>
      </c>
      <c r="N25">
        <f>(IF(AND((L25-C9)&lt;=0,(L25-C10)&lt;=0),0,IF(AND((L25-C9)&gt;=0,(L25-C10)&gt;=0),SQRT((B10-B9)^2+(C10-C9)^2),IF((L25-C9)&gt;0,SQRT(((B9+((L25-C9)/((L25-C9)-(L25-C10)))*(B10-B9))-B9)^2+(L25-C9)^2),SQRT((B10-(B9+((L25-C9)/((L25-C9)-(L25-C10)))*(B10-B9)))^2+(L25-C10)^2)))))+(IF(AND((L25-C10)&lt;=0,(L25-C11)&lt;=0),0,IF(AND((L25-C10)&gt;=0,(L25-C11)&gt;=0),SQRT((B11-B10)^2+(C11-C10)^2),IF((L25-C10)&gt;0,SQRT(((B10+((L25-C10)/((L25-C10)-(L25-C11)))*(B11-B10))-B10)^2+(L25-C10)^2),SQRT((B11-(B10+((L25-C10)/((L25-C10)-(L25-C11)))*(B11-B10)))^2+(L25-C11)^2)))))+(IF(AND((L25-C11)&lt;=0,(L25-C12)&lt;=0),0,IF(AND((L25-C11)&gt;=0,(L25-C12)&gt;=0),SQRT((B12-B11)^2+(C12-C11)^2),IF((L25-C11)&gt;0,SQRT(((B11+((L25-C11)/((L25-C11)-(L25-C12)))*(B12-B11))-B11)^2+(L25-C11)^2),SQRT((B12-(B11+((L25-C11)/((L25-C11)-(L25-C12)))*(B12-B11)))^2+(L25-C12)^2)))))+(IF(AND((L25-C12)&lt;=0,(L25-C13)&lt;=0),0,IF(AND((L25-C12)&gt;=0,(L25-C13)&gt;=0),SQRT((B13-B12)^2+(C13-C12)^2),IF((L25-C12)&gt;0,SQRT(((B12+((L25-C12)/((L25-C12)-(L25-C13)))*(B13-B12))-B12)^2+(L25-C12)^2),SQRT((B13-(B12+((L25-C12)/((L25-C12)-(L25-C13)))*(B13-B12)))^2+(L25-C13)^2)))))+(IF(AND((L25-C13)&lt;=0,(L25-C14)&lt;=0),0,IF(AND((L25-C13)&gt;=0,(L25-C14)&gt;=0),SQRT((B14-B13)^2+(C14-C13)^2),IF((L25-C13)&gt;0,SQRT(((B13+((L25-C13)/((L25-C13)-(L25-C14)))*(B14-B13))-B13)^2+(L25-C13)^2),SQRT((B14-(B13+((L25-C13)/((L25-C13)-(L25-C14)))*(B14-B13)))^2+(L25-C14)^2)))))+(IF(AND((L25-C14)&lt;=0,(L25-C15)&lt;=0),0,IF(AND((L25-C14)&gt;=0,(L25-C15)&gt;=0),SQRT((B15-B14)^2+(C15-C14)^2),IF((L25-C14)&gt;0,SQRT(((B14+((L25-C14)/((L25-C14)-(L25-C15)))*(B15-B14))-B14)^2+(L25-C14)^2),SQRT((B15-(B14+((L25-C14)/((L25-C14)-(L25-C15)))*(B15-B14)))^2+(L25-C15)^2)))))+(IF(AND((L25-C15)&lt;=0,(L25-C16)&lt;=0),0,IF(AND((L25-C15)&gt;=0,(L25-C16)&gt;=0),SQRT((B16-B15)^2+(C16-C15)^2),IF((L25-C15)&gt;0,SQRT(((B15+((L25-C15)/((L25-C15)-(L25-C16)))*(B16-B15))-B15)^2+(L25-C15)^2),SQRT((B16-(B15+((L25-C15)/((L25-C15)-(L25-C16)))*(B16-B15)))^2+(L25-C16)^2)))))+(IF(AND((L25-C16)&lt;=0,(L25-C17)&lt;=0),0,IF(AND((L25-C16)&gt;=0,(L25-C17)&gt;=0),SQRT((B17-B16)^2+(C17-C16)^2),IF((L25-C16)&gt;0,SQRT(((B16+((L25-C16)/((L25-C16)-(L25-C17)))*(B17-B16))-B16)^2+(L25-C16)^2),SQRT((B17-(B16+((L25-C16)/((L25-C16)-(L25-C17)))*(B17-B16)))^2+(L25-C17)^2)))))+(IF(AND((L25-C17)&lt;=0,(L25-C18)&lt;=0),0,IF(AND((L25-C17)&gt;=0,(L25-C18)&gt;=0),SQRT((B18-B17)^2+(C18-C17)^2),IF((L25-C17)&gt;0,SQRT(((B17+((L25-C17)/((L25-C17)-(L25-C18)))*(B18-B17))-B17)^2+(L25-C17)^2),SQRT((B18-(B17+((L25-C17)/((L25-C17)-(L25-C18)))*(B18-B17)))^2+(L25-C18)^2)))))+(IF(AND((L25-C18)&lt;=0,(L25-C19)&lt;=0),0,IF(AND((L25-C18)&gt;=0,(L25-C19)&gt;=0),SQRT((B19-B18)^2+(C19-C18)^2),IF((L25-C18)&gt;0,SQRT(((B18+((L25-C18)/((L25-C18)-(L25-C19)))*(B19-B18))-B18)^2+(L25-C18)^2),SQRT((B19-(B18+((L25-C18)/((L25-C18)-(L25-C19)))*(B19-B18)))^2+(L25-C19)^2)))))+(IF(AND((L25-C19)&lt;=0,(L25-C20)&lt;=0),0,IF(AND((L25-C19)&gt;=0,(L25-C20)&gt;=0),SQRT((B20-B19)^2+(C20-C19)^2),IF((L25-C19)&gt;0,SQRT(((B19+((L25-C19)/((L25-C19)-(L25-C20)))*(B20-B19))-B19)^2+(L25-C19)^2),SQRT((B20-(B19+((L25-C19)/((L25-C19)-(L25-C20)))*(B20-B19)))^2+(L25-C20)^2)))))</f>
        <v/>
      </c>
      <c r="O25">
        <f>IF(OR($B$6&lt;=0,M25&lt;=0,N25&lt;=0,$B$4&lt;=0),0,(1/$B$6)*M25*((M25/N25)^(2/3))*SQRT($B$4))</f>
        <v/>
      </c>
    </row>
    <row r="26">
      <c r="A26" t="inlineStr">
        <is>
          <t>A (m²)</t>
        </is>
      </c>
      <c r="B26" s="9">
        <f>F22</f>
        <v/>
      </c>
      <c r="I26" t="n">
        <v>18</v>
      </c>
      <c r="J26">
        <f>IF(O25&lt;$B$5,L25,J25)</f>
        <v/>
      </c>
      <c r="K26">
        <f>IF(O25&lt;$B$5,K25,L25)</f>
        <v/>
      </c>
      <c r="L26">
        <f>(J26+K26)/2</f>
        <v/>
      </c>
      <c r="M26">
        <f>(IF(AND((L26-C9)&lt;=0,(L26-C10)&lt;=0),0,IF(AND((L26-C9)&gt;=0,(L26-C10)&gt;=0),0.5*((L26-C9)+(L26-C10))*ABS(B10-B9),IF((L26-C9)&gt;0,0.5*(L26-C9)*ABS((B9+((L26-C9)/((L26-C9)-(L26-C10)))*(B10-B9))-B9),0.5*(L26-C10)*ABS(B10-(B9+((L26-C9)/((L26-C9)-(L26-C10)))*(B10-B9)))))))+(IF(AND((L26-C10)&lt;=0,(L26-C11)&lt;=0),0,IF(AND((L26-C10)&gt;=0,(L26-C11)&gt;=0),0.5*((L26-C10)+(L26-C11))*ABS(B11-B10),IF((L26-C10)&gt;0,0.5*(L26-C10)*ABS((B10+((L26-C10)/((L26-C10)-(L26-C11)))*(B11-B10))-B10),0.5*(L26-C11)*ABS(B11-(B10+((L26-C10)/((L26-C10)-(L26-C11)))*(B11-B10)))))))+(IF(AND((L26-C11)&lt;=0,(L26-C12)&lt;=0),0,IF(AND((L26-C11)&gt;=0,(L26-C12)&gt;=0),0.5*((L26-C11)+(L26-C12))*ABS(B12-B11),IF((L26-C11)&gt;0,0.5*(L26-C11)*ABS((B11+((L26-C11)/((L26-C11)-(L26-C12)))*(B12-B11))-B11),0.5*(L26-C12)*ABS(B12-(B11+((L26-C11)/((L26-C11)-(L26-C12)))*(B12-B11)))))))+(IF(AND((L26-C12)&lt;=0,(L26-C13)&lt;=0),0,IF(AND((L26-C12)&gt;=0,(L26-C13)&gt;=0),0.5*((L26-C12)+(L26-C13))*ABS(B13-B12),IF((L26-C12)&gt;0,0.5*(L26-C12)*ABS((B12+((L26-C12)/((L26-C12)-(L26-C13)))*(B13-B12))-B12),0.5*(L26-C13)*ABS(B13-(B12+((L26-C12)/((L26-C12)-(L26-C13)))*(B13-B12)))))))+(IF(AND((L26-C13)&lt;=0,(L26-C14)&lt;=0),0,IF(AND((L26-C13)&gt;=0,(L26-C14)&gt;=0),0.5*((L26-C13)+(L26-C14))*ABS(B14-B13),IF((L26-C13)&gt;0,0.5*(L26-C13)*ABS((B13+((L26-C13)/((L26-C13)-(L26-C14)))*(B14-B13))-B13),0.5*(L26-C14)*ABS(B14-(B13+((L26-C13)/((L26-C13)-(L26-C14)))*(B14-B13)))))))+(IF(AND((L26-C14)&lt;=0,(L26-C15)&lt;=0),0,IF(AND((L26-C14)&gt;=0,(L26-C15)&gt;=0),0.5*((L26-C14)+(L26-C15))*ABS(B15-B14),IF((L26-C14)&gt;0,0.5*(L26-C14)*ABS((B14+((L26-C14)/((L26-C14)-(L26-C15)))*(B15-B14))-B14),0.5*(L26-C15)*ABS(B15-(B14+((L26-C14)/((L26-C14)-(L26-C15)))*(B15-B14)))))))+(IF(AND((L26-C15)&lt;=0,(L26-C16)&lt;=0),0,IF(AND((L26-C15)&gt;=0,(L26-C16)&gt;=0),0.5*((L26-C15)+(L26-C16))*ABS(B16-B15),IF((L26-C15)&gt;0,0.5*(L26-C15)*ABS((B15+((L26-C15)/((L26-C15)-(L26-C16)))*(B16-B15))-B15),0.5*(L26-C16)*ABS(B16-(B15+((L26-C15)/((L26-C15)-(L26-C16)))*(B16-B15)))))))+(IF(AND((L26-C16)&lt;=0,(L26-C17)&lt;=0),0,IF(AND((L26-C16)&gt;=0,(L26-C17)&gt;=0),0.5*((L26-C16)+(L26-C17))*ABS(B17-B16),IF((L26-C16)&gt;0,0.5*(L26-C16)*ABS((B16+((L26-C16)/((L26-C16)-(L26-C17)))*(B17-B16))-B16),0.5*(L26-C17)*ABS(B17-(B16+((L26-C16)/((L26-C16)-(L26-C17)))*(B17-B16)))))))+(IF(AND((L26-C17)&lt;=0,(L26-C18)&lt;=0),0,IF(AND((L26-C17)&gt;=0,(L26-C18)&gt;=0),0.5*((L26-C17)+(L26-C18))*ABS(B18-B17),IF((L26-C17)&gt;0,0.5*(L26-C17)*ABS((B17+((L26-C17)/((L26-C17)-(L26-C18)))*(B18-B17))-B17),0.5*(L26-C18)*ABS(B18-(B17+((L26-C17)/((L26-C17)-(L26-C18)))*(B18-B17)))))))+(IF(AND((L26-C18)&lt;=0,(L26-C19)&lt;=0),0,IF(AND((L26-C18)&gt;=0,(L26-C19)&gt;=0),0.5*((L26-C18)+(L26-C19))*ABS(B19-B18),IF((L26-C18)&gt;0,0.5*(L26-C18)*ABS((B18+((L26-C18)/((L26-C18)-(L26-C19)))*(B19-B18))-B18),0.5*(L26-C19)*ABS(B19-(B18+((L26-C18)/((L26-C18)-(L26-C19)))*(B19-B18)))))))+(IF(AND((L26-C19)&lt;=0,(L26-C20)&lt;=0),0,IF(AND((L26-C19)&gt;=0,(L26-C20)&gt;=0),0.5*((L26-C19)+(L26-C20))*ABS(B20-B19),IF((L26-C19)&gt;0,0.5*(L26-C19)*ABS((B19+((L26-C19)/((L26-C19)-(L26-C20)))*(B20-B19))-B19),0.5*(L26-C20)*ABS(B20-(B19+((L26-C19)/((L26-C19)-(L26-C20)))*(B20-B19)))))))</f>
        <v/>
      </c>
      <c r="N26">
        <f>(IF(AND((L26-C9)&lt;=0,(L26-C10)&lt;=0),0,IF(AND((L26-C9)&gt;=0,(L26-C10)&gt;=0),SQRT((B10-B9)^2+(C10-C9)^2),IF((L26-C9)&gt;0,SQRT(((B9+((L26-C9)/((L26-C9)-(L26-C10)))*(B10-B9))-B9)^2+(L26-C9)^2),SQRT((B10-(B9+((L26-C9)/((L26-C9)-(L26-C10)))*(B10-B9)))^2+(L26-C10)^2)))))+(IF(AND((L26-C10)&lt;=0,(L26-C11)&lt;=0),0,IF(AND((L26-C10)&gt;=0,(L26-C11)&gt;=0),SQRT((B11-B10)^2+(C11-C10)^2),IF((L26-C10)&gt;0,SQRT(((B10+((L26-C10)/((L26-C10)-(L26-C11)))*(B11-B10))-B10)^2+(L26-C10)^2),SQRT((B11-(B10+((L26-C10)/((L26-C10)-(L26-C11)))*(B11-B10)))^2+(L26-C11)^2)))))+(IF(AND((L26-C11)&lt;=0,(L26-C12)&lt;=0),0,IF(AND((L26-C11)&gt;=0,(L26-C12)&gt;=0),SQRT((B12-B11)^2+(C12-C11)^2),IF((L26-C11)&gt;0,SQRT(((B11+((L26-C11)/((L26-C11)-(L26-C12)))*(B12-B11))-B11)^2+(L26-C11)^2),SQRT((B12-(B11+((L26-C11)/((L26-C11)-(L26-C12)))*(B12-B11)))^2+(L26-C12)^2)))))+(IF(AND((L26-C12)&lt;=0,(L26-C13)&lt;=0),0,IF(AND((L26-C12)&gt;=0,(L26-C13)&gt;=0),SQRT((B13-B12)^2+(C13-C12)^2),IF((L26-C12)&gt;0,SQRT(((B12+((L26-C12)/((L26-C12)-(L26-C13)))*(B13-B12))-B12)^2+(L26-C12)^2),SQRT((B13-(B12+((L26-C12)/((L26-C12)-(L26-C13)))*(B13-B12)))^2+(L26-C13)^2)))))+(IF(AND((L26-C13)&lt;=0,(L26-C14)&lt;=0),0,IF(AND((L26-C13)&gt;=0,(L26-C14)&gt;=0),SQRT((B14-B13)^2+(C14-C13)^2),IF((L26-C13)&gt;0,SQRT(((B13+((L26-C13)/((L26-C13)-(L26-C14)))*(B14-B13))-B13)^2+(L26-C13)^2),SQRT((B14-(B13+((L26-C13)/((L26-C13)-(L26-C14)))*(B14-B13)))^2+(L26-C14)^2)))))+(IF(AND((L26-C14)&lt;=0,(L26-C15)&lt;=0),0,IF(AND((L26-C14)&gt;=0,(L26-C15)&gt;=0),SQRT((B15-B14)^2+(C15-C14)^2),IF((L26-C14)&gt;0,SQRT(((B14+((L26-C14)/((L26-C14)-(L26-C15)))*(B15-B14))-B14)^2+(L26-C14)^2),SQRT((B15-(B14+((L26-C14)/((L26-C14)-(L26-C15)))*(B15-B14)))^2+(L26-C15)^2)))))+(IF(AND((L26-C15)&lt;=0,(L26-C16)&lt;=0),0,IF(AND((L26-C15)&gt;=0,(L26-C16)&gt;=0),SQRT((B16-B15)^2+(C16-C15)^2),IF((L26-C15)&gt;0,SQRT(((B15+((L26-C15)/((L26-C15)-(L26-C16)))*(B16-B15))-B15)^2+(L26-C15)^2),SQRT((B16-(B15+((L26-C15)/((L26-C15)-(L26-C16)))*(B16-B15)))^2+(L26-C16)^2)))))+(IF(AND((L26-C16)&lt;=0,(L26-C17)&lt;=0),0,IF(AND((L26-C16)&gt;=0,(L26-C17)&gt;=0),SQRT((B17-B16)^2+(C17-C16)^2),IF((L26-C16)&gt;0,SQRT(((B16+((L26-C16)/((L26-C16)-(L26-C17)))*(B17-B16))-B16)^2+(L26-C16)^2),SQRT((B17-(B16+((L26-C16)/((L26-C16)-(L26-C17)))*(B17-B16)))^2+(L26-C17)^2)))))+(IF(AND((L26-C17)&lt;=0,(L26-C18)&lt;=0),0,IF(AND((L26-C17)&gt;=0,(L26-C18)&gt;=0),SQRT((B18-B17)^2+(C18-C17)^2),IF((L26-C17)&gt;0,SQRT(((B17+((L26-C17)/((L26-C17)-(L26-C18)))*(B18-B17))-B17)^2+(L26-C17)^2),SQRT((B18-(B17+((L26-C17)/((L26-C17)-(L26-C18)))*(B18-B17)))^2+(L26-C18)^2)))))+(IF(AND((L26-C18)&lt;=0,(L26-C19)&lt;=0),0,IF(AND((L26-C18)&gt;=0,(L26-C19)&gt;=0),SQRT((B19-B18)^2+(C19-C18)^2),IF((L26-C18)&gt;0,SQRT(((B18+((L26-C18)/((L26-C18)-(L26-C19)))*(B19-B18))-B18)^2+(L26-C18)^2),SQRT((B19-(B18+((L26-C18)/((L26-C18)-(L26-C19)))*(B19-B18)))^2+(L26-C19)^2)))))+(IF(AND((L26-C19)&lt;=0,(L26-C20)&lt;=0),0,IF(AND((L26-C19)&gt;=0,(L26-C20)&gt;=0),SQRT((B20-B19)^2+(C20-C19)^2),IF((L26-C19)&gt;0,SQRT(((B19+((L26-C19)/((L26-C19)-(L26-C20)))*(B20-B19))-B19)^2+(L26-C19)^2),SQRT((B20-(B19+((L26-C19)/((L26-C19)-(L26-C20)))*(B20-B19)))^2+(L26-C20)^2)))))</f>
        <v/>
      </c>
      <c r="O26">
        <f>IF(OR($B$6&lt;=0,M26&lt;=0,N26&lt;=0,$B$4&lt;=0),0,(1/$B$6)*M26*((M26/N26)^(2/3))*SQRT($B$4))</f>
        <v/>
      </c>
    </row>
    <row r="27">
      <c r="A27" t="inlineStr">
        <is>
          <t>P (m)</t>
        </is>
      </c>
      <c r="B27" s="9">
        <f>G22</f>
        <v/>
      </c>
      <c r="I27" t="n">
        <v>19</v>
      </c>
      <c r="J27">
        <f>IF(O26&lt;$B$5,L26,J26)</f>
        <v/>
      </c>
      <c r="K27">
        <f>IF(O26&lt;$B$5,K26,L26)</f>
        <v/>
      </c>
      <c r="L27">
        <f>(J27+K27)/2</f>
        <v/>
      </c>
      <c r="M27">
        <f>(IF(AND((L27-C9)&lt;=0,(L27-C10)&lt;=0),0,IF(AND((L27-C9)&gt;=0,(L27-C10)&gt;=0),0.5*((L27-C9)+(L27-C10))*ABS(B10-B9),IF((L27-C9)&gt;0,0.5*(L27-C9)*ABS((B9+((L27-C9)/((L27-C9)-(L27-C10)))*(B10-B9))-B9),0.5*(L27-C10)*ABS(B10-(B9+((L27-C9)/((L27-C9)-(L27-C10)))*(B10-B9)))))))+(IF(AND((L27-C10)&lt;=0,(L27-C11)&lt;=0),0,IF(AND((L27-C10)&gt;=0,(L27-C11)&gt;=0),0.5*((L27-C10)+(L27-C11))*ABS(B11-B10),IF((L27-C10)&gt;0,0.5*(L27-C10)*ABS((B10+((L27-C10)/((L27-C10)-(L27-C11)))*(B11-B10))-B10),0.5*(L27-C11)*ABS(B11-(B10+((L27-C10)/((L27-C10)-(L27-C11)))*(B11-B10)))))))+(IF(AND((L27-C11)&lt;=0,(L27-C12)&lt;=0),0,IF(AND((L27-C11)&gt;=0,(L27-C12)&gt;=0),0.5*((L27-C11)+(L27-C12))*ABS(B12-B11),IF((L27-C11)&gt;0,0.5*(L27-C11)*ABS((B11+((L27-C11)/((L27-C11)-(L27-C12)))*(B12-B11))-B11),0.5*(L27-C12)*ABS(B12-(B11+((L27-C11)/((L27-C11)-(L27-C12)))*(B12-B11)))))))+(IF(AND((L27-C12)&lt;=0,(L27-C13)&lt;=0),0,IF(AND((L27-C12)&gt;=0,(L27-C13)&gt;=0),0.5*((L27-C12)+(L27-C13))*ABS(B13-B12),IF((L27-C12)&gt;0,0.5*(L27-C12)*ABS((B12+((L27-C12)/((L27-C12)-(L27-C13)))*(B13-B12))-B12),0.5*(L27-C13)*ABS(B13-(B12+((L27-C12)/((L27-C12)-(L27-C13)))*(B13-B12)))))))+(IF(AND((L27-C13)&lt;=0,(L27-C14)&lt;=0),0,IF(AND((L27-C13)&gt;=0,(L27-C14)&gt;=0),0.5*((L27-C13)+(L27-C14))*ABS(B14-B13),IF((L27-C13)&gt;0,0.5*(L27-C13)*ABS((B13+((L27-C13)/((L27-C13)-(L27-C14)))*(B14-B13))-B13),0.5*(L27-C14)*ABS(B14-(B13+((L27-C13)/((L27-C13)-(L27-C14)))*(B14-B13)))))))+(IF(AND((L27-C14)&lt;=0,(L27-C15)&lt;=0),0,IF(AND((L27-C14)&gt;=0,(L27-C15)&gt;=0),0.5*((L27-C14)+(L27-C15))*ABS(B15-B14),IF((L27-C14)&gt;0,0.5*(L27-C14)*ABS((B14+((L27-C14)/((L27-C14)-(L27-C15)))*(B15-B14))-B14),0.5*(L27-C15)*ABS(B15-(B14+((L27-C14)/((L27-C14)-(L27-C15)))*(B15-B14)))))))+(IF(AND((L27-C15)&lt;=0,(L27-C16)&lt;=0),0,IF(AND((L27-C15)&gt;=0,(L27-C16)&gt;=0),0.5*((L27-C15)+(L27-C16))*ABS(B16-B15),IF((L27-C15)&gt;0,0.5*(L27-C15)*ABS((B15+((L27-C15)/((L27-C15)-(L27-C16)))*(B16-B15))-B15),0.5*(L27-C16)*ABS(B16-(B15+((L27-C15)/((L27-C15)-(L27-C16)))*(B16-B15)))))))+(IF(AND((L27-C16)&lt;=0,(L27-C17)&lt;=0),0,IF(AND((L27-C16)&gt;=0,(L27-C17)&gt;=0),0.5*((L27-C16)+(L27-C17))*ABS(B17-B16),IF((L27-C16)&gt;0,0.5*(L27-C16)*ABS((B16+((L27-C16)/((L27-C16)-(L27-C17)))*(B17-B16))-B16),0.5*(L27-C17)*ABS(B17-(B16+((L27-C16)/((L27-C16)-(L27-C17)))*(B17-B16)))))))+(IF(AND((L27-C17)&lt;=0,(L27-C18)&lt;=0),0,IF(AND((L27-C17)&gt;=0,(L27-C18)&gt;=0),0.5*((L27-C17)+(L27-C18))*ABS(B18-B17),IF((L27-C17)&gt;0,0.5*(L27-C17)*ABS((B17+((L27-C17)/((L27-C17)-(L27-C18)))*(B18-B17))-B17),0.5*(L27-C18)*ABS(B18-(B17+((L27-C17)/((L27-C17)-(L27-C18)))*(B18-B17)))))))+(IF(AND((L27-C18)&lt;=0,(L27-C19)&lt;=0),0,IF(AND((L27-C18)&gt;=0,(L27-C19)&gt;=0),0.5*((L27-C18)+(L27-C19))*ABS(B19-B18),IF((L27-C18)&gt;0,0.5*(L27-C18)*ABS((B18+((L27-C18)/((L27-C18)-(L27-C19)))*(B19-B18))-B18),0.5*(L27-C19)*ABS(B19-(B18+((L27-C18)/((L27-C18)-(L27-C19)))*(B19-B18)))))))+(IF(AND((L27-C19)&lt;=0,(L27-C20)&lt;=0),0,IF(AND((L27-C19)&gt;=0,(L27-C20)&gt;=0),0.5*((L27-C19)+(L27-C20))*ABS(B20-B19),IF((L27-C19)&gt;0,0.5*(L27-C19)*ABS((B19+((L27-C19)/((L27-C19)-(L27-C20)))*(B20-B19))-B19),0.5*(L27-C20)*ABS(B20-(B19+((L27-C19)/((L27-C19)-(L27-C20)))*(B20-B19)))))))</f>
        <v/>
      </c>
      <c r="N27">
        <f>(IF(AND((L27-C9)&lt;=0,(L27-C10)&lt;=0),0,IF(AND((L27-C9)&gt;=0,(L27-C10)&gt;=0),SQRT((B10-B9)^2+(C10-C9)^2),IF((L27-C9)&gt;0,SQRT(((B9+((L27-C9)/((L27-C9)-(L27-C10)))*(B10-B9))-B9)^2+(L27-C9)^2),SQRT((B10-(B9+((L27-C9)/((L27-C9)-(L27-C10)))*(B10-B9)))^2+(L27-C10)^2)))))+(IF(AND((L27-C10)&lt;=0,(L27-C11)&lt;=0),0,IF(AND((L27-C10)&gt;=0,(L27-C11)&gt;=0),SQRT((B11-B10)^2+(C11-C10)^2),IF((L27-C10)&gt;0,SQRT(((B10+((L27-C10)/((L27-C10)-(L27-C11)))*(B11-B10))-B10)^2+(L27-C10)^2),SQRT((B11-(B10+((L27-C10)/((L27-C10)-(L27-C11)))*(B11-B10)))^2+(L27-C11)^2)))))+(IF(AND((L27-C11)&lt;=0,(L27-C12)&lt;=0),0,IF(AND((L27-C11)&gt;=0,(L27-C12)&gt;=0),SQRT((B12-B11)^2+(C12-C11)^2),IF((L27-C11)&gt;0,SQRT(((B11+((L27-C11)/((L27-C11)-(L27-C12)))*(B12-B11))-B11)^2+(L27-C11)^2),SQRT((B12-(B11+((L27-C11)/((L27-C11)-(L27-C12)))*(B12-B11)))^2+(L27-C12)^2)))))+(IF(AND((L27-C12)&lt;=0,(L27-C13)&lt;=0),0,IF(AND((L27-C12)&gt;=0,(L27-C13)&gt;=0),SQRT((B13-B12)^2+(C13-C12)^2),IF((L27-C12)&gt;0,SQRT(((B12+((L27-C12)/((L27-C12)-(L27-C13)))*(B13-B12))-B12)^2+(L27-C12)^2),SQRT((B13-(B12+((L27-C12)/((L27-C12)-(L27-C13)))*(B13-B12)))^2+(L27-C13)^2)))))+(IF(AND((L27-C13)&lt;=0,(L27-C14)&lt;=0),0,IF(AND((L27-C13)&gt;=0,(L27-C14)&gt;=0),SQRT((B14-B13)^2+(C14-C13)^2),IF((L27-C13)&gt;0,SQRT(((B13+((L27-C13)/((L27-C13)-(L27-C14)))*(B14-B13))-B13)^2+(L27-C13)^2),SQRT((B14-(B13+((L27-C13)/((L27-C13)-(L27-C14)))*(B14-B13)))^2+(L27-C14)^2)))))+(IF(AND((L27-C14)&lt;=0,(L27-C15)&lt;=0),0,IF(AND((L27-C14)&gt;=0,(L27-C15)&gt;=0),SQRT((B15-B14)^2+(C15-C14)^2),IF((L27-C14)&gt;0,SQRT(((B14+((L27-C14)/((L27-C14)-(L27-C15)))*(B15-B14))-B14)^2+(L27-C14)^2),SQRT((B15-(B14+((L27-C14)/((L27-C14)-(L27-C15)))*(B15-B14)))^2+(L27-C15)^2)))))+(IF(AND((L27-C15)&lt;=0,(L27-C16)&lt;=0),0,IF(AND((L27-C15)&gt;=0,(L27-C16)&gt;=0),SQRT((B16-B15)^2+(C16-C15)^2),IF((L27-C15)&gt;0,SQRT(((B15+((L27-C15)/((L27-C15)-(L27-C16)))*(B16-B15))-B15)^2+(L27-C15)^2),SQRT((B16-(B15+((L27-C15)/((L27-C15)-(L27-C16)))*(B16-B15)))^2+(L27-C16)^2)))))+(IF(AND((L27-C16)&lt;=0,(L27-C17)&lt;=0),0,IF(AND((L27-C16)&gt;=0,(L27-C17)&gt;=0),SQRT((B17-B16)^2+(C17-C16)^2),IF((L27-C16)&gt;0,SQRT(((B16+((L27-C16)/((L27-C16)-(L27-C17)))*(B17-B16))-B16)^2+(L27-C16)^2),SQRT((B17-(B16+((L27-C16)/((L27-C16)-(L27-C17)))*(B17-B16)))^2+(L27-C17)^2)))))+(IF(AND((L27-C17)&lt;=0,(L27-C18)&lt;=0),0,IF(AND((L27-C17)&gt;=0,(L27-C18)&gt;=0),SQRT((B18-B17)^2+(C18-C17)^2),IF((L27-C17)&gt;0,SQRT(((B17+((L27-C17)/((L27-C17)-(L27-C18)))*(B18-B17))-B17)^2+(L27-C17)^2),SQRT((B18-(B17+((L27-C17)/((L27-C17)-(L27-C18)))*(B18-B17)))^2+(L27-C18)^2)))))+(IF(AND((L27-C18)&lt;=0,(L27-C19)&lt;=0),0,IF(AND((L27-C18)&gt;=0,(L27-C19)&gt;=0),SQRT((B19-B18)^2+(C19-C18)^2),IF((L27-C18)&gt;0,SQRT(((B18+((L27-C18)/((L27-C18)-(L27-C19)))*(B19-B18))-B18)^2+(L27-C18)^2),SQRT((B19-(B18+((L27-C18)/((L27-C18)-(L27-C19)))*(B19-B18)))^2+(L27-C19)^2)))))+(IF(AND((L27-C19)&lt;=0,(L27-C20)&lt;=0),0,IF(AND((L27-C19)&gt;=0,(L27-C20)&gt;=0),SQRT((B20-B19)^2+(C20-C19)^2),IF((L27-C19)&gt;0,SQRT(((B19+((L27-C19)/((L27-C19)-(L27-C20)))*(B20-B19))-B19)^2+(L27-C19)^2),SQRT((B20-(B19+((L27-C19)/((L27-C19)-(L27-C20)))*(B20-B19)))^2+(L27-C20)^2)))))</f>
        <v/>
      </c>
      <c r="O27">
        <f>IF(OR($B$6&lt;=0,M27&lt;=0,N27&lt;=0,$B$4&lt;=0),0,(1/$B$6)*M27*((M27/N27)^(2/3))*SQRT($B$4))</f>
        <v/>
      </c>
    </row>
    <row r="28">
      <c r="A28" t="inlineStr">
        <is>
          <t>R = A/P (m)</t>
        </is>
      </c>
      <c r="B28">
        <f>IF(B27&gt;0,B26/B27,0)</f>
        <v/>
      </c>
      <c r="I28" t="n">
        <v>20</v>
      </c>
      <c r="J28">
        <f>IF(O27&lt;$B$5,L27,J27)</f>
        <v/>
      </c>
      <c r="K28">
        <f>IF(O27&lt;$B$5,K27,L27)</f>
        <v/>
      </c>
      <c r="L28">
        <f>(J28+K28)/2</f>
        <v/>
      </c>
      <c r="M28">
        <f>(IF(AND((L28-C9)&lt;=0,(L28-C10)&lt;=0),0,IF(AND((L28-C9)&gt;=0,(L28-C10)&gt;=0),0.5*((L28-C9)+(L28-C10))*ABS(B10-B9),IF((L28-C9)&gt;0,0.5*(L28-C9)*ABS((B9+((L28-C9)/((L28-C9)-(L28-C10)))*(B10-B9))-B9),0.5*(L28-C10)*ABS(B10-(B9+((L28-C9)/((L28-C9)-(L28-C10)))*(B10-B9)))))))+(IF(AND((L28-C10)&lt;=0,(L28-C11)&lt;=0),0,IF(AND((L28-C10)&gt;=0,(L28-C11)&gt;=0),0.5*((L28-C10)+(L28-C11))*ABS(B11-B10),IF((L28-C10)&gt;0,0.5*(L28-C10)*ABS((B10+((L28-C10)/((L28-C10)-(L28-C11)))*(B11-B10))-B10),0.5*(L28-C11)*ABS(B11-(B10+((L28-C10)/((L28-C10)-(L28-C11)))*(B11-B10)))))))+(IF(AND((L28-C11)&lt;=0,(L28-C12)&lt;=0),0,IF(AND((L28-C11)&gt;=0,(L28-C12)&gt;=0),0.5*((L28-C11)+(L28-C12))*ABS(B12-B11),IF((L28-C11)&gt;0,0.5*(L28-C11)*ABS((B11+((L28-C11)/((L28-C11)-(L28-C12)))*(B12-B11))-B11),0.5*(L28-C12)*ABS(B12-(B11+((L28-C11)/((L28-C11)-(L28-C12)))*(B12-B11)))))))+(IF(AND((L28-C12)&lt;=0,(L28-C13)&lt;=0),0,IF(AND((L28-C12)&gt;=0,(L28-C13)&gt;=0),0.5*((L28-C12)+(L28-C13))*ABS(B13-B12),IF((L28-C12)&gt;0,0.5*(L28-C12)*ABS((B12+((L28-C12)/((L28-C12)-(L28-C13)))*(B13-B12))-B12),0.5*(L28-C13)*ABS(B13-(B12+((L28-C12)/((L28-C12)-(L28-C13)))*(B13-B12)))))))+(IF(AND((L28-C13)&lt;=0,(L28-C14)&lt;=0),0,IF(AND((L28-C13)&gt;=0,(L28-C14)&gt;=0),0.5*((L28-C13)+(L28-C14))*ABS(B14-B13),IF((L28-C13)&gt;0,0.5*(L28-C13)*ABS((B13+((L28-C13)/((L28-C13)-(L28-C14)))*(B14-B13))-B13),0.5*(L28-C14)*ABS(B14-(B13+((L28-C13)/((L28-C13)-(L28-C14)))*(B14-B13)))))))+(IF(AND((L28-C14)&lt;=0,(L28-C15)&lt;=0),0,IF(AND((L28-C14)&gt;=0,(L28-C15)&gt;=0),0.5*((L28-C14)+(L28-C15))*ABS(B15-B14),IF((L28-C14)&gt;0,0.5*(L28-C14)*ABS((B14+((L28-C14)/((L28-C14)-(L28-C15)))*(B15-B14))-B14),0.5*(L28-C15)*ABS(B15-(B14+((L28-C14)/((L28-C14)-(L28-C15)))*(B15-B14)))))))+(IF(AND((L28-C15)&lt;=0,(L28-C16)&lt;=0),0,IF(AND((L28-C15)&gt;=0,(L28-C16)&gt;=0),0.5*((L28-C15)+(L28-C16))*ABS(B16-B15),IF((L28-C15)&gt;0,0.5*(L28-C15)*ABS((B15+((L28-C15)/((L28-C15)-(L28-C16)))*(B16-B15))-B15),0.5*(L28-C16)*ABS(B16-(B15+((L28-C15)/((L28-C15)-(L28-C16)))*(B16-B15)))))))+(IF(AND((L28-C16)&lt;=0,(L28-C17)&lt;=0),0,IF(AND((L28-C16)&gt;=0,(L28-C17)&gt;=0),0.5*((L28-C16)+(L28-C17))*ABS(B17-B16),IF((L28-C16)&gt;0,0.5*(L28-C16)*ABS((B16+((L28-C16)/((L28-C16)-(L28-C17)))*(B17-B16))-B16),0.5*(L28-C17)*ABS(B17-(B16+((L28-C16)/((L28-C16)-(L28-C17)))*(B17-B16)))))))+(IF(AND((L28-C17)&lt;=0,(L28-C18)&lt;=0),0,IF(AND((L28-C17)&gt;=0,(L28-C18)&gt;=0),0.5*((L28-C17)+(L28-C18))*ABS(B18-B17),IF((L28-C17)&gt;0,0.5*(L28-C17)*ABS((B17+((L28-C17)/((L28-C17)-(L28-C18)))*(B18-B17))-B17),0.5*(L28-C18)*ABS(B18-(B17+((L28-C17)/((L28-C17)-(L28-C18)))*(B18-B17)))))))+(IF(AND((L28-C18)&lt;=0,(L28-C19)&lt;=0),0,IF(AND((L28-C18)&gt;=0,(L28-C19)&gt;=0),0.5*((L28-C18)+(L28-C19))*ABS(B19-B18),IF((L28-C18)&gt;0,0.5*(L28-C18)*ABS((B18+((L28-C18)/((L28-C18)-(L28-C19)))*(B19-B18))-B18),0.5*(L28-C19)*ABS(B19-(B18+((L28-C18)/((L28-C18)-(L28-C19)))*(B19-B18)))))))+(IF(AND((L28-C19)&lt;=0,(L28-C20)&lt;=0),0,IF(AND((L28-C19)&gt;=0,(L28-C20)&gt;=0),0.5*((L28-C19)+(L28-C20))*ABS(B20-B19),IF((L28-C19)&gt;0,0.5*(L28-C19)*ABS((B19+((L28-C19)/((L28-C19)-(L28-C20)))*(B20-B19))-B19),0.5*(L28-C20)*ABS(B20-(B19+((L28-C19)/((L28-C19)-(L28-C20)))*(B20-B19)))))))</f>
        <v/>
      </c>
      <c r="N28">
        <f>(IF(AND((L28-C9)&lt;=0,(L28-C10)&lt;=0),0,IF(AND((L28-C9)&gt;=0,(L28-C10)&gt;=0),SQRT((B10-B9)^2+(C10-C9)^2),IF((L28-C9)&gt;0,SQRT(((B9+((L28-C9)/((L28-C9)-(L28-C10)))*(B10-B9))-B9)^2+(L28-C9)^2),SQRT((B10-(B9+((L28-C9)/((L28-C9)-(L28-C10)))*(B10-B9)))^2+(L28-C10)^2)))))+(IF(AND((L28-C10)&lt;=0,(L28-C11)&lt;=0),0,IF(AND((L28-C10)&gt;=0,(L28-C11)&gt;=0),SQRT((B11-B10)^2+(C11-C10)^2),IF((L28-C10)&gt;0,SQRT(((B10+((L28-C10)/((L28-C10)-(L28-C11)))*(B11-B10))-B10)^2+(L28-C10)^2),SQRT((B11-(B10+((L28-C10)/((L28-C10)-(L28-C11)))*(B11-B10)))^2+(L28-C11)^2)))))+(IF(AND((L28-C11)&lt;=0,(L28-C12)&lt;=0),0,IF(AND((L28-C11)&gt;=0,(L28-C12)&gt;=0),SQRT((B12-B11)^2+(C12-C11)^2),IF((L28-C11)&gt;0,SQRT(((B11+((L28-C11)/((L28-C11)-(L28-C12)))*(B12-B11))-B11)^2+(L28-C11)^2),SQRT((B12-(B11+((L28-C11)/((L28-C11)-(L28-C12)))*(B12-B11)))^2+(L28-C12)^2)))))+(IF(AND((L28-C12)&lt;=0,(L28-C13)&lt;=0),0,IF(AND((L28-C12)&gt;=0,(L28-C13)&gt;=0),SQRT((B13-B12)^2+(C13-C12)^2),IF((L28-C12)&gt;0,SQRT(((B12+((L28-C12)/((L28-C12)-(L28-C13)))*(B13-B12))-B12)^2+(L28-C12)^2),SQRT((B13-(B12+((L28-C12)/((L28-C12)-(L28-C13)))*(B13-B12)))^2+(L28-C13)^2)))))+(IF(AND((L28-C13)&lt;=0,(L28-C14)&lt;=0),0,IF(AND((L28-C13)&gt;=0,(L28-C14)&gt;=0),SQRT((B14-B13)^2+(C14-C13)^2),IF((L28-C13)&gt;0,SQRT(((B13+((L28-C13)/((L28-C13)-(L28-C14)))*(B14-B13))-B13)^2+(L28-C13)^2),SQRT((B14-(B13+((L28-C13)/((L28-C13)-(L28-C14)))*(B14-B13)))^2+(L28-C14)^2)))))+(IF(AND((L28-C14)&lt;=0,(L28-C15)&lt;=0),0,IF(AND((L28-C14)&gt;=0,(L28-C15)&gt;=0),SQRT((B15-B14)^2+(C15-C14)^2),IF((L28-C14)&gt;0,SQRT(((B14+((L28-C14)/((L28-C14)-(L28-C15)))*(B15-B14))-B14)^2+(L28-C14)^2),SQRT((B15-(B14+((L28-C14)/((L28-C14)-(L28-C15)))*(B15-B14)))^2+(L28-C15)^2)))))+(IF(AND((L28-C15)&lt;=0,(L28-C16)&lt;=0),0,IF(AND((L28-C15)&gt;=0,(L28-C16)&gt;=0),SQRT((B16-B15)^2+(C16-C15)^2),IF((L28-C15)&gt;0,SQRT(((B15+((L28-C15)/((L28-C15)-(L28-C16)))*(B16-B15))-B15)^2+(L28-C15)^2),SQRT((B16-(B15+((L28-C15)/((L28-C15)-(L28-C16)))*(B16-B15)))^2+(L28-C16)^2)))))+(IF(AND((L28-C16)&lt;=0,(L28-C17)&lt;=0),0,IF(AND((L28-C16)&gt;=0,(L28-C17)&gt;=0),SQRT((B17-B16)^2+(C17-C16)^2),IF((L28-C16)&gt;0,SQRT(((B16+((L28-C16)/((L28-C16)-(L28-C17)))*(B17-B16))-B16)^2+(L28-C16)^2),SQRT((B17-(B16+((L28-C16)/((L28-C16)-(L28-C17)))*(B17-B16)))^2+(L28-C17)^2)))))+(IF(AND((L28-C17)&lt;=0,(L28-C18)&lt;=0),0,IF(AND((L28-C17)&gt;=0,(L28-C18)&gt;=0),SQRT((B18-B17)^2+(C18-C17)^2),IF((L28-C17)&gt;0,SQRT(((B17+((L28-C17)/((L28-C17)-(L28-C18)))*(B18-B17))-B17)^2+(L28-C17)^2),SQRT((B18-(B17+((L28-C17)/((L28-C17)-(L28-C18)))*(B18-B17)))^2+(L28-C18)^2)))))+(IF(AND((L28-C18)&lt;=0,(L28-C19)&lt;=0),0,IF(AND((L28-C18)&gt;=0,(L28-C19)&gt;=0),SQRT((B19-B18)^2+(C19-C18)^2),IF((L28-C18)&gt;0,SQRT(((B18+((L28-C18)/((L28-C18)-(L28-C19)))*(B19-B18))-B18)^2+(L28-C18)^2),SQRT((B19-(B18+((L28-C18)/((L28-C18)-(L28-C19)))*(B19-B18)))^2+(L28-C19)^2)))))+(IF(AND((L28-C19)&lt;=0,(L28-C20)&lt;=0),0,IF(AND((L28-C19)&gt;=0,(L28-C20)&gt;=0),SQRT((B20-B19)^2+(C20-C19)^2),IF((L28-C19)&gt;0,SQRT(((B19+((L28-C19)/((L28-C19)-(L28-C20)))*(B20-B19))-B19)^2+(L28-C19)^2),SQRT((B20-(B19+((L28-C19)/((L28-C19)-(L28-C20)))*(B20-B19)))^2+(L28-C20)^2)))))</f>
        <v/>
      </c>
      <c r="O28">
        <f>IF(OR($B$6&lt;=0,M28&lt;=0,N28&lt;=0,$B$4&lt;=0),0,(1/$B$6)*M28*((M28/N28)^(2/3))*SQRT($B$4))</f>
        <v/>
      </c>
    </row>
    <row r="29">
      <c r="A29" t="inlineStr">
        <is>
          <t>Q_manning à WSE (m³/s)</t>
        </is>
      </c>
      <c r="B29">
        <f>IF(OR(B6&lt;=0,B26&lt;=0,B4&lt;=0),0,(1/B6)*B26*(B28^(2/3))*SQRT(B4))</f>
        <v/>
      </c>
      <c r="I29" t="n">
        <v>21</v>
      </c>
      <c r="J29">
        <f>IF(O28&lt;$B$5,L28,J28)</f>
        <v/>
      </c>
      <c r="K29">
        <f>IF(O28&lt;$B$5,K28,L28)</f>
        <v/>
      </c>
      <c r="L29">
        <f>(J29+K29)/2</f>
        <v/>
      </c>
      <c r="M29">
        <f>(IF(AND((L29-C9)&lt;=0,(L29-C10)&lt;=0),0,IF(AND((L29-C9)&gt;=0,(L29-C10)&gt;=0),0.5*((L29-C9)+(L29-C10))*ABS(B10-B9),IF((L29-C9)&gt;0,0.5*(L29-C9)*ABS((B9+((L29-C9)/((L29-C9)-(L29-C10)))*(B10-B9))-B9),0.5*(L29-C10)*ABS(B10-(B9+((L29-C9)/((L29-C9)-(L29-C10)))*(B10-B9)))))))+(IF(AND((L29-C10)&lt;=0,(L29-C11)&lt;=0),0,IF(AND((L29-C10)&gt;=0,(L29-C11)&gt;=0),0.5*((L29-C10)+(L29-C11))*ABS(B11-B10),IF((L29-C10)&gt;0,0.5*(L29-C10)*ABS((B10+((L29-C10)/((L29-C10)-(L29-C11)))*(B11-B10))-B10),0.5*(L29-C11)*ABS(B11-(B10+((L29-C10)/((L29-C10)-(L29-C11)))*(B11-B10)))))))+(IF(AND((L29-C11)&lt;=0,(L29-C12)&lt;=0),0,IF(AND((L29-C11)&gt;=0,(L29-C12)&gt;=0),0.5*((L29-C11)+(L29-C12))*ABS(B12-B11),IF((L29-C11)&gt;0,0.5*(L29-C11)*ABS((B11+((L29-C11)/((L29-C11)-(L29-C12)))*(B12-B11))-B11),0.5*(L29-C12)*ABS(B12-(B11+((L29-C11)/((L29-C11)-(L29-C12)))*(B12-B11)))))))+(IF(AND((L29-C12)&lt;=0,(L29-C13)&lt;=0),0,IF(AND((L29-C12)&gt;=0,(L29-C13)&gt;=0),0.5*((L29-C12)+(L29-C13))*ABS(B13-B12),IF((L29-C12)&gt;0,0.5*(L29-C12)*ABS((B12+((L29-C12)/((L29-C12)-(L29-C13)))*(B13-B12))-B12),0.5*(L29-C13)*ABS(B13-(B12+((L29-C12)/((L29-C12)-(L29-C13)))*(B13-B12)))))))+(IF(AND((L29-C13)&lt;=0,(L29-C14)&lt;=0),0,IF(AND((L29-C13)&gt;=0,(L29-C14)&gt;=0),0.5*((L29-C13)+(L29-C14))*ABS(B14-B13),IF((L29-C13)&gt;0,0.5*(L29-C13)*ABS((B13+((L29-C13)/((L29-C13)-(L29-C14)))*(B14-B13))-B13),0.5*(L29-C14)*ABS(B14-(B13+((L29-C13)/((L29-C13)-(L29-C14)))*(B14-B13)))))))+(IF(AND((L29-C14)&lt;=0,(L29-C15)&lt;=0),0,IF(AND((L29-C14)&gt;=0,(L29-C15)&gt;=0),0.5*((L29-C14)+(L29-C15))*ABS(B15-B14),IF((L29-C14)&gt;0,0.5*(L29-C14)*ABS((B14+((L29-C14)/((L29-C14)-(L29-C15)))*(B15-B14))-B14),0.5*(L29-C15)*ABS(B15-(B14+((L29-C14)/((L29-C14)-(L29-C15)))*(B15-B14)))))))+(IF(AND((L29-C15)&lt;=0,(L29-C16)&lt;=0),0,IF(AND((L29-C15)&gt;=0,(L29-C16)&gt;=0),0.5*((L29-C15)+(L29-C16))*ABS(B16-B15),IF((L29-C15)&gt;0,0.5*(L29-C15)*ABS((B15+((L29-C15)/((L29-C15)-(L29-C16)))*(B16-B15))-B15),0.5*(L29-C16)*ABS(B16-(B15+((L29-C15)/((L29-C15)-(L29-C16)))*(B16-B15)))))))+(IF(AND((L29-C16)&lt;=0,(L29-C17)&lt;=0),0,IF(AND((L29-C16)&gt;=0,(L29-C17)&gt;=0),0.5*((L29-C16)+(L29-C17))*ABS(B17-B16),IF((L29-C16)&gt;0,0.5*(L29-C16)*ABS((B16+((L29-C16)/((L29-C16)-(L29-C17)))*(B17-B16))-B16),0.5*(L29-C17)*ABS(B17-(B16+((L29-C16)/((L29-C16)-(L29-C17)))*(B17-B16)))))))+(IF(AND((L29-C17)&lt;=0,(L29-C18)&lt;=0),0,IF(AND((L29-C17)&gt;=0,(L29-C18)&gt;=0),0.5*((L29-C17)+(L29-C18))*ABS(B18-B17),IF((L29-C17)&gt;0,0.5*(L29-C17)*ABS((B17+((L29-C17)/((L29-C17)-(L29-C18)))*(B18-B17))-B17),0.5*(L29-C18)*ABS(B18-(B17+((L29-C17)/((L29-C17)-(L29-C18)))*(B18-B17)))))))+(IF(AND((L29-C18)&lt;=0,(L29-C19)&lt;=0),0,IF(AND((L29-C18)&gt;=0,(L29-C19)&gt;=0),0.5*((L29-C18)+(L29-C19))*ABS(B19-B18),IF((L29-C18)&gt;0,0.5*(L29-C18)*ABS((B18+((L29-C18)/((L29-C18)-(L29-C19)))*(B19-B18))-B18),0.5*(L29-C19)*ABS(B19-(B18+((L29-C18)/((L29-C18)-(L29-C19)))*(B19-B18)))))))+(IF(AND((L29-C19)&lt;=0,(L29-C20)&lt;=0),0,IF(AND((L29-C19)&gt;=0,(L29-C20)&gt;=0),0.5*((L29-C19)+(L29-C20))*ABS(B20-B19),IF((L29-C19)&gt;0,0.5*(L29-C19)*ABS((B19+((L29-C19)/((L29-C19)-(L29-C20)))*(B20-B19))-B19),0.5*(L29-C20)*ABS(B20-(B19+((L29-C19)/((L29-C19)-(L29-C20)))*(B20-B19)))))))</f>
        <v/>
      </c>
      <c r="N29">
        <f>(IF(AND((L29-C9)&lt;=0,(L29-C10)&lt;=0),0,IF(AND((L29-C9)&gt;=0,(L29-C10)&gt;=0),SQRT((B10-B9)^2+(C10-C9)^2),IF((L29-C9)&gt;0,SQRT(((B9+((L29-C9)/((L29-C9)-(L29-C10)))*(B10-B9))-B9)^2+(L29-C9)^2),SQRT((B10-(B9+((L29-C9)/((L29-C9)-(L29-C10)))*(B10-B9)))^2+(L29-C10)^2)))))+(IF(AND((L29-C10)&lt;=0,(L29-C11)&lt;=0),0,IF(AND((L29-C10)&gt;=0,(L29-C11)&gt;=0),SQRT((B11-B10)^2+(C11-C10)^2),IF((L29-C10)&gt;0,SQRT(((B10+((L29-C10)/((L29-C10)-(L29-C11)))*(B11-B10))-B10)^2+(L29-C10)^2),SQRT((B11-(B10+((L29-C10)/((L29-C10)-(L29-C11)))*(B11-B10)))^2+(L29-C11)^2)))))+(IF(AND((L29-C11)&lt;=0,(L29-C12)&lt;=0),0,IF(AND((L29-C11)&gt;=0,(L29-C12)&gt;=0),SQRT((B12-B11)^2+(C12-C11)^2),IF((L29-C11)&gt;0,SQRT(((B11+((L29-C11)/((L29-C11)-(L29-C12)))*(B12-B11))-B11)^2+(L29-C11)^2),SQRT((B12-(B11+((L29-C11)/((L29-C11)-(L29-C12)))*(B12-B11)))^2+(L29-C12)^2)))))+(IF(AND((L29-C12)&lt;=0,(L29-C13)&lt;=0),0,IF(AND((L29-C12)&gt;=0,(L29-C13)&gt;=0),SQRT((B13-B12)^2+(C13-C12)^2),IF((L29-C12)&gt;0,SQRT(((B12+((L29-C12)/((L29-C12)-(L29-C13)))*(B13-B12))-B12)^2+(L29-C12)^2),SQRT((B13-(B12+((L29-C12)/((L29-C12)-(L29-C13)))*(B13-B12)))^2+(L29-C13)^2)))))+(IF(AND((L29-C13)&lt;=0,(L29-C14)&lt;=0),0,IF(AND((L29-C13)&gt;=0,(L29-C14)&gt;=0),SQRT((B14-B13)^2+(C14-C13)^2),IF((L29-C13)&gt;0,SQRT(((B13+((L29-C13)/((L29-C13)-(L29-C14)))*(B14-B13))-B13)^2+(L29-C13)^2),SQRT((B14-(B13+((L29-C13)/((L29-C13)-(L29-C14)))*(B14-B13)))^2+(L29-C14)^2)))))+(IF(AND((L29-C14)&lt;=0,(L29-C15)&lt;=0),0,IF(AND((L29-C14)&gt;=0,(L29-C15)&gt;=0),SQRT((B15-B14)^2+(C15-C14)^2),IF((L29-C14)&gt;0,SQRT(((B14+((L29-C14)/((L29-C14)-(L29-C15)))*(B15-B14))-B14)^2+(L29-C14)^2),SQRT((B15-(B14+((L29-C14)/((L29-C14)-(L29-C15)))*(B15-B14)))^2+(L29-C15)^2)))))+(IF(AND((L29-C15)&lt;=0,(L29-C16)&lt;=0),0,IF(AND((L29-C15)&gt;=0,(L29-C16)&gt;=0),SQRT((B16-B15)^2+(C16-C15)^2),IF((L29-C15)&gt;0,SQRT(((B15+((L29-C15)/((L29-C15)-(L29-C16)))*(B16-B15))-B15)^2+(L29-C15)^2),SQRT((B16-(B15+((L29-C15)/((L29-C15)-(L29-C16)))*(B16-B15)))^2+(L29-C16)^2)))))+(IF(AND((L29-C16)&lt;=0,(L29-C17)&lt;=0),0,IF(AND((L29-C16)&gt;=0,(L29-C17)&gt;=0),SQRT((B17-B16)^2+(C17-C16)^2),IF((L29-C16)&gt;0,SQRT(((B16+((L29-C16)/((L29-C16)-(L29-C17)))*(B17-B16))-B16)^2+(L29-C16)^2),SQRT((B17-(B16+((L29-C16)/((L29-C16)-(L29-C17)))*(B17-B16)))^2+(L29-C17)^2)))))+(IF(AND((L29-C17)&lt;=0,(L29-C18)&lt;=0),0,IF(AND((L29-C17)&gt;=0,(L29-C18)&gt;=0),SQRT((B18-B17)^2+(C18-C17)^2),IF((L29-C17)&gt;0,SQRT(((B17+((L29-C17)/((L29-C17)-(L29-C18)))*(B18-B17))-B17)^2+(L29-C17)^2),SQRT((B18-(B17+((L29-C17)/((L29-C17)-(L29-C18)))*(B18-B17)))^2+(L29-C18)^2)))))+(IF(AND((L29-C18)&lt;=0,(L29-C19)&lt;=0),0,IF(AND((L29-C18)&gt;=0,(L29-C19)&gt;=0),SQRT((B19-B18)^2+(C19-C18)^2),IF((L29-C18)&gt;0,SQRT(((B18+((L29-C18)/((L29-C18)-(L29-C19)))*(B19-B18))-B18)^2+(L29-C18)^2),SQRT((B19-(B18+((L29-C18)/((L29-C18)-(L29-C19)))*(B19-B18)))^2+(L29-C19)^2)))))+(IF(AND((L29-C19)&lt;=0,(L29-C20)&lt;=0),0,IF(AND((L29-C19)&gt;=0,(L29-C20)&gt;=0),SQRT((B20-B19)^2+(C20-C19)^2),IF((L29-C19)&gt;0,SQRT(((B19+((L29-C19)/((L29-C19)-(L29-C20)))*(B20-B19))-B19)^2+(L29-C19)^2),SQRT((B20-(B19+((L29-C19)/((L29-C19)-(L29-C20)))*(B20-B19)))^2+(L29-C20)^2)))))</f>
        <v/>
      </c>
      <c r="O29">
        <f>IF(OR($B$6&lt;=0,M29&lt;=0,N29&lt;=0,$B$4&lt;=0),0,(1/$B$6)*M29*((M29/N29)^(2/3))*SQRT($B$4))</f>
        <v/>
      </c>
    </row>
    <row r="30">
      <c r="A30" t="inlineStr">
        <is>
          <t>V = Q/A (m/s)</t>
        </is>
      </c>
      <c r="B30" s="19">
        <f>IF(B26&gt;0,B5/B26,0)</f>
        <v/>
      </c>
      <c r="I30" t="n">
        <v>22</v>
      </c>
      <c r="J30">
        <f>IF(O29&lt;$B$5,L29,J29)</f>
        <v/>
      </c>
      <c r="K30">
        <f>IF(O29&lt;$B$5,K29,L29)</f>
        <v/>
      </c>
      <c r="L30">
        <f>(J30+K30)/2</f>
        <v/>
      </c>
      <c r="M30">
        <f>(IF(AND((L30-C9)&lt;=0,(L30-C10)&lt;=0),0,IF(AND((L30-C9)&gt;=0,(L30-C10)&gt;=0),0.5*((L30-C9)+(L30-C10))*ABS(B10-B9),IF((L30-C9)&gt;0,0.5*(L30-C9)*ABS((B9+((L30-C9)/((L30-C9)-(L30-C10)))*(B10-B9))-B9),0.5*(L30-C10)*ABS(B10-(B9+((L30-C9)/((L30-C9)-(L30-C10)))*(B10-B9)))))))+(IF(AND((L30-C10)&lt;=0,(L30-C11)&lt;=0),0,IF(AND((L30-C10)&gt;=0,(L30-C11)&gt;=0),0.5*((L30-C10)+(L30-C11))*ABS(B11-B10),IF((L30-C10)&gt;0,0.5*(L30-C10)*ABS((B10+((L30-C10)/((L30-C10)-(L30-C11)))*(B11-B10))-B10),0.5*(L30-C11)*ABS(B11-(B10+((L30-C10)/((L30-C10)-(L30-C11)))*(B11-B10)))))))+(IF(AND((L30-C11)&lt;=0,(L30-C12)&lt;=0),0,IF(AND((L30-C11)&gt;=0,(L30-C12)&gt;=0),0.5*((L30-C11)+(L30-C12))*ABS(B12-B11),IF((L30-C11)&gt;0,0.5*(L30-C11)*ABS((B11+((L30-C11)/((L30-C11)-(L30-C12)))*(B12-B11))-B11),0.5*(L30-C12)*ABS(B12-(B11+((L30-C11)/((L30-C11)-(L30-C12)))*(B12-B11)))))))+(IF(AND((L30-C12)&lt;=0,(L30-C13)&lt;=0),0,IF(AND((L30-C12)&gt;=0,(L30-C13)&gt;=0),0.5*((L30-C12)+(L30-C13))*ABS(B13-B12),IF((L30-C12)&gt;0,0.5*(L30-C12)*ABS((B12+((L30-C12)/((L30-C12)-(L30-C13)))*(B13-B12))-B12),0.5*(L30-C13)*ABS(B13-(B12+((L30-C12)/((L30-C12)-(L30-C13)))*(B13-B12)))))))+(IF(AND((L30-C13)&lt;=0,(L30-C14)&lt;=0),0,IF(AND((L30-C13)&gt;=0,(L30-C14)&gt;=0),0.5*((L30-C13)+(L30-C14))*ABS(B14-B13),IF((L30-C13)&gt;0,0.5*(L30-C13)*ABS((B13+((L30-C13)/((L30-C13)-(L30-C14)))*(B14-B13))-B13),0.5*(L30-C14)*ABS(B14-(B13+((L30-C13)/((L30-C13)-(L30-C14)))*(B14-B13)))))))+(IF(AND((L30-C14)&lt;=0,(L30-C15)&lt;=0),0,IF(AND((L30-C14)&gt;=0,(L30-C15)&gt;=0),0.5*((L30-C14)+(L30-C15))*ABS(B15-B14),IF((L30-C14)&gt;0,0.5*(L30-C14)*ABS((B14+((L30-C14)/((L30-C14)-(L30-C15)))*(B15-B14))-B14),0.5*(L30-C15)*ABS(B15-(B14+((L30-C14)/((L30-C14)-(L30-C15)))*(B15-B14)))))))+(IF(AND((L30-C15)&lt;=0,(L30-C16)&lt;=0),0,IF(AND((L30-C15)&gt;=0,(L30-C16)&gt;=0),0.5*((L30-C15)+(L30-C16))*ABS(B16-B15),IF((L30-C15)&gt;0,0.5*(L30-C15)*ABS((B15+((L30-C15)/((L30-C15)-(L30-C16)))*(B16-B15))-B15),0.5*(L30-C16)*ABS(B16-(B15+((L30-C15)/((L30-C15)-(L30-C16)))*(B16-B15)))))))+(IF(AND((L30-C16)&lt;=0,(L30-C17)&lt;=0),0,IF(AND((L30-C16)&gt;=0,(L30-C17)&gt;=0),0.5*((L30-C16)+(L30-C17))*ABS(B17-B16),IF((L30-C16)&gt;0,0.5*(L30-C16)*ABS((B16+((L30-C16)/((L30-C16)-(L30-C17)))*(B17-B16))-B16),0.5*(L30-C17)*ABS(B17-(B16+((L30-C16)/((L30-C16)-(L30-C17)))*(B17-B16)))))))+(IF(AND((L30-C17)&lt;=0,(L30-C18)&lt;=0),0,IF(AND((L30-C17)&gt;=0,(L30-C18)&gt;=0),0.5*((L30-C17)+(L30-C18))*ABS(B18-B17),IF((L30-C17)&gt;0,0.5*(L30-C17)*ABS((B17+((L30-C17)/((L30-C17)-(L30-C18)))*(B18-B17))-B17),0.5*(L30-C18)*ABS(B18-(B17+((L30-C17)/((L30-C17)-(L30-C18)))*(B18-B17)))))))+(IF(AND((L30-C18)&lt;=0,(L30-C19)&lt;=0),0,IF(AND((L30-C18)&gt;=0,(L30-C19)&gt;=0),0.5*((L30-C18)+(L30-C19))*ABS(B19-B18),IF((L30-C18)&gt;0,0.5*(L30-C18)*ABS((B18+((L30-C18)/((L30-C18)-(L30-C19)))*(B19-B18))-B18),0.5*(L30-C19)*ABS(B19-(B18+((L30-C18)/((L30-C18)-(L30-C19)))*(B19-B18)))))))+(IF(AND((L30-C19)&lt;=0,(L30-C20)&lt;=0),0,IF(AND((L30-C19)&gt;=0,(L30-C20)&gt;=0),0.5*((L30-C19)+(L30-C20))*ABS(B20-B19),IF((L30-C19)&gt;0,0.5*(L30-C19)*ABS((B19+((L30-C19)/((L30-C19)-(L30-C20)))*(B20-B19))-B19),0.5*(L30-C20)*ABS(B20-(B19+((L30-C19)/((L30-C19)-(L30-C20)))*(B20-B19)))))))</f>
        <v/>
      </c>
      <c r="N30">
        <f>(IF(AND((L30-C9)&lt;=0,(L30-C10)&lt;=0),0,IF(AND((L30-C9)&gt;=0,(L30-C10)&gt;=0),SQRT((B10-B9)^2+(C10-C9)^2),IF((L30-C9)&gt;0,SQRT(((B9+((L30-C9)/((L30-C9)-(L30-C10)))*(B10-B9))-B9)^2+(L30-C9)^2),SQRT((B10-(B9+((L30-C9)/((L30-C9)-(L30-C10)))*(B10-B9)))^2+(L30-C10)^2)))))+(IF(AND((L30-C10)&lt;=0,(L30-C11)&lt;=0),0,IF(AND((L30-C10)&gt;=0,(L30-C11)&gt;=0),SQRT((B11-B10)^2+(C11-C10)^2),IF((L30-C10)&gt;0,SQRT(((B10+((L30-C10)/((L30-C10)-(L30-C11)))*(B11-B10))-B10)^2+(L30-C10)^2),SQRT((B11-(B10+((L30-C10)/((L30-C10)-(L30-C11)))*(B11-B10)))^2+(L30-C11)^2)))))+(IF(AND((L30-C11)&lt;=0,(L30-C12)&lt;=0),0,IF(AND((L30-C11)&gt;=0,(L30-C12)&gt;=0),SQRT((B12-B11)^2+(C12-C11)^2),IF((L30-C11)&gt;0,SQRT(((B11+((L30-C11)/((L30-C11)-(L30-C12)))*(B12-B11))-B11)^2+(L30-C11)^2),SQRT((B12-(B11+((L30-C11)/((L30-C11)-(L30-C12)))*(B12-B11)))^2+(L30-C12)^2)))))+(IF(AND((L30-C12)&lt;=0,(L30-C13)&lt;=0),0,IF(AND((L30-C12)&gt;=0,(L30-C13)&gt;=0),SQRT((B13-B12)^2+(C13-C12)^2),IF((L30-C12)&gt;0,SQRT(((B12+((L30-C12)/((L30-C12)-(L30-C13)))*(B13-B12))-B12)^2+(L30-C12)^2),SQRT((B13-(B12+((L30-C12)/((L30-C12)-(L30-C13)))*(B13-B12)))^2+(L30-C13)^2)))))+(IF(AND((L30-C13)&lt;=0,(L30-C14)&lt;=0),0,IF(AND((L30-C13)&gt;=0,(L30-C14)&gt;=0),SQRT((B14-B13)^2+(C14-C13)^2),IF((L30-C13)&gt;0,SQRT(((B13+((L30-C13)/((L30-C13)-(L30-C14)))*(B14-B13))-B13)^2+(L30-C13)^2),SQRT((B14-(B13+((L30-C13)/((L30-C13)-(L30-C14)))*(B14-B13)))^2+(L30-C14)^2)))))+(IF(AND((L30-C14)&lt;=0,(L30-C15)&lt;=0),0,IF(AND((L30-C14)&gt;=0,(L30-C15)&gt;=0),SQRT((B15-B14)^2+(C15-C14)^2),IF((L30-C14)&gt;0,SQRT(((B14+((L30-C14)/((L30-C14)-(L30-C15)))*(B15-B14))-B14)^2+(L30-C14)^2),SQRT((B15-(B14+((L30-C14)/((L30-C14)-(L30-C15)))*(B15-B14)))^2+(L30-C15)^2)))))+(IF(AND((L30-C15)&lt;=0,(L30-C16)&lt;=0),0,IF(AND((L30-C15)&gt;=0,(L30-C16)&gt;=0),SQRT((B16-B15)^2+(C16-C15)^2),IF((L30-C15)&gt;0,SQRT(((B15+((L30-C15)/((L30-C15)-(L30-C16)))*(B16-B15))-B15)^2+(L30-C15)^2),SQRT((B16-(B15+((L30-C15)/((L30-C15)-(L30-C16)))*(B16-B15)))^2+(L30-C16)^2)))))+(IF(AND((L30-C16)&lt;=0,(L30-C17)&lt;=0),0,IF(AND((L30-C16)&gt;=0,(L30-C17)&gt;=0),SQRT((B17-B16)^2+(C17-C16)^2),IF((L30-C16)&gt;0,SQRT(((B16+((L30-C16)/((L30-C16)-(L30-C17)))*(B17-B16))-B16)^2+(L30-C16)^2),SQRT((B17-(B16+((L30-C16)/((L30-C16)-(L30-C17)))*(B17-B16)))^2+(L30-C17)^2)))))+(IF(AND((L30-C17)&lt;=0,(L30-C18)&lt;=0),0,IF(AND((L30-C17)&gt;=0,(L30-C18)&gt;=0),SQRT((B18-B17)^2+(C18-C17)^2),IF((L30-C17)&gt;0,SQRT(((B17+((L30-C17)/((L30-C17)-(L30-C18)))*(B18-B17))-B17)^2+(L30-C17)^2),SQRT((B18-(B17+((L30-C17)/((L30-C17)-(L30-C18)))*(B18-B17)))^2+(L30-C18)^2)))))+(IF(AND((L30-C18)&lt;=0,(L30-C19)&lt;=0),0,IF(AND((L30-C18)&gt;=0,(L30-C19)&gt;=0),SQRT((B19-B18)^2+(C19-C18)^2),IF((L30-C18)&gt;0,SQRT(((B18+((L30-C18)/((L30-C18)-(L30-C19)))*(B19-B18))-B18)^2+(L30-C18)^2),SQRT((B19-(B18+((L30-C18)/((L30-C18)-(L30-C19)))*(B19-B18)))^2+(L30-C19)^2)))))+(IF(AND((L30-C19)&lt;=0,(L30-C20)&lt;=0),0,IF(AND((L30-C19)&gt;=0,(L30-C20)&gt;=0),SQRT((B20-B19)^2+(C20-C19)^2),IF((L30-C19)&gt;0,SQRT(((B19+((L30-C19)/((L30-C19)-(L30-C20)))*(B20-B19))-B19)^2+(L30-C19)^2),SQRT((B20-(B19+((L30-C19)/((L30-C19)-(L30-C20)))*(B20-B19)))^2+(L30-C20)^2)))))</f>
        <v/>
      </c>
      <c r="O30">
        <f>IF(OR($B$6&lt;=0,M30&lt;=0,N30&lt;=0,$B$4&lt;=0),0,(1/$B$6)*M30*((M30/N30)^(2/3))*SQRT($B$4))</f>
        <v/>
      </c>
    </row>
    <row r="31">
      <c r="A31" t="inlineStr">
        <is>
          <t>Écart Q_manning − Q</t>
        </is>
      </c>
      <c r="B31" s="20">
        <f>B29-B5</f>
        <v/>
      </c>
      <c r="I31" t="n">
        <v>23</v>
      </c>
      <c r="J31">
        <f>IF(O30&lt;$B$5,L30,J30)</f>
        <v/>
      </c>
      <c r="K31">
        <f>IF(O30&lt;$B$5,K30,L30)</f>
        <v/>
      </c>
      <c r="L31">
        <f>(J31+K31)/2</f>
        <v/>
      </c>
      <c r="M31">
        <f>(IF(AND((L31-C9)&lt;=0,(L31-C10)&lt;=0),0,IF(AND((L31-C9)&gt;=0,(L31-C10)&gt;=0),0.5*((L31-C9)+(L31-C10))*ABS(B10-B9),IF((L31-C9)&gt;0,0.5*(L31-C9)*ABS((B9+((L31-C9)/((L31-C9)-(L31-C10)))*(B10-B9))-B9),0.5*(L31-C10)*ABS(B10-(B9+((L31-C9)/((L31-C9)-(L31-C10)))*(B10-B9)))))))+(IF(AND((L31-C10)&lt;=0,(L31-C11)&lt;=0),0,IF(AND((L31-C10)&gt;=0,(L31-C11)&gt;=0),0.5*((L31-C10)+(L31-C11))*ABS(B11-B10),IF((L31-C10)&gt;0,0.5*(L31-C10)*ABS((B10+((L31-C10)/((L31-C10)-(L31-C11)))*(B11-B10))-B10),0.5*(L31-C11)*ABS(B11-(B10+((L31-C10)/((L31-C10)-(L31-C11)))*(B11-B10)))))))+(IF(AND((L31-C11)&lt;=0,(L31-C12)&lt;=0),0,IF(AND((L31-C11)&gt;=0,(L31-C12)&gt;=0),0.5*((L31-C11)+(L31-C12))*ABS(B12-B11),IF((L31-C11)&gt;0,0.5*(L31-C11)*ABS((B11+((L31-C11)/((L31-C11)-(L31-C12)))*(B12-B11))-B11),0.5*(L31-C12)*ABS(B12-(B11+((L31-C11)/((L31-C11)-(L31-C12)))*(B12-B11)))))))+(IF(AND((L31-C12)&lt;=0,(L31-C13)&lt;=0),0,IF(AND((L31-C12)&gt;=0,(L31-C13)&gt;=0),0.5*((L31-C12)+(L31-C13))*ABS(B13-B12),IF((L31-C12)&gt;0,0.5*(L31-C12)*ABS((B12+((L31-C12)/((L31-C12)-(L31-C13)))*(B13-B12))-B12),0.5*(L31-C13)*ABS(B13-(B12+((L31-C12)/((L31-C12)-(L31-C13)))*(B13-B12)))))))+(IF(AND((L31-C13)&lt;=0,(L31-C14)&lt;=0),0,IF(AND((L31-C13)&gt;=0,(L31-C14)&gt;=0),0.5*((L31-C13)+(L31-C14))*ABS(B14-B13),IF((L31-C13)&gt;0,0.5*(L31-C13)*ABS((B13+((L31-C13)/((L31-C13)-(L31-C14)))*(B14-B13))-B13),0.5*(L31-C14)*ABS(B14-(B13+((L31-C13)/((L31-C13)-(L31-C14)))*(B14-B13)))))))+(IF(AND((L31-C14)&lt;=0,(L31-C15)&lt;=0),0,IF(AND((L31-C14)&gt;=0,(L31-C15)&gt;=0),0.5*((L31-C14)+(L31-C15))*ABS(B15-B14),IF((L31-C14)&gt;0,0.5*(L31-C14)*ABS((B14+((L31-C14)/((L31-C14)-(L31-C15)))*(B15-B14))-B14),0.5*(L31-C15)*ABS(B15-(B14+((L31-C14)/((L31-C14)-(L31-C15)))*(B15-B14)))))))+(IF(AND((L31-C15)&lt;=0,(L31-C16)&lt;=0),0,IF(AND((L31-C15)&gt;=0,(L31-C16)&gt;=0),0.5*((L31-C15)+(L31-C16))*ABS(B16-B15),IF((L31-C15)&gt;0,0.5*(L31-C15)*ABS((B15+((L31-C15)/((L31-C15)-(L31-C16)))*(B16-B15))-B15),0.5*(L31-C16)*ABS(B16-(B15+((L31-C15)/((L31-C15)-(L31-C16)))*(B16-B15)))))))+(IF(AND((L31-C16)&lt;=0,(L31-C17)&lt;=0),0,IF(AND((L31-C16)&gt;=0,(L31-C17)&gt;=0),0.5*((L31-C16)+(L31-C17))*ABS(B17-B16),IF((L31-C16)&gt;0,0.5*(L31-C16)*ABS((B16+((L31-C16)/((L31-C16)-(L31-C17)))*(B17-B16))-B16),0.5*(L31-C17)*ABS(B17-(B16+((L31-C16)/((L31-C16)-(L31-C17)))*(B17-B16)))))))+(IF(AND((L31-C17)&lt;=0,(L31-C18)&lt;=0),0,IF(AND((L31-C17)&gt;=0,(L31-C18)&gt;=0),0.5*((L31-C17)+(L31-C18))*ABS(B18-B17),IF((L31-C17)&gt;0,0.5*(L31-C17)*ABS((B17+((L31-C17)/((L31-C17)-(L31-C18)))*(B18-B17))-B17),0.5*(L31-C18)*ABS(B18-(B17+((L31-C17)/((L31-C17)-(L31-C18)))*(B18-B17)))))))+(IF(AND((L31-C18)&lt;=0,(L31-C19)&lt;=0),0,IF(AND((L31-C18)&gt;=0,(L31-C19)&gt;=0),0.5*((L31-C18)+(L31-C19))*ABS(B19-B18),IF((L31-C18)&gt;0,0.5*(L31-C18)*ABS((B18+((L31-C18)/((L31-C18)-(L31-C19)))*(B19-B18))-B18),0.5*(L31-C19)*ABS(B19-(B18+((L31-C18)/((L31-C18)-(L31-C19)))*(B19-B18)))))))+(IF(AND((L31-C19)&lt;=0,(L31-C20)&lt;=0),0,IF(AND((L31-C19)&gt;=0,(L31-C20)&gt;=0),0.5*((L31-C19)+(L31-C20))*ABS(B20-B19),IF((L31-C19)&gt;0,0.5*(L31-C19)*ABS((B19+((L31-C19)/((L31-C19)-(L31-C20)))*(B20-B19))-B19),0.5*(L31-C20)*ABS(B20-(B19+((L31-C19)/((L31-C19)-(L31-C20)))*(B20-B19)))))))</f>
        <v/>
      </c>
      <c r="N31">
        <f>(IF(AND((L31-C9)&lt;=0,(L31-C10)&lt;=0),0,IF(AND((L31-C9)&gt;=0,(L31-C10)&gt;=0),SQRT((B10-B9)^2+(C10-C9)^2),IF((L31-C9)&gt;0,SQRT(((B9+((L31-C9)/((L31-C9)-(L31-C10)))*(B10-B9))-B9)^2+(L31-C9)^2),SQRT((B10-(B9+((L31-C9)/((L31-C9)-(L31-C10)))*(B10-B9)))^2+(L31-C10)^2)))))+(IF(AND((L31-C10)&lt;=0,(L31-C11)&lt;=0),0,IF(AND((L31-C10)&gt;=0,(L31-C11)&gt;=0),SQRT((B11-B10)^2+(C11-C10)^2),IF((L31-C10)&gt;0,SQRT(((B10+((L31-C10)/((L31-C10)-(L31-C11)))*(B11-B10))-B10)^2+(L31-C10)^2),SQRT((B11-(B10+((L31-C10)/((L31-C10)-(L31-C11)))*(B11-B10)))^2+(L31-C11)^2)))))+(IF(AND((L31-C11)&lt;=0,(L31-C12)&lt;=0),0,IF(AND((L31-C11)&gt;=0,(L31-C12)&gt;=0),SQRT((B12-B11)^2+(C12-C11)^2),IF((L31-C11)&gt;0,SQRT(((B11+((L31-C11)/((L31-C11)-(L31-C12)))*(B12-B11))-B11)^2+(L31-C11)^2),SQRT((B12-(B11+((L31-C11)/((L31-C11)-(L31-C12)))*(B12-B11)))^2+(L31-C12)^2)))))+(IF(AND((L31-C12)&lt;=0,(L31-C13)&lt;=0),0,IF(AND((L31-C12)&gt;=0,(L31-C13)&gt;=0),SQRT((B13-B12)^2+(C13-C12)^2),IF((L31-C12)&gt;0,SQRT(((B12+((L31-C12)/((L31-C12)-(L31-C13)))*(B13-B12))-B12)^2+(L31-C12)^2),SQRT((B13-(B12+((L31-C12)/((L31-C12)-(L31-C13)))*(B13-B12)))^2+(L31-C13)^2)))))+(IF(AND((L31-C13)&lt;=0,(L31-C14)&lt;=0),0,IF(AND((L31-C13)&gt;=0,(L31-C14)&gt;=0),SQRT((B14-B13)^2+(C14-C13)^2),IF((L31-C13)&gt;0,SQRT(((B13+((L31-C13)/((L31-C13)-(L31-C14)))*(B14-B13))-B13)^2+(L31-C13)^2),SQRT((B14-(B13+((L31-C13)/((L31-C13)-(L31-C14)))*(B14-B13)))^2+(L31-C14)^2)))))+(IF(AND((L31-C14)&lt;=0,(L31-C15)&lt;=0),0,IF(AND((L31-C14)&gt;=0,(L31-C15)&gt;=0),SQRT((B15-B14)^2+(C15-C14)^2),IF((L31-C14)&gt;0,SQRT(((B14+((L31-C14)/((L31-C14)-(L31-C15)))*(B15-B14))-B14)^2+(L31-C14)^2),SQRT((B15-(B14+((L31-C14)/((L31-C14)-(L31-C15)))*(B15-B14)))^2+(L31-C15)^2)))))+(IF(AND((L31-C15)&lt;=0,(L31-C16)&lt;=0),0,IF(AND((L31-C15)&gt;=0,(L31-C16)&gt;=0),SQRT((B16-B15)^2+(C16-C15)^2),IF((L31-C15)&gt;0,SQRT(((B15+((L31-C15)/((L31-C15)-(L31-C16)))*(B16-B15))-B15)^2+(L31-C15)^2),SQRT((B16-(B15+((L31-C15)/((L31-C15)-(L31-C16)))*(B16-B15)))^2+(L31-C16)^2)))))+(IF(AND((L31-C16)&lt;=0,(L31-C17)&lt;=0),0,IF(AND((L31-C16)&gt;=0,(L31-C17)&gt;=0),SQRT((B17-B16)^2+(C17-C16)^2),IF((L31-C16)&gt;0,SQRT(((B16+((L31-C16)/((L31-C16)-(L31-C17)))*(B17-B16))-B16)^2+(L31-C16)^2),SQRT((B17-(B16+((L31-C16)/((L31-C16)-(L31-C17)))*(B17-B16)))^2+(L31-C17)^2)))))+(IF(AND((L31-C17)&lt;=0,(L31-C18)&lt;=0),0,IF(AND((L31-C17)&gt;=0,(L31-C18)&gt;=0),SQRT((B18-B17)^2+(C18-C17)^2),IF((L31-C17)&gt;0,SQRT(((B17+((L31-C17)/((L31-C17)-(L31-C18)))*(B18-B17))-B17)^2+(L31-C17)^2),SQRT((B18-(B17+((L31-C17)/((L31-C17)-(L31-C18)))*(B18-B17)))^2+(L31-C18)^2)))))+(IF(AND((L31-C18)&lt;=0,(L31-C19)&lt;=0),0,IF(AND((L31-C18)&gt;=0,(L31-C19)&gt;=0),SQRT((B19-B18)^2+(C19-C18)^2),IF((L31-C18)&gt;0,SQRT(((B18+((L31-C18)/((L31-C18)-(L31-C19)))*(B19-B18))-B18)^2+(L31-C18)^2),SQRT((B19-(B18+((L31-C18)/((L31-C18)-(L31-C19)))*(B19-B18)))^2+(L31-C19)^2)))))+(IF(AND((L31-C19)&lt;=0,(L31-C20)&lt;=0),0,IF(AND((L31-C19)&gt;=0,(L31-C20)&gt;=0),SQRT((B20-B19)^2+(C20-C19)^2),IF((L31-C19)&gt;0,SQRT(((B19+((L31-C19)/((L31-C19)-(L31-C20)))*(B20-B19))-B19)^2+(L31-C19)^2),SQRT((B20-(B19+((L31-C19)/((L31-C19)-(L31-C20)))*(B20-B19)))^2+(L31-C20)^2)))))</f>
        <v/>
      </c>
      <c r="O31">
        <f>IF(OR($B$6&lt;=0,M31&lt;=0,N31&lt;=0,$B$4&lt;=0),0,(1/$B$6)*M31*((M31/N31)^(2/3))*SQRT($B$4))</f>
        <v/>
      </c>
    </row>
    <row r="32">
      <c r="A32" t="inlineStr">
        <is>
          <t>Note</t>
        </is>
      </c>
      <c r="B32" t="inlineStr">
        <is>
          <t>Changer Q (B5) ou n (B6) → WSE, A, V se recalculent seuls. S0 vient du longitudinal.</t>
        </is>
      </c>
      <c r="I32" t="n">
        <v>24</v>
      </c>
      <c r="J32">
        <f>IF(O31&lt;$B$5,L31,J31)</f>
        <v/>
      </c>
      <c r="K32">
        <f>IF(O31&lt;$B$5,K31,L31)</f>
        <v/>
      </c>
      <c r="L32">
        <f>(J32+K32)/2</f>
        <v/>
      </c>
      <c r="M32">
        <f>(IF(AND((L32-C9)&lt;=0,(L32-C10)&lt;=0),0,IF(AND((L32-C9)&gt;=0,(L32-C10)&gt;=0),0.5*((L32-C9)+(L32-C10))*ABS(B10-B9),IF((L32-C9)&gt;0,0.5*(L32-C9)*ABS((B9+((L32-C9)/((L32-C9)-(L32-C10)))*(B10-B9))-B9),0.5*(L32-C10)*ABS(B10-(B9+((L32-C9)/((L32-C9)-(L32-C10)))*(B10-B9)))))))+(IF(AND((L32-C10)&lt;=0,(L32-C11)&lt;=0),0,IF(AND((L32-C10)&gt;=0,(L32-C11)&gt;=0),0.5*((L32-C10)+(L32-C11))*ABS(B11-B10),IF((L32-C10)&gt;0,0.5*(L32-C10)*ABS((B10+((L32-C10)/((L32-C10)-(L32-C11)))*(B11-B10))-B10),0.5*(L32-C11)*ABS(B11-(B10+((L32-C10)/((L32-C10)-(L32-C11)))*(B11-B10)))))))+(IF(AND((L32-C11)&lt;=0,(L32-C12)&lt;=0),0,IF(AND((L32-C11)&gt;=0,(L32-C12)&gt;=0),0.5*((L32-C11)+(L32-C12))*ABS(B12-B11),IF((L32-C11)&gt;0,0.5*(L32-C11)*ABS((B11+((L32-C11)/((L32-C11)-(L32-C12)))*(B12-B11))-B11),0.5*(L32-C12)*ABS(B12-(B11+((L32-C11)/((L32-C11)-(L32-C12)))*(B12-B11)))))))+(IF(AND((L32-C12)&lt;=0,(L32-C13)&lt;=0),0,IF(AND((L32-C12)&gt;=0,(L32-C13)&gt;=0),0.5*((L32-C12)+(L32-C13))*ABS(B13-B12),IF((L32-C12)&gt;0,0.5*(L32-C12)*ABS((B12+((L32-C12)/((L32-C12)-(L32-C13)))*(B13-B12))-B12),0.5*(L32-C13)*ABS(B13-(B12+((L32-C12)/((L32-C12)-(L32-C13)))*(B13-B12)))))))+(IF(AND((L32-C13)&lt;=0,(L32-C14)&lt;=0),0,IF(AND((L32-C13)&gt;=0,(L32-C14)&gt;=0),0.5*((L32-C13)+(L32-C14))*ABS(B14-B13),IF((L32-C13)&gt;0,0.5*(L32-C13)*ABS((B13+((L32-C13)/((L32-C13)-(L32-C14)))*(B14-B13))-B13),0.5*(L32-C14)*ABS(B14-(B13+((L32-C13)/((L32-C13)-(L32-C14)))*(B14-B13)))))))+(IF(AND((L32-C14)&lt;=0,(L32-C15)&lt;=0),0,IF(AND((L32-C14)&gt;=0,(L32-C15)&gt;=0),0.5*((L32-C14)+(L32-C15))*ABS(B15-B14),IF((L32-C14)&gt;0,0.5*(L32-C14)*ABS((B14+((L32-C14)/((L32-C14)-(L32-C15)))*(B15-B14))-B14),0.5*(L32-C15)*ABS(B15-(B14+((L32-C14)/((L32-C14)-(L32-C15)))*(B15-B14)))))))+(IF(AND((L32-C15)&lt;=0,(L32-C16)&lt;=0),0,IF(AND((L32-C15)&gt;=0,(L32-C16)&gt;=0),0.5*((L32-C15)+(L32-C16))*ABS(B16-B15),IF((L32-C15)&gt;0,0.5*(L32-C15)*ABS((B15+((L32-C15)/((L32-C15)-(L32-C16)))*(B16-B15))-B15),0.5*(L32-C16)*ABS(B16-(B15+((L32-C15)/((L32-C15)-(L32-C16)))*(B16-B15)))))))+(IF(AND((L32-C16)&lt;=0,(L32-C17)&lt;=0),0,IF(AND((L32-C16)&gt;=0,(L32-C17)&gt;=0),0.5*((L32-C16)+(L32-C17))*ABS(B17-B16),IF((L32-C16)&gt;0,0.5*(L32-C16)*ABS((B16+((L32-C16)/((L32-C16)-(L32-C17)))*(B17-B16))-B16),0.5*(L32-C17)*ABS(B17-(B16+((L32-C16)/((L32-C16)-(L32-C17)))*(B17-B16)))))))+(IF(AND((L32-C17)&lt;=0,(L32-C18)&lt;=0),0,IF(AND((L32-C17)&gt;=0,(L32-C18)&gt;=0),0.5*((L32-C17)+(L32-C18))*ABS(B18-B17),IF((L32-C17)&gt;0,0.5*(L32-C17)*ABS((B17+((L32-C17)/((L32-C17)-(L32-C18)))*(B18-B17))-B17),0.5*(L32-C18)*ABS(B18-(B17+((L32-C17)/((L32-C17)-(L32-C18)))*(B18-B17)))))))+(IF(AND((L32-C18)&lt;=0,(L32-C19)&lt;=0),0,IF(AND((L32-C18)&gt;=0,(L32-C19)&gt;=0),0.5*((L32-C18)+(L32-C19))*ABS(B19-B18),IF((L32-C18)&gt;0,0.5*(L32-C18)*ABS((B18+((L32-C18)/((L32-C18)-(L32-C19)))*(B19-B18))-B18),0.5*(L32-C19)*ABS(B19-(B18+((L32-C18)/((L32-C18)-(L32-C19)))*(B19-B18)))))))+(IF(AND((L32-C19)&lt;=0,(L32-C20)&lt;=0),0,IF(AND((L32-C19)&gt;=0,(L32-C20)&gt;=0),0.5*((L32-C19)+(L32-C20))*ABS(B20-B19),IF((L32-C19)&gt;0,0.5*(L32-C19)*ABS((B19+((L32-C19)/((L32-C19)-(L32-C20)))*(B20-B19))-B19),0.5*(L32-C20)*ABS(B20-(B19+((L32-C19)/((L32-C19)-(L32-C20)))*(B20-B19)))))))</f>
        <v/>
      </c>
      <c r="N32">
        <f>(IF(AND((L32-C9)&lt;=0,(L32-C10)&lt;=0),0,IF(AND((L32-C9)&gt;=0,(L32-C10)&gt;=0),SQRT((B10-B9)^2+(C10-C9)^2),IF((L32-C9)&gt;0,SQRT(((B9+((L32-C9)/((L32-C9)-(L32-C10)))*(B10-B9))-B9)^2+(L32-C9)^2),SQRT((B10-(B9+((L32-C9)/((L32-C9)-(L32-C10)))*(B10-B9)))^2+(L32-C10)^2)))))+(IF(AND((L32-C10)&lt;=0,(L32-C11)&lt;=0),0,IF(AND((L32-C10)&gt;=0,(L32-C11)&gt;=0),SQRT((B11-B10)^2+(C11-C10)^2),IF((L32-C10)&gt;0,SQRT(((B10+((L32-C10)/((L32-C10)-(L32-C11)))*(B11-B10))-B10)^2+(L32-C10)^2),SQRT((B11-(B10+((L32-C10)/((L32-C10)-(L32-C11)))*(B11-B10)))^2+(L32-C11)^2)))))+(IF(AND((L32-C11)&lt;=0,(L32-C12)&lt;=0),0,IF(AND((L32-C11)&gt;=0,(L32-C12)&gt;=0),SQRT((B12-B11)^2+(C12-C11)^2),IF((L32-C11)&gt;0,SQRT(((B11+((L32-C11)/((L32-C11)-(L32-C12)))*(B12-B11))-B11)^2+(L32-C11)^2),SQRT((B12-(B11+((L32-C11)/((L32-C11)-(L32-C12)))*(B12-B11)))^2+(L32-C12)^2)))))+(IF(AND((L32-C12)&lt;=0,(L32-C13)&lt;=0),0,IF(AND((L32-C12)&gt;=0,(L32-C13)&gt;=0),SQRT((B13-B12)^2+(C13-C12)^2),IF((L32-C12)&gt;0,SQRT(((B12+((L32-C12)/((L32-C12)-(L32-C13)))*(B13-B12))-B12)^2+(L32-C12)^2),SQRT((B13-(B12+((L32-C12)/((L32-C12)-(L32-C13)))*(B13-B12)))^2+(L32-C13)^2)))))+(IF(AND((L32-C13)&lt;=0,(L32-C14)&lt;=0),0,IF(AND((L32-C13)&gt;=0,(L32-C14)&gt;=0),SQRT((B14-B13)^2+(C14-C13)^2),IF((L32-C13)&gt;0,SQRT(((B13+((L32-C13)/((L32-C13)-(L32-C14)))*(B14-B13))-B13)^2+(L32-C13)^2),SQRT((B14-(B13+((L32-C13)/((L32-C13)-(L32-C14)))*(B14-B13)))^2+(L32-C14)^2)))))+(IF(AND((L32-C14)&lt;=0,(L32-C15)&lt;=0),0,IF(AND((L32-C14)&gt;=0,(L32-C15)&gt;=0),SQRT((B15-B14)^2+(C15-C14)^2),IF((L32-C14)&gt;0,SQRT(((B14+((L32-C14)/((L32-C14)-(L32-C15)))*(B15-B14))-B14)^2+(L32-C14)^2),SQRT((B15-(B14+((L32-C14)/((L32-C14)-(L32-C15)))*(B15-B14)))^2+(L32-C15)^2)))))+(IF(AND((L32-C15)&lt;=0,(L32-C16)&lt;=0),0,IF(AND((L32-C15)&gt;=0,(L32-C16)&gt;=0),SQRT((B16-B15)^2+(C16-C15)^2),IF((L32-C15)&gt;0,SQRT(((B15+((L32-C15)/((L32-C15)-(L32-C16)))*(B16-B15))-B15)^2+(L32-C15)^2),SQRT((B16-(B15+((L32-C15)/((L32-C15)-(L32-C16)))*(B16-B15)))^2+(L32-C16)^2)))))+(IF(AND((L32-C16)&lt;=0,(L32-C17)&lt;=0),0,IF(AND((L32-C16)&gt;=0,(L32-C17)&gt;=0),SQRT((B17-B16)^2+(C17-C16)^2),IF((L32-C16)&gt;0,SQRT(((B16+((L32-C16)/((L32-C16)-(L32-C17)))*(B17-B16))-B16)^2+(L32-C16)^2),SQRT((B17-(B16+((L32-C16)/((L32-C16)-(L32-C17)))*(B17-B16)))^2+(L32-C17)^2)))))+(IF(AND((L32-C17)&lt;=0,(L32-C18)&lt;=0),0,IF(AND((L32-C17)&gt;=0,(L32-C18)&gt;=0),SQRT((B18-B17)^2+(C18-C17)^2),IF((L32-C17)&gt;0,SQRT(((B17+((L32-C17)/((L32-C17)-(L32-C18)))*(B18-B17))-B17)^2+(L32-C17)^2),SQRT((B18-(B17+((L32-C17)/((L32-C17)-(L32-C18)))*(B18-B17)))^2+(L32-C18)^2)))))+(IF(AND((L32-C18)&lt;=0,(L32-C19)&lt;=0),0,IF(AND((L32-C18)&gt;=0,(L32-C19)&gt;=0),SQRT((B19-B18)^2+(C19-C18)^2),IF((L32-C18)&gt;0,SQRT(((B18+((L32-C18)/((L32-C18)-(L32-C19)))*(B19-B18))-B18)^2+(L32-C18)^2),SQRT((B19-(B18+((L32-C18)/((L32-C18)-(L32-C19)))*(B19-B18)))^2+(L32-C19)^2)))))+(IF(AND((L32-C19)&lt;=0,(L32-C20)&lt;=0),0,IF(AND((L32-C19)&gt;=0,(L32-C20)&gt;=0),SQRT((B20-B19)^2+(C20-C19)^2),IF((L32-C19)&gt;0,SQRT(((B19+((L32-C19)/((L32-C19)-(L32-C20)))*(B20-B19))-B19)^2+(L32-C19)^2),SQRT((B20-(B19+((L32-C19)/((L32-C19)-(L32-C20)))*(B20-B19)))^2+(L32-C20)^2)))))</f>
        <v/>
      </c>
      <c r="O32">
        <f>IF(OR($B$6&lt;=0,M32&lt;=0,N32&lt;=0,$B$4&lt;=0),0,(1/$B$6)*M32*((M32/N32)^(2/3))*SQRT($B$4))</f>
        <v/>
      </c>
    </row>
    <row r="33">
      <c r="I33" t="n">
        <v>25</v>
      </c>
      <c r="J33">
        <f>IF(O32&lt;$B$5,L32,J32)</f>
        <v/>
      </c>
      <c r="K33">
        <f>IF(O32&lt;$B$5,K32,L32)</f>
        <v/>
      </c>
      <c r="L33">
        <f>(J33+K33)/2</f>
        <v/>
      </c>
      <c r="M33">
        <f>(IF(AND((L33-C9)&lt;=0,(L33-C10)&lt;=0),0,IF(AND((L33-C9)&gt;=0,(L33-C10)&gt;=0),0.5*((L33-C9)+(L33-C10))*ABS(B10-B9),IF((L33-C9)&gt;0,0.5*(L33-C9)*ABS((B9+((L33-C9)/((L33-C9)-(L33-C10)))*(B10-B9))-B9),0.5*(L33-C10)*ABS(B10-(B9+((L33-C9)/((L33-C9)-(L33-C10)))*(B10-B9)))))))+(IF(AND((L33-C10)&lt;=0,(L33-C11)&lt;=0),0,IF(AND((L33-C10)&gt;=0,(L33-C11)&gt;=0),0.5*((L33-C10)+(L33-C11))*ABS(B11-B10),IF((L33-C10)&gt;0,0.5*(L33-C10)*ABS((B10+((L33-C10)/((L33-C10)-(L33-C11)))*(B11-B10))-B10),0.5*(L33-C11)*ABS(B11-(B10+((L33-C10)/((L33-C10)-(L33-C11)))*(B11-B10)))))))+(IF(AND((L33-C11)&lt;=0,(L33-C12)&lt;=0),0,IF(AND((L33-C11)&gt;=0,(L33-C12)&gt;=0),0.5*((L33-C11)+(L33-C12))*ABS(B12-B11),IF((L33-C11)&gt;0,0.5*(L33-C11)*ABS((B11+((L33-C11)/((L33-C11)-(L33-C12)))*(B12-B11))-B11),0.5*(L33-C12)*ABS(B12-(B11+((L33-C11)/((L33-C11)-(L33-C12)))*(B12-B11)))))))+(IF(AND((L33-C12)&lt;=0,(L33-C13)&lt;=0),0,IF(AND((L33-C12)&gt;=0,(L33-C13)&gt;=0),0.5*((L33-C12)+(L33-C13))*ABS(B13-B12),IF((L33-C12)&gt;0,0.5*(L33-C12)*ABS((B12+((L33-C12)/((L33-C12)-(L33-C13)))*(B13-B12))-B12),0.5*(L33-C13)*ABS(B13-(B12+((L33-C12)/((L33-C12)-(L33-C13)))*(B13-B12)))))))+(IF(AND((L33-C13)&lt;=0,(L33-C14)&lt;=0),0,IF(AND((L33-C13)&gt;=0,(L33-C14)&gt;=0),0.5*((L33-C13)+(L33-C14))*ABS(B14-B13),IF((L33-C13)&gt;0,0.5*(L33-C13)*ABS((B13+((L33-C13)/((L33-C13)-(L33-C14)))*(B14-B13))-B13),0.5*(L33-C14)*ABS(B14-(B13+((L33-C13)/((L33-C13)-(L33-C14)))*(B14-B13)))))))+(IF(AND((L33-C14)&lt;=0,(L33-C15)&lt;=0),0,IF(AND((L33-C14)&gt;=0,(L33-C15)&gt;=0),0.5*((L33-C14)+(L33-C15))*ABS(B15-B14),IF((L33-C14)&gt;0,0.5*(L33-C14)*ABS((B14+((L33-C14)/((L33-C14)-(L33-C15)))*(B15-B14))-B14),0.5*(L33-C15)*ABS(B15-(B14+((L33-C14)/((L33-C14)-(L33-C15)))*(B15-B14)))))))+(IF(AND((L33-C15)&lt;=0,(L33-C16)&lt;=0),0,IF(AND((L33-C15)&gt;=0,(L33-C16)&gt;=0),0.5*((L33-C15)+(L33-C16))*ABS(B16-B15),IF((L33-C15)&gt;0,0.5*(L33-C15)*ABS((B15+((L33-C15)/((L33-C15)-(L33-C16)))*(B16-B15))-B15),0.5*(L33-C16)*ABS(B16-(B15+((L33-C15)/((L33-C15)-(L33-C16)))*(B16-B15)))))))+(IF(AND((L33-C16)&lt;=0,(L33-C17)&lt;=0),0,IF(AND((L33-C16)&gt;=0,(L33-C17)&gt;=0),0.5*((L33-C16)+(L33-C17))*ABS(B17-B16),IF((L33-C16)&gt;0,0.5*(L33-C16)*ABS((B16+((L33-C16)/((L33-C16)-(L33-C17)))*(B17-B16))-B16),0.5*(L33-C17)*ABS(B17-(B16+((L33-C16)/((L33-C16)-(L33-C17)))*(B17-B16)))))))+(IF(AND((L33-C17)&lt;=0,(L33-C18)&lt;=0),0,IF(AND((L33-C17)&gt;=0,(L33-C18)&gt;=0),0.5*((L33-C17)+(L33-C18))*ABS(B18-B17),IF((L33-C17)&gt;0,0.5*(L33-C17)*ABS((B17+((L33-C17)/((L33-C17)-(L33-C18)))*(B18-B17))-B17),0.5*(L33-C18)*ABS(B18-(B17+((L33-C17)/((L33-C17)-(L33-C18)))*(B18-B17)))))))+(IF(AND((L33-C18)&lt;=0,(L33-C19)&lt;=0),0,IF(AND((L33-C18)&gt;=0,(L33-C19)&gt;=0),0.5*((L33-C18)+(L33-C19))*ABS(B19-B18),IF((L33-C18)&gt;0,0.5*(L33-C18)*ABS((B18+((L33-C18)/((L33-C18)-(L33-C19)))*(B19-B18))-B18),0.5*(L33-C19)*ABS(B19-(B18+((L33-C18)/((L33-C18)-(L33-C19)))*(B19-B18)))))))+(IF(AND((L33-C19)&lt;=0,(L33-C20)&lt;=0),0,IF(AND((L33-C19)&gt;=0,(L33-C20)&gt;=0),0.5*((L33-C19)+(L33-C20))*ABS(B20-B19),IF((L33-C19)&gt;0,0.5*(L33-C19)*ABS((B19+((L33-C19)/((L33-C19)-(L33-C20)))*(B20-B19))-B19),0.5*(L33-C20)*ABS(B20-(B19+((L33-C19)/((L33-C19)-(L33-C20)))*(B20-B19)))))))</f>
        <v/>
      </c>
      <c r="N33">
        <f>(IF(AND((L33-C9)&lt;=0,(L33-C10)&lt;=0),0,IF(AND((L33-C9)&gt;=0,(L33-C10)&gt;=0),SQRT((B10-B9)^2+(C10-C9)^2),IF((L33-C9)&gt;0,SQRT(((B9+((L33-C9)/((L33-C9)-(L33-C10)))*(B10-B9))-B9)^2+(L33-C9)^2),SQRT((B10-(B9+((L33-C9)/((L33-C9)-(L33-C10)))*(B10-B9)))^2+(L33-C10)^2)))))+(IF(AND((L33-C10)&lt;=0,(L33-C11)&lt;=0),0,IF(AND((L33-C10)&gt;=0,(L33-C11)&gt;=0),SQRT((B11-B10)^2+(C11-C10)^2),IF((L33-C10)&gt;0,SQRT(((B10+((L33-C10)/((L33-C10)-(L33-C11)))*(B11-B10))-B10)^2+(L33-C10)^2),SQRT((B11-(B10+((L33-C10)/((L33-C10)-(L33-C11)))*(B11-B10)))^2+(L33-C11)^2)))))+(IF(AND((L33-C11)&lt;=0,(L33-C12)&lt;=0),0,IF(AND((L33-C11)&gt;=0,(L33-C12)&gt;=0),SQRT((B12-B11)^2+(C12-C11)^2),IF((L33-C11)&gt;0,SQRT(((B11+((L33-C11)/((L33-C11)-(L33-C12)))*(B12-B11))-B11)^2+(L33-C11)^2),SQRT((B12-(B11+((L33-C11)/((L33-C11)-(L33-C12)))*(B12-B11)))^2+(L33-C12)^2)))))+(IF(AND((L33-C12)&lt;=0,(L33-C13)&lt;=0),0,IF(AND((L33-C12)&gt;=0,(L33-C13)&gt;=0),SQRT((B13-B12)^2+(C13-C12)^2),IF((L33-C12)&gt;0,SQRT(((B12+((L33-C12)/((L33-C12)-(L33-C13)))*(B13-B12))-B12)^2+(L33-C12)^2),SQRT((B13-(B12+((L33-C12)/((L33-C12)-(L33-C13)))*(B13-B12)))^2+(L33-C13)^2)))))+(IF(AND((L33-C13)&lt;=0,(L33-C14)&lt;=0),0,IF(AND((L33-C13)&gt;=0,(L33-C14)&gt;=0),SQRT((B14-B13)^2+(C14-C13)^2),IF((L33-C13)&gt;0,SQRT(((B13+((L33-C13)/((L33-C13)-(L33-C14)))*(B14-B13))-B13)^2+(L33-C13)^2),SQRT((B14-(B13+((L33-C13)/((L33-C13)-(L33-C14)))*(B14-B13)))^2+(L33-C14)^2)))))+(IF(AND((L33-C14)&lt;=0,(L33-C15)&lt;=0),0,IF(AND((L33-C14)&gt;=0,(L33-C15)&gt;=0),SQRT((B15-B14)^2+(C15-C14)^2),IF((L33-C14)&gt;0,SQRT(((B14+((L33-C14)/((L33-C14)-(L33-C15)))*(B15-B14))-B14)^2+(L33-C14)^2),SQRT((B15-(B14+((L33-C14)/((L33-C14)-(L33-C15)))*(B15-B14)))^2+(L33-C15)^2)))))+(IF(AND((L33-C15)&lt;=0,(L33-C16)&lt;=0),0,IF(AND((L33-C15)&gt;=0,(L33-C16)&gt;=0),SQRT((B16-B15)^2+(C16-C15)^2),IF((L33-C15)&gt;0,SQRT(((B15+((L33-C15)/((L33-C15)-(L33-C16)))*(B16-B15))-B15)^2+(L33-C15)^2),SQRT((B16-(B15+((L33-C15)/((L33-C15)-(L33-C16)))*(B16-B15)))^2+(L33-C16)^2)))))+(IF(AND((L33-C16)&lt;=0,(L33-C17)&lt;=0),0,IF(AND((L33-C16)&gt;=0,(L33-C17)&gt;=0),SQRT((B17-B16)^2+(C17-C16)^2),IF((L33-C16)&gt;0,SQRT(((B16+((L33-C16)/((L33-C16)-(L33-C17)))*(B17-B16))-B16)^2+(L33-C16)^2),SQRT((B17-(B16+((L33-C16)/((L33-C16)-(L33-C17)))*(B17-B16)))^2+(L33-C17)^2)))))+(IF(AND((L33-C17)&lt;=0,(L33-C18)&lt;=0),0,IF(AND((L33-C17)&gt;=0,(L33-C18)&gt;=0),SQRT((B18-B17)^2+(C18-C17)^2),IF((L33-C17)&gt;0,SQRT(((B17+((L33-C17)/((L33-C17)-(L33-C18)))*(B18-B17))-B17)^2+(L33-C17)^2),SQRT((B18-(B17+((L33-C17)/((L33-C17)-(L33-C18)))*(B18-B17)))^2+(L33-C18)^2)))))+(IF(AND((L33-C18)&lt;=0,(L33-C19)&lt;=0),0,IF(AND((L33-C18)&gt;=0,(L33-C19)&gt;=0),SQRT((B19-B18)^2+(C19-C18)^2),IF((L33-C18)&gt;0,SQRT(((B18+((L33-C18)/((L33-C18)-(L33-C19)))*(B19-B18))-B18)^2+(L33-C18)^2),SQRT((B19-(B18+((L33-C18)/((L33-C18)-(L33-C19)))*(B19-B18)))^2+(L33-C19)^2)))))+(IF(AND((L33-C19)&lt;=0,(L33-C20)&lt;=0),0,IF(AND((L33-C19)&gt;=0,(L33-C20)&gt;=0),SQRT((B20-B19)^2+(C20-C19)^2),IF((L33-C19)&gt;0,SQRT(((B19+((L33-C19)/((L33-C19)-(L33-C20)))*(B20-B19))-B19)^2+(L33-C19)^2),SQRT((B20-(B19+((L33-C19)/((L33-C19)-(L33-C20)))*(B20-B19)))^2+(L33-C20)^2)))))</f>
        <v/>
      </c>
      <c r="O33">
        <f>IF(OR($B$6&lt;=0,M33&lt;=0,N33&lt;=0,$B$4&lt;=0),0,(1/$B$6)*M33*((M33/N33)^(2/3))*SQRT($B$4))</f>
        <v/>
      </c>
    </row>
    <row r="34">
      <c r="I34" t="n">
        <v>26</v>
      </c>
      <c r="J34">
        <f>IF(O33&lt;$B$5,L33,J33)</f>
        <v/>
      </c>
      <c r="K34">
        <f>IF(O33&lt;$B$5,K33,L33)</f>
        <v/>
      </c>
      <c r="L34">
        <f>(J34+K34)/2</f>
        <v/>
      </c>
      <c r="M34">
        <f>(IF(AND((L34-C9)&lt;=0,(L34-C10)&lt;=0),0,IF(AND((L34-C9)&gt;=0,(L34-C10)&gt;=0),0.5*((L34-C9)+(L34-C10))*ABS(B10-B9),IF((L34-C9)&gt;0,0.5*(L34-C9)*ABS((B9+((L34-C9)/((L34-C9)-(L34-C10)))*(B10-B9))-B9),0.5*(L34-C10)*ABS(B10-(B9+((L34-C9)/((L34-C9)-(L34-C10)))*(B10-B9)))))))+(IF(AND((L34-C10)&lt;=0,(L34-C11)&lt;=0),0,IF(AND((L34-C10)&gt;=0,(L34-C11)&gt;=0),0.5*((L34-C10)+(L34-C11))*ABS(B11-B10),IF((L34-C10)&gt;0,0.5*(L34-C10)*ABS((B10+((L34-C10)/((L34-C10)-(L34-C11)))*(B11-B10))-B10),0.5*(L34-C11)*ABS(B11-(B10+((L34-C10)/((L34-C10)-(L34-C11)))*(B11-B10)))))))+(IF(AND((L34-C11)&lt;=0,(L34-C12)&lt;=0),0,IF(AND((L34-C11)&gt;=0,(L34-C12)&gt;=0),0.5*((L34-C11)+(L34-C12))*ABS(B12-B11),IF((L34-C11)&gt;0,0.5*(L34-C11)*ABS((B11+((L34-C11)/((L34-C11)-(L34-C12)))*(B12-B11))-B11),0.5*(L34-C12)*ABS(B12-(B11+((L34-C11)/((L34-C11)-(L34-C12)))*(B12-B11)))))))+(IF(AND((L34-C12)&lt;=0,(L34-C13)&lt;=0),0,IF(AND((L34-C12)&gt;=0,(L34-C13)&gt;=0),0.5*((L34-C12)+(L34-C13))*ABS(B13-B12),IF((L34-C12)&gt;0,0.5*(L34-C12)*ABS((B12+((L34-C12)/((L34-C12)-(L34-C13)))*(B13-B12))-B12),0.5*(L34-C13)*ABS(B13-(B12+((L34-C12)/((L34-C12)-(L34-C13)))*(B13-B12)))))))+(IF(AND((L34-C13)&lt;=0,(L34-C14)&lt;=0),0,IF(AND((L34-C13)&gt;=0,(L34-C14)&gt;=0),0.5*((L34-C13)+(L34-C14))*ABS(B14-B13),IF((L34-C13)&gt;0,0.5*(L34-C13)*ABS((B13+((L34-C13)/((L34-C13)-(L34-C14)))*(B14-B13))-B13),0.5*(L34-C14)*ABS(B14-(B13+((L34-C13)/((L34-C13)-(L34-C14)))*(B14-B13)))))))+(IF(AND((L34-C14)&lt;=0,(L34-C15)&lt;=0),0,IF(AND((L34-C14)&gt;=0,(L34-C15)&gt;=0),0.5*((L34-C14)+(L34-C15))*ABS(B15-B14),IF((L34-C14)&gt;0,0.5*(L34-C14)*ABS((B14+((L34-C14)/((L34-C14)-(L34-C15)))*(B15-B14))-B14),0.5*(L34-C15)*ABS(B15-(B14+((L34-C14)/((L34-C14)-(L34-C15)))*(B15-B14)))))))+(IF(AND((L34-C15)&lt;=0,(L34-C16)&lt;=0),0,IF(AND((L34-C15)&gt;=0,(L34-C16)&gt;=0),0.5*((L34-C15)+(L34-C16))*ABS(B16-B15),IF((L34-C15)&gt;0,0.5*(L34-C15)*ABS((B15+((L34-C15)/((L34-C15)-(L34-C16)))*(B16-B15))-B15),0.5*(L34-C16)*ABS(B16-(B15+((L34-C15)/((L34-C15)-(L34-C16)))*(B16-B15)))))))+(IF(AND((L34-C16)&lt;=0,(L34-C17)&lt;=0),0,IF(AND((L34-C16)&gt;=0,(L34-C17)&gt;=0),0.5*((L34-C16)+(L34-C17))*ABS(B17-B16),IF((L34-C16)&gt;0,0.5*(L34-C16)*ABS((B16+((L34-C16)/((L34-C16)-(L34-C17)))*(B17-B16))-B16),0.5*(L34-C17)*ABS(B17-(B16+((L34-C16)/((L34-C16)-(L34-C17)))*(B17-B16)))))))+(IF(AND((L34-C17)&lt;=0,(L34-C18)&lt;=0),0,IF(AND((L34-C17)&gt;=0,(L34-C18)&gt;=0),0.5*((L34-C17)+(L34-C18))*ABS(B18-B17),IF((L34-C17)&gt;0,0.5*(L34-C17)*ABS((B17+((L34-C17)/((L34-C17)-(L34-C18)))*(B18-B17))-B17),0.5*(L34-C18)*ABS(B18-(B17+((L34-C17)/((L34-C17)-(L34-C18)))*(B18-B17)))))))+(IF(AND((L34-C18)&lt;=0,(L34-C19)&lt;=0),0,IF(AND((L34-C18)&gt;=0,(L34-C19)&gt;=0),0.5*((L34-C18)+(L34-C19))*ABS(B19-B18),IF((L34-C18)&gt;0,0.5*(L34-C18)*ABS((B18+((L34-C18)/((L34-C18)-(L34-C19)))*(B19-B18))-B18),0.5*(L34-C19)*ABS(B19-(B18+((L34-C18)/((L34-C18)-(L34-C19)))*(B19-B18)))))))+(IF(AND((L34-C19)&lt;=0,(L34-C20)&lt;=0),0,IF(AND((L34-C19)&gt;=0,(L34-C20)&gt;=0),0.5*((L34-C19)+(L34-C20))*ABS(B20-B19),IF((L34-C19)&gt;0,0.5*(L34-C19)*ABS((B19+((L34-C19)/((L34-C19)-(L34-C20)))*(B20-B19))-B19),0.5*(L34-C20)*ABS(B20-(B19+((L34-C19)/((L34-C19)-(L34-C20)))*(B20-B19)))))))</f>
        <v/>
      </c>
      <c r="N34">
        <f>(IF(AND((L34-C9)&lt;=0,(L34-C10)&lt;=0),0,IF(AND((L34-C9)&gt;=0,(L34-C10)&gt;=0),SQRT((B10-B9)^2+(C10-C9)^2),IF((L34-C9)&gt;0,SQRT(((B9+((L34-C9)/((L34-C9)-(L34-C10)))*(B10-B9))-B9)^2+(L34-C9)^2),SQRT((B10-(B9+((L34-C9)/((L34-C9)-(L34-C10)))*(B10-B9)))^2+(L34-C10)^2)))))+(IF(AND((L34-C10)&lt;=0,(L34-C11)&lt;=0),0,IF(AND((L34-C10)&gt;=0,(L34-C11)&gt;=0),SQRT((B11-B10)^2+(C11-C10)^2),IF((L34-C10)&gt;0,SQRT(((B10+((L34-C10)/((L34-C10)-(L34-C11)))*(B11-B10))-B10)^2+(L34-C10)^2),SQRT((B11-(B10+((L34-C10)/((L34-C10)-(L34-C11)))*(B11-B10)))^2+(L34-C11)^2)))))+(IF(AND((L34-C11)&lt;=0,(L34-C12)&lt;=0),0,IF(AND((L34-C11)&gt;=0,(L34-C12)&gt;=0),SQRT((B12-B11)^2+(C12-C11)^2),IF((L34-C11)&gt;0,SQRT(((B11+((L34-C11)/((L34-C11)-(L34-C12)))*(B12-B11))-B11)^2+(L34-C11)^2),SQRT((B12-(B11+((L34-C11)/((L34-C11)-(L34-C12)))*(B12-B11)))^2+(L34-C12)^2)))))+(IF(AND((L34-C12)&lt;=0,(L34-C13)&lt;=0),0,IF(AND((L34-C12)&gt;=0,(L34-C13)&gt;=0),SQRT((B13-B12)^2+(C13-C12)^2),IF((L34-C12)&gt;0,SQRT(((B12+((L34-C12)/((L34-C12)-(L34-C13)))*(B13-B12))-B12)^2+(L34-C12)^2),SQRT((B13-(B12+((L34-C12)/((L34-C12)-(L34-C13)))*(B13-B12)))^2+(L34-C13)^2)))))+(IF(AND((L34-C13)&lt;=0,(L34-C14)&lt;=0),0,IF(AND((L34-C13)&gt;=0,(L34-C14)&gt;=0),SQRT((B14-B13)^2+(C14-C13)^2),IF((L34-C13)&gt;0,SQRT(((B13+((L34-C13)/((L34-C13)-(L34-C14)))*(B14-B13))-B13)^2+(L34-C13)^2),SQRT((B14-(B13+((L34-C13)/((L34-C13)-(L34-C14)))*(B14-B13)))^2+(L34-C14)^2)))))+(IF(AND((L34-C14)&lt;=0,(L34-C15)&lt;=0),0,IF(AND((L34-C14)&gt;=0,(L34-C15)&gt;=0),SQRT((B15-B14)^2+(C15-C14)^2),IF((L34-C14)&gt;0,SQRT(((B14+((L34-C14)/((L34-C14)-(L34-C15)))*(B15-B14))-B14)^2+(L34-C14)^2),SQRT((B15-(B14+((L34-C14)/((L34-C14)-(L34-C15)))*(B15-B14)))^2+(L34-C15)^2)))))+(IF(AND((L34-C15)&lt;=0,(L34-C16)&lt;=0),0,IF(AND((L34-C15)&gt;=0,(L34-C16)&gt;=0),SQRT((B16-B15)^2+(C16-C15)^2),IF((L34-C15)&gt;0,SQRT(((B15+((L34-C15)/((L34-C15)-(L34-C16)))*(B16-B15))-B15)^2+(L34-C15)^2),SQRT((B16-(B15+((L34-C15)/((L34-C15)-(L34-C16)))*(B16-B15)))^2+(L34-C16)^2)))))+(IF(AND((L34-C16)&lt;=0,(L34-C17)&lt;=0),0,IF(AND((L34-C16)&gt;=0,(L34-C17)&gt;=0),SQRT((B17-B16)^2+(C17-C16)^2),IF((L34-C16)&gt;0,SQRT(((B16+((L34-C16)/((L34-C16)-(L34-C17)))*(B17-B16))-B16)^2+(L34-C16)^2),SQRT((B17-(B16+((L34-C16)/((L34-C16)-(L34-C17)))*(B17-B16)))^2+(L34-C17)^2)))))+(IF(AND((L34-C17)&lt;=0,(L34-C18)&lt;=0),0,IF(AND((L34-C17)&gt;=0,(L34-C18)&gt;=0),SQRT((B18-B17)^2+(C18-C17)^2),IF((L34-C17)&gt;0,SQRT(((B17+((L34-C17)/((L34-C17)-(L34-C18)))*(B18-B17))-B17)^2+(L34-C17)^2),SQRT((B18-(B17+((L34-C17)/((L34-C17)-(L34-C18)))*(B18-B17)))^2+(L34-C18)^2)))))+(IF(AND((L34-C18)&lt;=0,(L34-C19)&lt;=0),0,IF(AND((L34-C18)&gt;=0,(L34-C19)&gt;=0),SQRT((B19-B18)^2+(C19-C18)^2),IF((L34-C18)&gt;0,SQRT(((B18+((L34-C18)/((L34-C18)-(L34-C19)))*(B19-B18))-B18)^2+(L34-C18)^2),SQRT((B19-(B18+((L34-C18)/((L34-C18)-(L34-C19)))*(B19-B18)))^2+(L34-C19)^2)))))+(IF(AND((L34-C19)&lt;=0,(L34-C20)&lt;=0),0,IF(AND((L34-C19)&gt;=0,(L34-C20)&gt;=0),SQRT((B20-B19)^2+(C20-C19)^2),IF((L34-C19)&gt;0,SQRT(((B19+((L34-C19)/((L34-C19)-(L34-C20)))*(B20-B19))-B19)^2+(L34-C19)^2),SQRT((B20-(B19+((L34-C19)/((L34-C19)-(L34-C20)))*(B20-B19)))^2+(L34-C20)^2)))))</f>
        <v/>
      </c>
      <c r="O34">
        <f>IF(OR($B$6&lt;=0,M34&lt;=0,N34&lt;=0,$B$4&lt;=0),0,(1/$B$6)*M34*((M34/N34)^(2/3))*SQRT($B$4))</f>
        <v/>
      </c>
    </row>
    <row r="35">
      <c r="I35" t="n">
        <v>27</v>
      </c>
      <c r="J35">
        <f>IF(O34&lt;$B$5,L34,J34)</f>
        <v/>
      </c>
      <c r="K35">
        <f>IF(O34&lt;$B$5,K34,L34)</f>
        <v/>
      </c>
      <c r="L35">
        <f>(J35+K35)/2</f>
        <v/>
      </c>
      <c r="M35">
        <f>(IF(AND((L35-C9)&lt;=0,(L35-C10)&lt;=0),0,IF(AND((L35-C9)&gt;=0,(L35-C10)&gt;=0),0.5*((L35-C9)+(L35-C10))*ABS(B10-B9),IF((L35-C9)&gt;0,0.5*(L35-C9)*ABS((B9+((L35-C9)/((L35-C9)-(L35-C10)))*(B10-B9))-B9),0.5*(L35-C10)*ABS(B10-(B9+((L35-C9)/((L35-C9)-(L35-C10)))*(B10-B9)))))))+(IF(AND((L35-C10)&lt;=0,(L35-C11)&lt;=0),0,IF(AND((L35-C10)&gt;=0,(L35-C11)&gt;=0),0.5*((L35-C10)+(L35-C11))*ABS(B11-B10),IF((L35-C10)&gt;0,0.5*(L35-C10)*ABS((B10+((L35-C10)/((L35-C10)-(L35-C11)))*(B11-B10))-B10),0.5*(L35-C11)*ABS(B11-(B10+((L35-C10)/((L35-C10)-(L35-C11)))*(B11-B10)))))))+(IF(AND((L35-C11)&lt;=0,(L35-C12)&lt;=0),0,IF(AND((L35-C11)&gt;=0,(L35-C12)&gt;=0),0.5*((L35-C11)+(L35-C12))*ABS(B12-B11),IF((L35-C11)&gt;0,0.5*(L35-C11)*ABS((B11+((L35-C11)/((L35-C11)-(L35-C12)))*(B12-B11))-B11),0.5*(L35-C12)*ABS(B12-(B11+((L35-C11)/((L35-C11)-(L35-C12)))*(B12-B11)))))))+(IF(AND((L35-C12)&lt;=0,(L35-C13)&lt;=0),0,IF(AND((L35-C12)&gt;=0,(L35-C13)&gt;=0),0.5*((L35-C12)+(L35-C13))*ABS(B13-B12),IF((L35-C12)&gt;0,0.5*(L35-C12)*ABS((B12+((L35-C12)/((L35-C12)-(L35-C13)))*(B13-B12))-B12),0.5*(L35-C13)*ABS(B13-(B12+((L35-C12)/((L35-C12)-(L35-C13)))*(B13-B12)))))))+(IF(AND((L35-C13)&lt;=0,(L35-C14)&lt;=0),0,IF(AND((L35-C13)&gt;=0,(L35-C14)&gt;=0),0.5*((L35-C13)+(L35-C14))*ABS(B14-B13),IF((L35-C13)&gt;0,0.5*(L35-C13)*ABS((B13+((L35-C13)/((L35-C13)-(L35-C14)))*(B14-B13))-B13),0.5*(L35-C14)*ABS(B14-(B13+((L35-C13)/((L35-C13)-(L35-C14)))*(B14-B13)))))))+(IF(AND((L35-C14)&lt;=0,(L35-C15)&lt;=0),0,IF(AND((L35-C14)&gt;=0,(L35-C15)&gt;=0),0.5*((L35-C14)+(L35-C15))*ABS(B15-B14),IF((L35-C14)&gt;0,0.5*(L35-C14)*ABS((B14+((L35-C14)/((L35-C14)-(L35-C15)))*(B15-B14))-B14),0.5*(L35-C15)*ABS(B15-(B14+((L35-C14)/((L35-C14)-(L35-C15)))*(B15-B14)))))))+(IF(AND((L35-C15)&lt;=0,(L35-C16)&lt;=0),0,IF(AND((L35-C15)&gt;=0,(L35-C16)&gt;=0),0.5*((L35-C15)+(L35-C16))*ABS(B16-B15),IF((L35-C15)&gt;0,0.5*(L35-C15)*ABS((B15+((L35-C15)/((L35-C15)-(L35-C16)))*(B16-B15))-B15),0.5*(L35-C16)*ABS(B16-(B15+((L35-C15)/((L35-C15)-(L35-C16)))*(B16-B15)))))))+(IF(AND((L35-C16)&lt;=0,(L35-C17)&lt;=0),0,IF(AND((L35-C16)&gt;=0,(L35-C17)&gt;=0),0.5*((L35-C16)+(L35-C17))*ABS(B17-B16),IF((L35-C16)&gt;0,0.5*(L35-C16)*ABS((B16+((L35-C16)/((L35-C16)-(L35-C17)))*(B17-B16))-B16),0.5*(L35-C17)*ABS(B17-(B16+((L35-C16)/((L35-C16)-(L35-C17)))*(B17-B16)))))))+(IF(AND((L35-C17)&lt;=0,(L35-C18)&lt;=0),0,IF(AND((L35-C17)&gt;=0,(L35-C18)&gt;=0),0.5*((L35-C17)+(L35-C18))*ABS(B18-B17),IF((L35-C17)&gt;0,0.5*(L35-C17)*ABS((B17+((L35-C17)/((L35-C17)-(L35-C18)))*(B18-B17))-B17),0.5*(L35-C18)*ABS(B18-(B17+((L35-C17)/((L35-C17)-(L35-C18)))*(B18-B17)))))))+(IF(AND((L35-C18)&lt;=0,(L35-C19)&lt;=0),0,IF(AND((L35-C18)&gt;=0,(L35-C19)&gt;=0),0.5*((L35-C18)+(L35-C19))*ABS(B19-B18),IF((L35-C18)&gt;0,0.5*(L35-C18)*ABS((B18+((L35-C18)/((L35-C18)-(L35-C19)))*(B19-B18))-B18),0.5*(L35-C19)*ABS(B19-(B18+((L35-C18)/((L35-C18)-(L35-C19)))*(B19-B18)))))))+(IF(AND((L35-C19)&lt;=0,(L35-C20)&lt;=0),0,IF(AND((L35-C19)&gt;=0,(L35-C20)&gt;=0),0.5*((L35-C19)+(L35-C20))*ABS(B20-B19),IF((L35-C19)&gt;0,0.5*(L35-C19)*ABS((B19+((L35-C19)/((L35-C19)-(L35-C20)))*(B20-B19))-B19),0.5*(L35-C20)*ABS(B20-(B19+((L35-C19)/((L35-C19)-(L35-C20)))*(B20-B19)))))))</f>
        <v/>
      </c>
      <c r="N35">
        <f>(IF(AND((L35-C9)&lt;=0,(L35-C10)&lt;=0),0,IF(AND((L35-C9)&gt;=0,(L35-C10)&gt;=0),SQRT((B10-B9)^2+(C10-C9)^2),IF((L35-C9)&gt;0,SQRT(((B9+((L35-C9)/((L35-C9)-(L35-C10)))*(B10-B9))-B9)^2+(L35-C9)^2),SQRT((B10-(B9+((L35-C9)/((L35-C9)-(L35-C10)))*(B10-B9)))^2+(L35-C10)^2)))))+(IF(AND((L35-C10)&lt;=0,(L35-C11)&lt;=0),0,IF(AND((L35-C10)&gt;=0,(L35-C11)&gt;=0),SQRT((B11-B10)^2+(C11-C10)^2),IF((L35-C10)&gt;0,SQRT(((B10+((L35-C10)/((L35-C10)-(L35-C11)))*(B11-B10))-B10)^2+(L35-C10)^2),SQRT((B11-(B10+((L35-C10)/((L35-C10)-(L35-C11)))*(B11-B10)))^2+(L35-C11)^2)))))+(IF(AND((L35-C11)&lt;=0,(L35-C12)&lt;=0),0,IF(AND((L35-C11)&gt;=0,(L35-C12)&gt;=0),SQRT((B12-B11)^2+(C12-C11)^2),IF((L35-C11)&gt;0,SQRT(((B11+((L35-C11)/((L35-C11)-(L35-C12)))*(B12-B11))-B11)^2+(L35-C11)^2),SQRT((B12-(B11+((L35-C11)/((L35-C11)-(L35-C12)))*(B12-B11)))^2+(L35-C12)^2)))))+(IF(AND((L35-C12)&lt;=0,(L35-C13)&lt;=0),0,IF(AND((L35-C12)&gt;=0,(L35-C13)&gt;=0),SQRT((B13-B12)^2+(C13-C12)^2),IF((L35-C12)&gt;0,SQRT(((B12+((L35-C12)/((L35-C12)-(L35-C13)))*(B13-B12))-B12)^2+(L35-C12)^2),SQRT((B13-(B12+((L35-C12)/((L35-C12)-(L35-C13)))*(B13-B12)))^2+(L35-C13)^2)))))+(IF(AND((L35-C13)&lt;=0,(L35-C14)&lt;=0),0,IF(AND((L35-C13)&gt;=0,(L35-C14)&gt;=0),SQRT((B14-B13)^2+(C14-C13)^2),IF((L35-C13)&gt;0,SQRT(((B13+((L35-C13)/((L35-C13)-(L35-C14)))*(B14-B13))-B13)^2+(L35-C13)^2),SQRT((B14-(B13+((L35-C13)/((L35-C13)-(L35-C14)))*(B14-B13)))^2+(L35-C14)^2)))))+(IF(AND((L35-C14)&lt;=0,(L35-C15)&lt;=0),0,IF(AND((L35-C14)&gt;=0,(L35-C15)&gt;=0),SQRT((B15-B14)^2+(C15-C14)^2),IF((L35-C14)&gt;0,SQRT(((B14+((L35-C14)/((L35-C14)-(L35-C15)))*(B15-B14))-B14)^2+(L35-C14)^2),SQRT((B15-(B14+((L35-C14)/((L35-C14)-(L35-C15)))*(B15-B14)))^2+(L35-C15)^2)))))+(IF(AND((L35-C15)&lt;=0,(L35-C16)&lt;=0),0,IF(AND((L35-C15)&gt;=0,(L35-C16)&gt;=0),SQRT((B16-B15)^2+(C16-C15)^2),IF((L35-C15)&gt;0,SQRT(((B15+((L35-C15)/((L35-C15)-(L35-C16)))*(B16-B15))-B15)^2+(L35-C15)^2),SQRT((B16-(B15+((L35-C15)/((L35-C15)-(L35-C16)))*(B16-B15)))^2+(L35-C16)^2)))))+(IF(AND((L35-C16)&lt;=0,(L35-C17)&lt;=0),0,IF(AND((L35-C16)&gt;=0,(L35-C17)&gt;=0),SQRT((B17-B16)^2+(C17-C16)^2),IF((L35-C16)&gt;0,SQRT(((B16+((L35-C16)/((L35-C16)-(L35-C17)))*(B17-B16))-B16)^2+(L35-C16)^2),SQRT((B17-(B16+((L35-C16)/((L35-C16)-(L35-C17)))*(B17-B16)))^2+(L35-C17)^2)))))+(IF(AND((L35-C17)&lt;=0,(L35-C18)&lt;=0),0,IF(AND((L35-C17)&gt;=0,(L35-C18)&gt;=0),SQRT((B18-B17)^2+(C18-C17)^2),IF((L35-C17)&gt;0,SQRT(((B17+((L35-C17)/((L35-C17)-(L35-C18)))*(B18-B17))-B17)^2+(L35-C17)^2),SQRT((B18-(B17+((L35-C17)/((L35-C17)-(L35-C18)))*(B18-B17)))^2+(L35-C18)^2)))))+(IF(AND((L35-C18)&lt;=0,(L35-C19)&lt;=0),0,IF(AND((L35-C18)&gt;=0,(L35-C19)&gt;=0),SQRT((B19-B18)^2+(C19-C18)^2),IF((L35-C18)&gt;0,SQRT(((B18+((L35-C18)/((L35-C18)-(L35-C19)))*(B19-B18))-B18)^2+(L35-C18)^2),SQRT((B19-(B18+((L35-C18)/((L35-C18)-(L35-C19)))*(B19-B18)))^2+(L35-C19)^2)))))+(IF(AND((L35-C19)&lt;=0,(L35-C20)&lt;=0),0,IF(AND((L35-C19)&gt;=0,(L35-C20)&gt;=0),SQRT((B20-B19)^2+(C20-C19)^2),IF((L35-C19)&gt;0,SQRT(((B19+((L35-C19)/((L35-C19)-(L35-C20)))*(B20-B19))-B19)^2+(L35-C19)^2),SQRT((B20-(B19+((L35-C19)/((L35-C19)-(L35-C20)))*(B20-B19)))^2+(L35-C20)^2)))))</f>
        <v/>
      </c>
      <c r="O35">
        <f>IF(OR($B$6&lt;=0,M35&lt;=0,N35&lt;=0,$B$4&lt;=0),0,(1/$B$6)*M35*((M35/N35)^(2/3))*SQRT($B$4))</f>
        <v/>
      </c>
    </row>
    <row r="36">
      <c r="I36" t="n">
        <v>28</v>
      </c>
      <c r="J36">
        <f>IF(O35&lt;$B$5,L35,J35)</f>
        <v/>
      </c>
      <c r="K36">
        <f>IF(O35&lt;$B$5,K35,L35)</f>
        <v/>
      </c>
      <c r="L36">
        <f>(J36+K36)/2</f>
        <v/>
      </c>
      <c r="M36">
        <f>(IF(AND((L36-C9)&lt;=0,(L36-C10)&lt;=0),0,IF(AND((L36-C9)&gt;=0,(L36-C10)&gt;=0),0.5*((L36-C9)+(L36-C10))*ABS(B10-B9),IF((L36-C9)&gt;0,0.5*(L36-C9)*ABS((B9+((L36-C9)/((L36-C9)-(L36-C10)))*(B10-B9))-B9),0.5*(L36-C10)*ABS(B10-(B9+((L36-C9)/((L36-C9)-(L36-C10)))*(B10-B9)))))))+(IF(AND((L36-C10)&lt;=0,(L36-C11)&lt;=0),0,IF(AND((L36-C10)&gt;=0,(L36-C11)&gt;=0),0.5*((L36-C10)+(L36-C11))*ABS(B11-B10),IF((L36-C10)&gt;0,0.5*(L36-C10)*ABS((B10+((L36-C10)/((L36-C10)-(L36-C11)))*(B11-B10))-B10),0.5*(L36-C11)*ABS(B11-(B10+((L36-C10)/((L36-C10)-(L36-C11)))*(B11-B10)))))))+(IF(AND((L36-C11)&lt;=0,(L36-C12)&lt;=0),0,IF(AND((L36-C11)&gt;=0,(L36-C12)&gt;=0),0.5*((L36-C11)+(L36-C12))*ABS(B12-B11),IF((L36-C11)&gt;0,0.5*(L36-C11)*ABS((B11+((L36-C11)/((L36-C11)-(L36-C12)))*(B12-B11))-B11),0.5*(L36-C12)*ABS(B12-(B11+((L36-C11)/((L36-C11)-(L36-C12)))*(B12-B11)))))))+(IF(AND((L36-C12)&lt;=0,(L36-C13)&lt;=0),0,IF(AND((L36-C12)&gt;=0,(L36-C13)&gt;=0),0.5*((L36-C12)+(L36-C13))*ABS(B13-B12),IF((L36-C12)&gt;0,0.5*(L36-C12)*ABS((B12+((L36-C12)/((L36-C12)-(L36-C13)))*(B13-B12))-B12),0.5*(L36-C13)*ABS(B13-(B12+((L36-C12)/((L36-C12)-(L36-C13)))*(B13-B12)))))))+(IF(AND((L36-C13)&lt;=0,(L36-C14)&lt;=0),0,IF(AND((L36-C13)&gt;=0,(L36-C14)&gt;=0),0.5*((L36-C13)+(L36-C14))*ABS(B14-B13),IF((L36-C13)&gt;0,0.5*(L36-C13)*ABS((B13+((L36-C13)/((L36-C13)-(L36-C14)))*(B14-B13))-B13),0.5*(L36-C14)*ABS(B14-(B13+((L36-C13)/((L36-C13)-(L36-C14)))*(B14-B13)))))))+(IF(AND((L36-C14)&lt;=0,(L36-C15)&lt;=0),0,IF(AND((L36-C14)&gt;=0,(L36-C15)&gt;=0),0.5*((L36-C14)+(L36-C15))*ABS(B15-B14),IF((L36-C14)&gt;0,0.5*(L36-C14)*ABS((B14+((L36-C14)/((L36-C14)-(L36-C15)))*(B15-B14))-B14),0.5*(L36-C15)*ABS(B15-(B14+((L36-C14)/((L36-C14)-(L36-C15)))*(B15-B14)))))))+(IF(AND((L36-C15)&lt;=0,(L36-C16)&lt;=0),0,IF(AND((L36-C15)&gt;=0,(L36-C16)&gt;=0),0.5*((L36-C15)+(L36-C16))*ABS(B16-B15),IF((L36-C15)&gt;0,0.5*(L36-C15)*ABS((B15+((L36-C15)/((L36-C15)-(L36-C16)))*(B16-B15))-B15),0.5*(L36-C16)*ABS(B16-(B15+((L36-C15)/((L36-C15)-(L36-C16)))*(B16-B15)))))))+(IF(AND((L36-C16)&lt;=0,(L36-C17)&lt;=0),0,IF(AND((L36-C16)&gt;=0,(L36-C17)&gt;=0),0.5*((L36-C16)+(L36-C17))*ABS(B17-B16),IF((L36-C16)&gt;0,0.5*(L36-C16)*ABS((B16+((L36-C16)/((L36-C16)-(L36-C17)))*(B17-B16))-B16),0.5*(L36-C17)*ABS(B17-(B16+((L36-C16)/((L36-C16)-(L36-C17)))*(B17-B16)))))))+(IF(AND((L36-C17)&lt;=0,(L36-C18)&lt;=0),0,IF(AND((L36-C17)&gt;=0,(L36-C18)&gt;=0),0.5*((L36-C17)+(L36-C18))*ABS(B18-B17),IF((L36-C17)&gt;0,0.5*(L36-C17)*ABS((B17+((L36-C17)/((L36-C17)-(L36-C18)))*(B18-B17))-B17),0.5*(L36-C18)*ABS(B18-(B17+((L36-C17)/((L36-C17)-(L36-C18)))*(B18-B17)))))))+(IF(AND((L36-C18)&lt;=0,(L36-C19)&lt;=0),0,IF(AND((L36-C18)&gt;=0,(L36-C19)&gt;=0),0.5*((L36-C18)+(L36-C19))*ABS(B19-B18),IF((L36-C18)&gt;0,0.5*(L36-C18)*ABS((B18+((L36-C18)/((L36-C18)-(L36-C19)))*(B19-B18))-B18),0.5*(L36-C19)*ABS(B19-(B18+((L36-C18)/((L36-C18)-(L36-C19)))*(B19-B18)))))))+(IF(AND((L36-C19)&lt;=0,(L36-C20)&lt;=0),0,IF(AND((L36-C19)&gt;=0,(L36-C20)&gt;=0),0.5*((L36-C19)+(L36-C20))*ABS(B20-B19),IF((L36-C19)&gt;0,0.5*(L36-C19)*ABS((B19+((L36-C19)/((L36-C19)-(L36-C20)))*(B20-B19))-B19),0.5*(L36-C20)*ABS(B20-(B19+((L36-C19)/((L36-C19)-(L36-C20)))*(B20-B19)))))))</f>
        <v/>
      </c>
      <c r="N36">
        <f>(IF(AND((L36-C9)&lt;=0,(L36-C10)&lt;=0),0,IF(AND((L36-C9)&gt;=0,(L36-C10)&gt;=0),SQRT((B10-B9)^2+(C10-C9)^2),IF((L36-C9)&gt;0,SQRT(((B9+((L36-C9)/((L36-C9)-(L36-C10)))*(B10-B9))-B9)^2+(L36-C9)^2),SQRT((B10-(B9+((L36-C9)/((L36-C9)-(L36-C10)))*(B10-B9)))^2+(L36-C10)^2)))))+(IF(AND((L36-C10)&lt;=0,(L36-C11)&lt;=0),0,IF(AND((L36-C10)&gt;=0,(L36-C11)&gt;=0),SQRT((B11-B10)^2+(C11-C10)^2),IF((L36-C10)&gt;0,SQRT(((B10+((L36-C10)/((L36-C10)-(L36-C11)))*(B11-B10))-B10)^2+(L36-C10)^2),SQRT((B11-(B10+((L36-C10)/((L36-C10)-(L36-C11)))*(B11-B10)))^2+(L36-C11)^2)))))+(IF(AND((L36-C11)&lt;=0,(L36-C12)&lt;=0),0,IF(AND((L36-C11)&gt;=0,(L36-C12)&gt;=0),SQRT((B12-B11)^2+(C12-C11)^2),IF((L36-C11)&gt;0,SQRT(((B11+((L36-C11)/((L36-C11)-(L36-C12)))*(B12-B11))-B11)^2+(L36-C11)^2),SQRT((B12-(B11+((L36-C11)/((L36-C11)-(L36-C12)))*(B12-B11)))^2+(L36-C12)^2)))))+(IF(AND((L36-C12)&lt;=0,(L36-C13)&lt;=0),0,IF(AND((L36-C12)&gt;=0,(L36-C13)&gt;=0),SQRT((B13-B12)^2+(C13-C12)^2),IF((L36-C12)&gt;0,SQRT(((B12+((L36-C12)/((L36-C12)-(L36-C13)))*(B13-B12))-B12)^2+(L36-C12)^2),SQRT((B13-(B12+((L36-C12)/((L36-C12)-(L36-C13)))*(B13-B12)))^2+(L36-C13)^2)))))+(IF(AND((L36-C13)&lt;=0,(L36-C14)&lt;=0),0,IF(AND((L36-C13)&gt;=0,(L36-C14)&gt;=0),SQRT((B14-B13)^2+(C14-C13)^2),IF((L36-C13)&gt;0,SQRT(((B13+((L36-C13)/((L36-C13)-(L36-C14)))*(B14-B13))-B13)^2+(L36-C13)^2),SQRT((B14-(B13+((L36-C13)/((L36-C13)-(L36-C14)))*(B14-B13)))^2+(L36-C14)^2)))))+(IF(AND((L36-C14)&lt;=0,(L36-C15)&lt;=0),0,IF(AND((L36-C14)&gt;=0,(L36-C15)&gt;=0),SQRT((B15-B14)^2+(C15-C14)^2),IF((L36-C14)&gt;0,SQRT(((B14+((L36-C14)/((L36-C14)-(L36-C15)))*(B15-B14))-B14)^2+(L36-C14)^2),SQRT((B15-(B14+((L36-C14)/((L36-C14)-(L36-C15)))*(B15-B14)))^2+(L36-C15)^2)))))+(IF(AND((L36-C15)&lt;=0,(L36-C16)&lt;=0),0,IF(AND((L36-C15)&gt;=0,(L36-C16)&gt;=0),SQRT((B16-B15)^2+(C16-C15)^2),IF((L36-C15)&gt;0,SQRT(((B15+((L36-C15)/((L36-C15)-(L36-C16)))*(B16-B15))-B15)^2+(L36-C15)^2),SQRT((B16-(B15+((L36-C15)/((L36-C15)-(L36-C16)))*(B16-B15)))^2+(L36-C16)^2)))))+(IF(AND((L36-C16)&lt;=0,(L36-C17)&lt;=0),0,IF(AND((L36-C16)&gt;=0,(L36-C17)&gt;=0),SQRT((B17-B16)^2+(C17-C16)^2),IF((L36-C16)&gt;0,SQRT(((B16+((L36-C16)/((L36-C16)-(L36-C17)))*(B17-B16))-B16)^2+(L36-C16)^2),SQRT((B17-(B16+((L36-C16)/((L36-C16)-(L36-C17)))*(B17-B16)))^2+(L36-C17)^2)))))+(IF(AND((L36-C17)&lt;=0,(L36-C18)&lt;=0),0,IF(AND((L36-C17)&gt;=0,(L36-C18)&gt;=0),SQRT((B18-B17)^2+(C18-C17)^2),IF((L36-C17)&gt;0,SQRT(((B17+((L36-C17)/((L36-C17)-(L36-C18)))*(B18-B17))-B17)^2+(L36-C17)^2),SQRT((B18-(B17+((L36-C17)/((L36-C17)-(L36-C18)))*(B18-B17)))^2+(L36-C18)^2)))))+(IF(AND((L36-C18)&lt;=0,(L36-C19)&lt;=0),0,IF(AND((L36-C18)&gt;=0,(L36-C19)&gt;=0),SQRT((B19-B18)^2+(C19-C18)^2),IF((L36-C18)&gt;0,SQRT(((B18+((L36-C18)/((L36-C18)-(L36-C19)))*(B19-B18))-B18)^2+(L36-C18)^2),SQRT((B19-(B18+((L36-C18)/((L36-C18)-(L36-C19)))*(B19-B18)))^2+(L36-C19)^2)))))+(IF(AND((L36-C19)&lt;=0,(L36-C20)&lt;=0),0,IF(AND((L36-C19)&gt;=0,(L36-C20)&gt;=0),SQRT((B20-B19)^2+(C20-C19)^2),IF((L36-C19)&gt;0,SQRT(((B19+((L36-C19)/((L36-C19)-(L36-C20)))*(B20-B19))-B19)^2+(L36-C19)^2),SQRT((B20-(B19+((L36-C19)/((L36-C19)-(L36-C20)))*(B20-B19)))^2+(L36-C20)^2)))))</f>
        <v/>
      </c>
      <c r="O36">
        <f>IF(OR($B$6&lt;=0,M36&lt;=0,N36&lt;=0,$B$4&lt;=0),0,(1/$B$6)*M36*((M36/N36)^(2/3))*SQRT($B$4))</f>
        <v/>
      </c>
    </row>
    <row r="37">
      <c r="I37" t="n">
        <v>29</v>
      </c>
      <c r="J37">
        <f>IF(O36&lt;$B$5,L36,J36)</f>
        <v/>
      </c>
      <c r="K37">
        <f>IF(O36&lt;$B$5,K36,L36)</f>
        <v/>
      </c>
      <c r="L37">
        <f>(J37+K37)/2</f>
        <v/>
      </c>
      <c r="M37">
        <f>(IF(AND((L37-C9)&lt;=0,(L37-C10)&lt;=0),0,IF(AND((L37-C9)&gt;=0,(L37-C10)&gt;=0),0.5*((L37-C9)+(L37-C10))*ABS(B10-B9),IF((L37-C9)&gt;0,0.5*(L37-C9)*ABS((B9+((L37-C9)/((L37-C9)-(L37-C10)))*(B10-B9))-B9),0.5*(L37-C10)*ABS(B10-(B9+((L37-C9)/((L37-C9)-(L37-C10)))*(B10-B9)))))))+(IF(AND((L37-C10)&lt;=0,(L37-C11)&lt;=0),0,IF(AND((L37-C10)&gt;=0,(L37-C11)&gt;=0),0.5*((L37-C10)+(L37-C11))*ABS(B11-B10),IF((L37-C10)&gt;0,0.5*(L37-C10)*ABS((B10+((L37-C10)/((L37-C10)-(L37-C11)))*(B11-B10))-B10),0.5*(L37-C11)*ABS(B11-(B10+((L37-C10)/((L37-C10)-(L37-C11)))*(B11-B10)))))))+(IF(AND((L37-C11)&lt;=0,(L37-C12)&lt;=0),0,IF(AND((L37-C11)&gt;=0,(L37-C12)&gt;=0),0.5*((L37-C11)+(L37-C12))*ABS(B12-B11),IF((L37-C11)&gt;0,0.5*(L37-C11)*ABS((B11+((L37-C11)/((L37-C11)-(L37-C12)))*(B12-B11))-B11),0.5*(L37-C12)*ABS(B12-(B11+((L37-C11)/((L37-C11)-(L37-C12)))*(B12-B11)))))))+(IF(AND((L37-C12)&lt;=0,(L37-C13)&lt;=0),0,IF(AND((L37-C12)&gt;=0,(L37-C13)&gt;=0),0.5*((L37-C12)+(L37-C13))*ABS(B13-B12),IF((L37-C12)&gt;0,0.5*(L37-C12)*ABS((B12+((L37-C12)/((L37-C12)-(L37-C13)))*(B13-B12))-B12),0.5*(L37-C13)*ABS(B13-(B12+((L37-C12)/((L37-C12)-(L37-C13)))*(B13-B12)))))))+(IF(AND((L37-C13)&lt;=0,(L37-C14)&lt;=0),0,IF(AND((L37-C13)&gt;=0,(L37-C14)&gt;=0),0.5*((L37-C13)+(L37-C14))*ABS(B14-B13),IF((L37-C13)&gt;0,0.5*(L37-C13)*ABS((B13+((L37-C13)/((L37-C13)-(L37-C14)))*(B14-B13))-B13),0.5*(L37-C14)*ABS(B14-(B13+((L37-C13)/((L37-C13)-(L37-C14)))*(B14-B13)))))))+(IF(AND((L37-C14)&lt;=0,(L37-C15)&lt;=0),0,IF(AND((L37-C14)&gt;=0,(L37-C15)&gt;=0),0.5*((L37-C14)+(L37-C15))*ABS(B15-B14),IF((L37-C14)&gt;0,0.5*(L37-C14)*ABS((B14+((L37-C14)/((L37-C14)-(L37-C15)))*(B15-B14))-B14),0.5*(L37-C15)*ABS(B15-(B14+((L37-C14)/((L37-C14)-(L37-C15)))*(B15-B14)))))))+(IF(AND((L37-C15)&lt;=0,(L37-C16)&lt;=0),0,IF(AND((L37-C15)&gt;=0,(L37-C16)&gt;=0),0.5*((L37-C15)+(L37-C16))*ABS(B16-B15),IF((L37-C15)&gt;0,0.5*(L37-C15)*ABS((B15+((L37-C15)/((L37-C15)-(L37-C16)))*(B16-B15))-B15),0.5*(L37-C16)*ABS(B16-(B15+((L37-C15)/((L37-C15)-(L37-C16)))*(B16-B15)))))))+(IF(AND((L37-C16)&lt;=0,(L37-C17)&lt;=0),0,IF(AND((L37-C16)&gt;=0,(L37-C17)&gt;=0),0.5*((L37-C16)+(L37-C17))*ABS(B17-B16),IF((L37-C16)&gt;0,0.5*(L37-C16)*ABS((B16+((L37-C16)/((L37-C16)-(L37-C17)))*(B17-B16))-B16),0.5*(L37-C17)*ABS(B17-(B16+((L37-C16)/((L37-C16)-(L37-C17)))*(B17-B16)))))))+(IF(AND((L37-C17)&lt;=0,(L37-C18)&lt;=0),0,IF(AND((L37-C17)&gt;=0,(L37-C18)&gt;=0),0.5*((L37-C17)+(L37-C18))*ABS(B18-B17),IF((L37-C17)&gt;0,0.5*(L37-C17)*ABS((B17+((L37-C17)/((L37-C17)-(L37-C18)))*(B18-B17))-B17),0.5*(L37-C18)*ABS(B18-(B17+((L37-C17)/((L37-C17)-(L37-C18)))*(B18-B17)))))))+(IF(AND((L37-C18)&lt;=0,(L37-C19)&lt;=0),0,IF(AND((L37-C18)&gt;=0,(L37-C19)&gt;=0),0.5*((L37-C18)+(L37-C19))*ABS(B19-B18),IF((L37-C18)&gt;0,0.5*(L37-C18)*ABS((B18+((L37-C18)/((L37-C18)-(L37-C19)))*(B19-B18))-B18),0.5*(L37-C19)*ABS(B19-(B18+((L37-C18)/((L37-C18)-(L37-C19)))*(B19-B18)))))))+(IF(AND((L37-C19)&lt;=0,(L37-C20)&lt;=0),0,IF(AND((L37-C19)&gt;=0,(L37-C20)&gt;=0),0.5*((L37-C19)+(L37-C20))*ABS(B20-B19),IF((L37-C19)&gt;0,0.5*(L37-C19)*ABS((B19+((L37-C19)/((L37-C19)-(L37-C20)))*(B20-B19))-B19),0.5*(L37-C20)*ABS(B20-(B19+((L37-C19)/((L37-C19)-(L37-C20)))*(B20-B19)))))))</f>
        <v/>
      </c>
      <c r="N37">
        <f>(IF(AND((L37-C9)&lt;=0,(L37-C10)&lt;=0),0,IF(AND((L37-C9)&gt;=0,(L37-C10)&gt;=0),SQRT((B10-B9)^2+(C10-C9)^2),IF((L37-C9)&gt;0,SQRT(((B9+((L37-C9)/((L37-C9)-(L37-C10)))*(B10-B9))-B9)^2+(L37-C9)^2),SQRT((B10-(B9+((L37-C9)/((L37-C9)-(L37-C10)))*(B10-B9)))^2+(L37-C10)^2)))))+(IF(AND((L37-C10)&lt;=0,(L37-C11)&lt;=0),0,IF(AND((L37-C10)&gt;=0,(L37-C11)&gt;=0),SQRT((B11-B10)^2+(C11-C10)^2),IF((L37-C10)&gt;0,SQRT(((B10+((L37-C10)/((L37-C10)-(L37-C11)))*(B11-B10))-B10)^2+(L37-C10)^2),SQRT((B11-(B10+((L37-C10)/((L37-C10)-(L37-C11)))*(B11-B10)))^2+(L37-C11)^2)))))+(IF(AND((L37-C11)&lt;=0,(L37-C12)&lt;=0),0,IF(AND((L37-C11)&gt;=0,(L37-C12)&gt;=0),SQRT((B12-B11)^2+(C12-C11)^2),IF((L37-C11)&gt;0,SQRT(((B11+((L37-C11)/((L37-C11)-(L37-C12)))*(B12-B11))-B11)^2+(L37-C11)^2),SQRT((B12-(B11+((L37-C11)/((L37-C11)-(L37-C12)))*(B12-B11)))^2+(L37-C12)^2)))))+(IF(AND((L37-C12)&lt;=0,(L37-C13)&lt;=0),0,IF(AND((L37-C12)&gt;=0,(L37-C13)&gt;=0),SQRT((B13-B12)^2+(C13-C12)^2),IF((L37-C12)&gt;0,SQRT(((B12+((L37-C12)/((L37-C12)-(L37-C13)))*(B13-B12))-B12)^2+(L37-C12)^2),SQRT((B13-(B12+((L37-C12)/((L37-C12)-(L37-C13)))*(B13-B12)))^2+(L37-C13)^2)))))+(IF(AND((L37-C13)&lt;=0,(L37-C14)&lt;=0),0,IF(AND((L37-C13)&gt;=0,(L37-C14)&gt;=0),SQRT((B14-B13)^2+(C14-C13)^2),IF((L37-C13)&gt;0,SQRT(((B13+((L37-C13)/((L37-C13)-(L37-C14)))*(B14-B13))-B13)^2+(L37-C13)^2),SQRT((B14-(B13+((L37-C13)/((L37-C13)-(L37-C14)))*(B14-B13)))^2+(L37-C14)^2)))))+(IF(AND((L37-C14)&lt;=0,(L37-C15)&lt;=0),0,IF(AND((L37-C14)&gt;=0,(L37-C15)&gt;=0),SQRT((B15-B14)^2+(C15-C14)^2),IF((L37-C14)&gt;0,SQRT(((B14+((L37-C14)/((L37-C14)-(L37-C15)))*(B15-B14))-B14)^2+(L37-C14)^2),SQRT((B15-(B14+((L37-C14)/((L37-C14)-(L37-C15)))*(B15-B14)))^2+(L37-C15)^2)))))+(IF(AND((L37-C15)&lt;=0,(L37-C16)&lt;=0),0,IF(AND((L37-C15)&gt;=0,(L37-C16)&gt;=0),SQRT((B16-B15)^2+(C16-C15)^2),IF((L37-C15)&gt;0,SQRT(((B15+((L37-C15)/((L37-C15)-(L37-C16)))*(B16-B15))-B15)^2+(L37-C15)^2),SQRT((B16-(B15+((L37-C15)/((L37-C15)-(L37-C16)))*(B16-B15)))^2+(L37-C16)^2)))))+(IF(AND((L37-C16)&lt;=0,(L37-C17)&lt;=0),0,IF(AND((L37-C16)&gt;=0,(L37-C17)&gt;=0),SQRT((B17-B16)^2+(C17-C16)^2),IF((L37-C16)&gt;0,SQRT(((B16+((L37-C16)/((L37-C16)-(L37-C17)))*(B17-B16))-B16)^2+(L37-C16)^2),SQRT((B17-(B16+((L37-C16)/((L37-C16)-(L37-C17)))*(B17-B16)))^2+(L37-C17)^2)))))+(IF(AND((L37-C17)&lt;=0,(L37-C18)&lt;=0),0,IF(AND((L37-C17)&gt;=0,(L37-C18)&gt;=0),SQRT((B18-B17)^2+(C18-C17)^2),IF((L37-C17)&gt;0,SQRT(((B17+((L37-C17)/((L37-C17)-(L37-C18)))*(B18-B17))-B17)^2+(L37-C17)^2),SQRT((B18-(B17+((L37-C17)/((L37-C17)-(L37-C18)))*(B18-B17)))^2+(L37-C18)^2)))))+(IF(AND((L37-C18)&lt;=0,(L37-C19)&lt;=0),0,IF(AND((L37-C18)&gt;=0,(L37-C19)&gt;=0),SQRT((B19-B18)^2+(C19-C18)^2),IF((L37-C18)&gt;0,SQRT(((B18+((L37-C18)/((L37-C18)-(L37-C19)))*(B19-B18))-B18)^2+(L37-C18)^2),SQRT((B19-(B18+((L37-C18)/((L37-C18)-(L37-C19)))*(B19-B18)))^2+(L37-C19)^2)))))+(IF(AND((L37-C19)&lt;=0,(L37-C20)&lt;=0),0,IF(AND((L37-C19)&gt;=0,(L37-C20)&gt;=0),SQRT((B20-B19)^2+(C20-C19)^2),IF((L37-C19)&gt;0,SQRT(((B19+((L37-C19)/((L37-C19)-(L37-C20)))*(B20-B19))-B19)^2+(L37-C19)^2),SQRT((B20-(B19+((L37-C19)/((L37-C19)-(L37-C20)))*(B20-B19)))^2+(L37-C20)^2)))))</f>
        <v/>
      </c>
      <c r="O37">
        <f>IF(OR($B$6&lt;=0,M37&lt;=0,N37&lt;=0,$B$4&lt;=0),0,(1/$B$6)*M37*((M37/N37)^(2/3))*SQRT($B$4))</f>
        <v/>
      </c>
    </row>
    <row r="38">
      <c r="I38" t="n">
        <v>30</v>
      </c>
      <c r="J38">
        <f>IF(O37&lt;$B$5,L37,J37)</f>
        <v/>
      </c>
      <c r="K38">
        <f>IF(O37&lt;$B$5,K37,L37)</f>
        <v/>
      </c>
      <c r="L38">
        <f>(J38+K38)/2</f>
        <v/>
      </c>
      <c r="M38">
        <f>(IF(AND((L38-C9)&lt;=0,(L38-C10)&lt;=0),0,IF(AND((L38-C9)&gt;=0,(L38-C10)&gt;=0),0.5*((L38-C9)+(L38-C10))*ABS(B10-B9),IF((L38-C9)&gt;0,0.5*(L38-C9)*ABS((B9+((L38-C9)/((L38-C9)-(L38-C10)))*(B10-B9))-B9),0.5*(L38-C10)*ABS(B10-(B9+((L38-C9)/((L38-C9)-(L38-C10)))*(B10-B9)))))))+(IF(AND((L38-C10)&lt;=0,(L38-C11)&lt;=0),0,IF(AND((L38-C10)&gt;=0,(L38-C11)&gt;=0),0.5*((L38-C10)+(L38-C11))*ABS(B11-B10),IF((L38-C10)&gt;0,0.5*(L38-C10)*ABS((B10+((L38-C10)/((L38-C10)-(L38-C11)))*(B11-B10))-B10),0.5*(L38-C11)*ABS(B11-(B10+((L38-C10)/((L38-C10)-(L38-C11)))*(B11-B10)))))))+(IF(AND((L38-C11)&lt;=0,(L38-C12)&lt;=0),0,IF(AND((L38-C11)&gt;=0,(L38-C12)&gt;=0),0.5*((L38-C11)+(L38-C12))*ABS(B12-B11),IF((L38-C11)&gt;0,0.5*(L38-C11)*ABS((B11+((L38-C11)/((L38-C11)-(L38-C12)))*(B12-B11))-B11),0.5*(L38-C12)*ABS(B12-(B11+((L38-C11)/((L38-C11)-(L38-C12)))*(B12-B11)))))))+(IF(AND((L38-C12)&lt;=0,(L38-C13)&lt;=0),0,IF(AND((L38-C12)&gt;=0,(L38-C13)&gt;=0),0.5*((L38-C12)+(L38-C13))*ABS(B13-B12),IF((L38-C12)&gt;0,0.5*(L38-C12)*ABS((B12+((L38-C12)/((L38-C12)-(L38-C13)))*(B13-B12))-B12),0.5*(L38-C13)*ABS(B13-(B12+((L38-C12)/((L38-C12)-(L38-C13)))*(B13-B12)))))))+(IF(AND((L38-C13)&lt;=0,(L38-C14)&lt;=0),0,IF(AND((L38-C13)&gt;=0,(L38-C14)&gt;=0),0.5*((L38-C13)+(L38-C14))*ABS(B14-B13),IF((L38-C13)&gt;0,0.5*(L38-C13)*ABS((B13+((L38-C13)/((L38-C13)-(L38-C14)))*(B14-B13))-B13),0.5*(L38-C14)*ABS(B14-(B13+((L38-C13)/((L38-C13)-(L38-C14)))*(B14-B13)))))))+(IF(AND((L38-C14)&lt;=0,(L38-C15)&lt;=0),0,IF(AND((L38-C14)&gt;=0,(L38-C15)&gt;=0),0.5*((L38-C14)+(L38-C15))*ABS(B15-B14),IF((L38-C14)&gt;0,0.5*(L38-C14)*ABS((B14+((L38-C14)/((L38-C14)-(L38-C15)))*(B15-B14))-B14),0.5*(L38-C15)*ABS(B15-(B14+((L38-C14)/((L38-C14)-(L38-C15)))*(B15-B14)))))))+(IF(AND((L38-C15)&lt;=0,(L38-C16)&lt;=0),0,IF(AND((L38-C15)&gt;=0,(L38-C16)&gt;=0),0.5*((L38-C15)+(L38-C16))*ABS(B16-B15),IF((L38-C15)&gt;0,0.5*(L38-C15)*ABS((B15+((L38-C15)/((L38-C15)-(L38-C16)))*(B16-B15))-B15),0.5*(L38-C16)*ABS(B16-(B15+((L38-C15)/((L38-C15)-(L38-C16)))*(B16-B15)))))))+(IF(AND((L38-C16)&lt;=0,(L38-C17)&lt;=0),0,IF(AND((L38-C16)&gt;=0,(L38-C17)&gt;=0),0.5*((L38-C16)+(L38-C17))*ABS(B17-B16),IF((L38-C16)&gt;0,0.5*(L38-C16)*ABS((B16+((L38-C16)/((L38-C16)-(L38-C17)))*(B17-B16))-B16),0.5*(L38-C17)*ABS(B17-(B16+((L38-C16)/((L38-C16)-(L38-C17)))*(B17-B16)))))))+(IF(AND((L38-C17)&lt;=0,(L38-C18)&lt;=0),0,IF(AND((L38-C17)&gt;=0,(L38-C18)&gt;=0),0.5*((L38-C17)+(L38-C18))*ABS(B18-B17),IF((L38-C17)&gt;0,0.5*(L38-C17)*ABS((B17+((L38-C17)/((L38-C17)-(L38-C18)))*(B18-B17))-B17),0.5*(L38-C18)*ABS(B18-(B17+((L38-C17)/((L38-C17)-(L38-C18)))*(B18-B17)))))))+(IF(AND((L38-C18)&lt;=0,(L38-C19)&lt;=0),0,IF(AND((L38-C18)&gt;=0,(L38-C19)&gt;=0),0.5*((L38-C18)+(L38-C19))*ABS(B19-B18),IF((L38-C18)&gt;0,0.5*(L38-C18)*ABS((B18+((L38-C18)/((L38-C18)-(L38-C19)))*(B19-B18))-B18),0.5*(L38-C19)*ABS(B19-(B18+((L38-C18)/((L38-C18)-(L38-C19)))*(B19-B18)))))))+(IF(AND((L38-C19)&lt;=0,(L38-C20)&lt;=0),0,IF(AND((L38-C19)&gt;=0,(L38-C20)&gt;=0),0.5*((L38-C19)+(L38-C20))*ABS(B20-B19),IF((L38-C19)&gt;0,0.5*(L38-C19)*ABS((B19+((L38-C19)/((L38-C19)-(L38-C20)))*(B20-B19))-B19),0.5*(L38-C20)*ABS(B20-(B19+((L38-C19)/((L38-C19)-(L38-C20)))*(B20-B19)))))))</f>
        <v/>
      </c>
      <c r="N38">
        <f>(IF(AND((L38-C9)&lt;=0,(L38-C10)&lt;=0),0,IF(AND((L38-C9)&gt;=0,(L38-C10)&gt;=0),SQRT((B10-B9)^2+(C10-C9)^2),IF((L38-C9)&gt;0,SQRT(((B9+((L38-C9)/((L38-C9)-(L38-C10)))*(B10-B9))-B9)^2+(L38-C9)^2),SQRT((B10-(B9+((L38-C9)/((L38-C9)-(L38-C10)))*(B10-B9)))^2+(L38-C10)^2)))))+(IF(AND((L38-C10)&lt;=0,(L38-C11)&lt;=0),0,IF(AND((L38-C10)&gt;=0,(L38-C11)&gt;=0),SQRT((B11-B10)^2+(C11-C10)^2),IF((L38-C10)&gt;0,SQRT(((B10+((L38-C10)/((L38-C10)-(L38-C11)))*(B11-B10))-B10)^2+(L38-C10)^2),SQRT((B11-(B10+((L38-C10)/((L38-C10)-(L38-C11)))*(B11-B10)))^2+(L38-C11)^2)))))+(IF(AND((L38-C11)&lt;=0,(L38-C12)&lt;=0),0,IF(AND((L38-C11)&gt;=0,(L38-C12)&gt;=0),SQRT((B12-B11)^2+(C12-C11)^2),IF((L38-C11)&gt;0,SQRT(((B11+((L38-C11)/((L38-C11)-(L38-C12)))*(B12-B11))-B11)^2+(L38-C11)^2),SQRT((B12-(B11+((L38-C11)/((L38-C11)-(L38-C12)))*(B12-B11)))^2+(L38-C12)^2)))))+(IF(AND((L38-C12)&lt;=0,(L38-C13)&lt;=0),0,IF(AND((L38-C12)&gt;=0,(L38-C13)&gt;=0),SQRT((B13-B12)^2+(C13-C12)^2),IF((L38-C12)&gt;0,SQRT(((B12+((L38-C12)/((L38-C12)-(L38-C13)))*(B13-B12))-B12)^2+(L38-C12)^2),SQRT((B13-(B12+((L38-C12)/((L38-C12)-(L38-C13)))*(B13-B12)))^2+(L38-C13)^2)))))+(IF(AND((L38-C13)&lt;=0,(L38-C14)&lt;=0),0,IF(AND((L38-C13)&gt;=0,(L38-C14)&gt;=0),SQRT((B14-B13)^2+(C14-C13)^2),IF((L38-C13)&gt;0,SQRT(((B13+((L38-C13)/((L38-C13)-(L38-C14)))*(B14-B13))-B13)^2+(L38-C13)^2),SQRT((B14-(B13+((L38-C13)/((L38-C13)-(L38-C14)))*(B14-B13)))^2+(L38-C14)^2)))))+(IF(AND((L38-C14)&lt;=0,(L38-C15)&lt;=0),0,IF(AND((L38-C14)&gt;=0,(L38-C15)&gt;=0),SQRT((B15-B14)^2+(C15-C14)^2),IF((L38-C14)&gt;0,SQRT(((B14+((L38-C14)/((L38-C14)-(L38-C15)))*(B15-B14))-B14)^2+(L38-C14)^2),SQRT((B15-(B14+((L38-C14)/((L38-C14)-(L38-C15)))*(B15-B14)))^2+(L38-C15)^2)))))+(IF(AND((L38-C15)&lt;=0,(L38-C16)&lt;=0),0,IF(AND((L38-C15)&gt;=0,(L38-C16)&gt;=0),SQRT((B16-B15)^2+(C16-C15)^2),IF((L38-C15)&gt;0,SQRT(((B15+((L38-C15)/((L38-C15)-(L38-C16)))*(B16-B15))-B15)^2+(L38-C15)^2),SQRT((B16-(B15+((L38-C15)/((L38-C15)-(L38-C16)))*(B16-B15)))^2+(L38-C16)^2)))))+(IF(AND((L38-C16)&lt;=0,(L38-C17)&lt;=0),0,IF(AND((L38-C16)&gt;=0,(L38-C17)&gt;=0),SQRT((B17-B16)^2+(C17-C16)^2),IF((L38-C16)&gt;0,SQRT(((B16+((L38-C16)/((L38-C16)-(L38-C17)))*(B17-B16))-B16)^2+(L38-C16)^2),SQRT((B17-(B16+((L38-C16)/((L38-C16)-(L38-C17)))*(B17-B16)))^2+(L38-C17)^2)))))+(IF(AND((L38-C17)&lt;=0,(L38-C18)&lt;=0),0,IF(AND((L38-C17)&gt;=0,(L38-C18)&gt;=0),SQRT((B18-B17)^2+(C18-C17)^2),IF((L38-C17)&gt;0,SQRT(((B17+((L38-C17)/((L38-C17)-(L38-C18)))*(B18-B17))-B17)^2+(L38-C17)^2),SQRT((B18-(B17+((L38-C17)/((L38-C17)-(L38-C18)))*(B18-B17)))^2+(L38-C18)^2)))))+(IF(AND((L38-C18)&lt;=0,(L38-C19)&lt;=0),0,IF(AND((L38-C18)&gt;=0,(L38-C19)&gt;=0),SQRT((B19-B18)^2+(C19-C18)^2),IF((L38-C18)&gt;0,SQRT(((B18+((L38-C18)/((L38-C18)-(L38-C19)))*(B19-B18))-B18)^2+(L38-C18)^2),SQRT((B19-(B18+((L38-C18)/((L38-C18)-(L38-C19)))*(B19-B18)))^2+(L38-C19)^2)))))+(IF(AND((L38-C19)&lt;=0,(L38-C20)&lt;=0),0,IF(AND((L38-C19)&gt;=0,(L38-C20)&gt;=0),SQRT((B20-B19)^2+(C20-C19)^2),IF((L38-C19)&gt;0,SQRT(((B19+((L38-C19)/((L38-C19)-(L38-C20)))*(B20-B19))-B19)^2+(L38-C19)^2),SQRT((B20-(B19+((L38-C19)/((L38-C19)-(L38-C20)))*(B20-B19)))^2+(L38-C20)^2)))))</f>
        <v/>
      </c>
      <c r="O38">
        <f>IF(OR($B$6&lt;=0,M38&lt;=0,N38&lt;=0,$B$4&lt;=0),0,(1/$B$6)*M38*((M38/N38)^(2/3))*SQRT($B$4))</f>
        <v/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0" customWidth="1" min="4" max="4"/>
    <col width="12" customWidth="1" min="5" max="5"/>
    <col width="16" customWidth="1" min="6" max="6"/>
    <col width="16" customWidth="1" min="7" max="7"/>
    <col width="6" customWidth="1" min="9" max="9"/>
    <col width="11" customWidth="1" min="10" max="10"/>
    <col width="11" customWidth="1" min="11" max="11"/>
    <col width="14" customWidth="1" min="12" max="12"/>
    <col width="11" customWidth="1" min="13" max="13"/>
    <col width="11" customWidth="1" min="14" max="14"/>
    <col width="16" customWidth="1" min="15" max="15"/>
  </cols>
  <sheetData>
    <row r="1">
      <c r="A1" s="13" t="inlineStr">
        <is>
          <t>Section 5+000 — profondeur normale + aire (formules Excel)</t>
        </is>
      </c>
    </row>
    <row r="2">
      <c r="A2" t="inlineStr">
        <is>
          <t>WSE = yn (m)</t>
        </is>
      </c>
      <c r="B2" s="18">
        <f>L38</f>
        <v/>
      </c>
      <c r="C2" s="2" t="inlineStr">
        <is>
          <t>← calculé par dichotomie (colonne L) pour Q_manning = Q ; pas une saisie</t>
        </is>
      </c>
    </row>
    <row r="3">
      <c r="A3" t="inlineStr">
        <is>
          <t>Station cum. (m)</t>
        </is>
      </c>
      <c r="B3" t="n">
        <v>45.838</v>
      </c>
    </row>
    <row r="4">
      <c r="A4" t="inlineStr">
        <is>
          <t>S0 réel</t>
        </is>
      </c>
      <c r="B4" t="n">
        <v>0.0315</v>
      </c>
    </row>
    <row r="5">
      <c r="A5" t="inlineStr">
        <is>
          <t>Q (m³/s)</t>
        </is>
      </c>
      <c r="B5" s="14" t="n">
        <v>7.36</v>
      </c>
    </row>
    <row r="6">
      <c r="A6" t="inlineStr">
        <is>
          <t>n Manning</t>
        </is>
      </c>
      <c r="B6" s="14" t="n">
        <v>0.035</v>
      </c>
      <c r="I6" s="16" t="inlineStr">
        <is>
          <t>Dichotomie yn (formules) — ne pas éditer</t>
        </is>
      </c>
    </row>
    <row r="8">
      <c r="A8" s="4" t="inlineStr">
        <is>
          <t>#</t>
        </is>
      </c>
      <c r="B8" s="4" t="inlineStr">
        <is>
          <t>Distance x (m)</t>
        </is>
      </c>
      <c r="C8" s="4" t="inlineStr">
        <is>
          <t>Elev z (m)</t>
        </is>
      </c>
      <c r="D8" s="4" t="inlineStr">
        <is>
          <t>Desc</t>
        </is>
      </c>
      <c r="E8" s="4" t="inlineStr">
        <is>
          <t>d=WSE−z</t>
        </is>
      </c>
      <c r="F8" s="4" t="inlineStr">
        <is>
          <t>Ai segment (m²)</t>
        </is>
      </c>
      <c r="G8" s="4" t="inlineStr">
        <is>
          <t>Pi segment (m)</t>
        </is>
      </c>
      <c r="I8" s="4" t="inlineStr">
        <is>
          <t>iter</t>
        </is>
      </c>
      <c r="J8" s="4" t="inlineStr">
        <is>
          <t>lo</t>
        </is>
      </c>
      <c r="K8" s="4" t="inlineStr">
        <is>
          <t>hi</t>
        </is>
      </c>
      <c r="L8" s="4" t="inlineStr">
        <is>
          <t>mid=WSE essai</t>
        </is>
      </c>
      <c r="M8" s="4" t="inlineStr">
        <is>
          <t>A(mid)</t>
        </is>
      </c>
      <c r="N8" s="4" t="inlineStr">
        <is>
          <t>P(mid)</t>
        </is>
      </c>
      <c r="O8" s="4" t="inlineStr">
        <is>
          <t>Q_manning(mid)</t>
        </is>
      </c>
    </row>
    <row r="9">
      <c r="A9" s="5" t="n">
        <v>1</v>
      </c>
      <c r="B9" s="5" t="n">
        <v>0</v>
      </c>
      <c r="C9" s="5" t="n">
        <v>39.53</v>
      </c>
      <c r="D9" s="5" t="inlineStr">
        <is>
          <t>BOR</t>
        </is>
      </c>
      <c r="E9" s="5">
        <f>$B$2-C9</f>
        <v/>
      </c>
      <c r="F9" s="5">
        <f>IF(AND(($B$2-C9)&lt;=0,($B$2-C10)&lt;=0),0,IF(AND(($B$2-C9)&gt;=0,($B$2-C10)&gt;=0),0.5*(($B$2-C9)+($B$2-C10))*ABS(B10-B9),IF(($B$2-C9)&gt;0,0.5*($B$2-C9)*ABS((B9+(($B$2-C9)/(($B$2-C9)-($B$2-C10)))*(B10-B9))-B9),0.5*($B$2-C10)*ABS(B10-(B9+(($B$2-C9)/(($B$2-C9)-($B$2-C10)))*(B10-B9))))))</f>
        <v/>
      </c>
      <c r="G9" s="5">
        <f>IF(AND(($B$2-C9)&lt;=0,($B$2-C10)&lt;=0),0,IF(AND(($B$2-C9)&gt;=0,($B$2-C10)&gt;=0),SQRT((B10-B9)^2+(C10-C9)^2),IF(($B$2-C9)&gt;0,SQRT(((B9+(($B$2-C9)/(($B$2-C9)-($B$2-C10)))*(B10-B9))-B9)^2+($B$2-C9)^2),SQRT((B10-(B9+(($B$2-C9)/(($B$2-C9)-($B$2-C10)))*(B10-B9)))^2+($B$2-C10)^2))))</f>
        <v/>
      </c>
      <c r="I9" t="n">
        <v>1</v>
      </c>
      <c r="J9">
        <f>B20+0.0001</f>
        <v/>
      </c>
      <c r="K9">
        <f>MAX(C9:C16)-0.0001</f>
        <v/>
      </c>
      <c r="L9">
        <f>(J9+K9)/2</f>
        <v/>
      </c>
      <c r="M9">
        <f>(IF(AND((L9-C9)&lt;=0,(L9-C10)&lt;=0),0,IF(AND((L9-C9)&gt;=0,(L9-C10)&gt;=0),0.5*((L9-C9)+(L9-C10))*ABS(B10-B9),IF((L9-C9)&gt;0,0.5*(L9-C9)*ABS((B9+((L9-C9)/((L9-C9)-(L9-C10)))*(B10-B9))-B9),0.5*(L9-C10)*ABS(B10-(B9+((L9-C9)/((L9-C9)-(L9-C10)))*(B10-B9)))))))+(IF(AND((L9-C10)&lt;=0,(L9-C11)&lt;=0),0,IF(AND((L9-C10)&gt;=0,(L9-C11)&gt;=0),0.5*((L9-C10)+(L9-C11))*ABS(B11-B10),IF((L9-C10)&gt;0,0.5*(L9-C10)*ABS((B10+((L9-C10)/((L9-C10)-(L9-C11)))*(B11-B10))-B10),0.5*(L9-C11)*ABS(B11-(B10+((L9-C10)/((L9-C10)-(L9-C11)))*(B11-B10)))))))+(IF(AND((L9-C11)&lt;=0,(L9-C12)&lt;=0),0,IF(AND((L9-C11)&gt;=0,(L9-C12)&gt;=0),0.5*((L9-C11)+(L9-C12))*ABS(B12-B11),IF((L9-C11)&gt;0,0.5*(L9-C11)*ABS((B11+((L9-C11)/((L9-C11)-(L9-C12)))*(B12-B11))-B11),0.5*(L9-C12)*ABS(B12-(B11+((L9-C11)/((L9-C11)-(L9-C12)))*(B12-B11)))))))+(IF(AND((L9-C12)&lt;=0,(L9-C13)&lt;=0),0,IF(AND((L9-C12)&gt;=0,(L9-C13)&gt;=0),0.5*((L9-C12)+(L9-C13))*ABS(B13-B12),IF((L9-C12)&gt;0,0.5*(L9-C12)*ABS((B12+((L9-C12)/((L9-C12)-(L9-C13)))*(B13-B12))-B12),0.5*(L9-C13)*ABS(B13-(B12+((L9-C12)/((L9-C12)-(L9-C13)))*(B13-B12)))))))+(IF(AND((L9-C13)&lt;=0,(L9-C14)&lt;=0),0,IF(AND((L9-C13)&gt;=0,(L9-C14)&gt;=0),0.5*((L9-C13)+(L9-C14))*ABS(B14-B13),IF((L9-C13)&gt;0,0.5*(L9-C13)*ABS((B13+((L9-C13)/((L9-C13)-(L9-C14)))*(B14-B13))-B13),0.5*(L9-C14)*ABS(B14-(B13+((L9-C13)/((L9-C13)-(L9-C14)))*(B14-B13)))))))+(IF(AND((L9-C14)&lt;=0,(L9-C15)&lt;=0),0,IF(AND((L9-C14)&gt;=0,(L9-C15)&gt;=0),0.5*((L9-C14)+(L9-C15))*ABS(B15-B14),IF((L9-C14)&gt;0,0.5*(L9-C14)*ABS((B14+((L9-C14)/((L9-C14)-(L9-C15)))*(B15-B14))-B14),0.5*(L9-C15)*ABS(B15-(B14+((L9-C14)/((L9-C14)-(L9-C15)))*(B15-B14)))))))+(IF(AND((L9-C15)&lt;=0,(L9-C16)&lt;=0),0,IF(AND((L9-C15)&gt;=0,(L9-C16)&gt;=0),0.5*((L9-C15)+(L9-C16))*ABS(B16-B15),IF((L9-C15)&gt;0,0.5*(L9-C15)*ABS((B15+((L9-C15)/((L9-C15)-(L9-C16)))*(B16-B15))-B15),0.5*(L9-C16)*ABS(B16-(B15+((L9-C15)/((L9-C15)-(L9-C16)))*(B16-B15)))))))</f>
        <v/>
      </c>
      <c r="N9">
        <f>(IF(AND((L9-C9)&lt;=0,(L9-C10)&lt;=0),0,IF(AND((L9-C9)&gt;=0,(L9-C10)&gt;=0),SQRT((B10-B9)^2+(C10-C9)^2),IF((L9-C9)&gt;0,SQRT(((B9+((L9-C9)/((L9-C9)-(L9-C10)))*(B10-B9))-B9)^2+(L9-C9)^2),SQRT((B10-(B9+((L9-C9)/((L9-C9)-(L9-C10)))*(B10-B9)))^2+(L9-C10)^2)))))+(IF(AND((L9-C10)&lt;=0,(L9-C11)&lt;=0),0,IF(AND((L9-C10)&gt;=0,(L9-C11)&gt;=0),SQRT((B11-B10)^2+(C11-C10)^2),IF((L9-C10)&gt;0,SQRT(((B10+((L9-C10)/((L9-C10)-(L9-C11)))*(B11-B10))-B10)^2+(L9-C10)^2),SQRT((B11-(B10+((L9-C10)/((L9-C10)-(L9-C11)))*(B11-B10)))^2+(L9-C11)^2)))))+(IF(AND((L9-C11)&lt;=0,(L9-C12)&lt;=0),0,IF(AND((L9-C11)&gt;=0,(L9-C12)&gt;=0),SQRT((B12-B11)^2+(C12-C11)^2),IF((L9-C11)&gt;0,SQRT(((B11+((L9-C11)/((L9-C11)-(L9-C12)))*(B12-B11))-B11)^2+(L9-C11)^2),SQRT((B12-(B11+((L9-C11)/((L9-C11)-(L9-C12)))*(B12-B11)))^2+(L9-C12)^2)))))+(IF(AND((L9-C12)&lt;=0,(L9-C13)&lt;=0),0,IF(AND((L9-C12)&gt;=0,(L9-C13)&gt;=0),SQRT((B13-B12)^2+(C13-C12)^2),IF((L9-C12)&gt;0,SQRT(((B12+((L9-C12)/((L9-C12)-(L9-C13)))*(B13-B12))-B12)^2+(L9-C12)^2),SQRT((B13-(B12+((L9-C12)/((L9-C12)-(L9-C13)))*(B13-B12)))^2+(L9-C13)^2)))))+(IF(AND((L9-C13)&lt;=0,(L9-C14)&lt;=0),0,IF(AND((L9-C13)&gt;=0,(L9-C14)&gt;=0),SQRT((B14-B13)^2+(C14-C13)^2),IF((L9-C13)&gt;0,SQRT(((B13+((L9-C13)/((L9-C13)-(L9-C14)))*(B14-B13))-B13)^2+(L9-C13)^2),SQRT((B14-(B13+((L9-C13)/((L9-C13)-(L9-C14)))*(B14-B13)))^2+(L9-C14)^2)))))+(IF(AND((L9-C14)&lt;=0,(L9-C15)&lt;=0),0,IF(AND((L9-C14)&gt;=0,(L9-C15)&gt;=0),SQRT((B15-B14)^2+(C15-C14)^2),IF((L9-C14)&gt;0,SQRT(((B14+((L9-C14)/((L9-C14)-(L9-C15)))*(B15-B14))-B14)^2+(L9-C14)^2),SQRT((B15-(B14+((L9-C14)/((L9-C14)-(L9-C15)))*(B15-B14)))^2+(L9-C15)^2)))))+(IF(AND((L9-C15)&lt;=0,(L9-C16)&lt;=0),0,IF(AND((L9-C15)&gt;=0,(L9-C16)&gt;=0),SQRT((B16-B15)^2+(C16-C15)^2),IF((L9-C15)&gt;0,SQRT(((B15+((L9-C15)/((L9-C15)-(L9-C16)))*(B16-B15))-B15)^2+(L9-C15)^2),SQRT((B16-(B15+((L9-C15)/((L9-C15)-(L9-C16)))*(B16-B15)))^2+(L9-C16)^2)))))</f>
        <v/>
      </c>
      <c r="O9">
        <f>IF(OR($B$6&lt;=0,M9&lt;=0,N9&lt;=0,$B$4&lt;=0),0,(1/$B$6)*M9*((M9/N9)^(2/3))*SQRT($B$4))</f>
        <v/>
      </c>
    </row>
    <row r="10">
      <c r="A10" s="5" t="n">
        <v>2</v>
      </c>
      <c r="B10" s="5" t="n">
        <v>10.522</v>
      </c>
      <c r="C10" s="5" t="n">
        <v>39.1</v>
      </c>
      <c r="D10" s="5" t="inlineStr">
        <is>
          <t>TAH</t>
        </is>
      </c>
      <c r="E10" s="5">
        <f>$B$2-C10</f>
        <v/>
      </c>
      <c r="F10" s="5">
        <f>IF(AND(($B$2-C10)&lt;=0,($B$2-C11)&lt;=0),0,IF(AND(($B$2-C10)&gt;=0,($B$2-C11)&gt;=0),0.5*(($B$2-C10)+($B$2-C11))*ABS(B11-B10),IF(($B$2-C10)&gt;0,0.5*($B$2-C10)*ABS((B10+(($B$2-C10)/(($B$2-C10)-($B$2-C11)))*(B11-B10))-B10),0.5*($B$2-C11)*ABS(B11-(B10+(($B$2-C10)/(($B$2-C10)-($B$2-C11)))*(B11-B10))))))</f>
        <v/>
      </c>
      <c r="G10" s="5">
        <f>IF(AND(($B$2-C10)&lt;=0,($B$2-C11)&lt;=0),0,IF(AND(($B$2-C10)&gt;=0,($B$2-C11)&gt;=0),SQRT((B11-B10)^2+(C11-C10)^2),IF(($B$2-C10)&gt;0,SQRT(((B10+(($B$2-C10)/(($B$2-C10)-($B$2-C11)))*(B11-B10))-B10)^2+($B$2-C10)^2),SQRT((B11-(B10+(($B$2-C10)/(($B$2-C10)-($B$2-C11)))*(B11-B10)))^2+($B$2-C11)^2))))</f>
        <v/>
      </c>
      <c r="I10" t="n">
        <v>2</v>
      </c>
      <c r="J10">
        <f>IF(O9&lt;$B$5,L9,J9)</f>
        <v/>
      </c>
      <c r="K10">
        <f>IF(O9&lt;$B$5,K9,L9)</f>
        <v/>
      </c>
      <c r="L10">
        <f>(J10+K10)/2</f>
        <v/>
      </c>
      <c r="M10">
        <f>(IF(AND((L10-C9)&lt;=0,(L10-C10)&lt;=0),0,IF(AND((L10-C9)&gt;=0,(L10-C10)&gt;=0),0.5*((L10-C9)+(L10-C10))*ABS(B10-B9),IF((L10-C9)&gt;0,0.5*(L10-C9)*ABS((B9+((L10-C9)/((L10-C9)-(L10-C10)))*(B10-B9))-B9),0.5*(L10-C10)*ABS(B10-(B9+((L10-C9)/((L10-C9)-(L10-C10)))*(B10-B9)))))))+(IF(AND((L10-C10)&lt;=0,(L10-C11)&lt;=0),0,IF(AND((L10-C10)&gt;=0,(L10-C11)&gt;=0),0.5*((L10-C10)+(L10-C11))*ABS(B11-B10),IF((L10-C10)&gt;0,0.5*(L10-C10)*ABS((B10+((L10-C10)/((L10-C10)-(L10-C11)))*(B11-B10))-B10),0.5*(L10-C11)*ABS(B11-(B10+((L10-C10)/((L10-C10)-(L10-C11)))*(B11-B10)))))))+(IF(AND((L10-C11)&lt;=0,(L10-C12)&lt;=0),0,IF(AND((L10-C11)&gt;=0,(L10-C12)&gt;=0),0.5*((L10-C11)+(L10-C12))*ABS(B12-B11),IF((L10-C11)&gt;0,0.5*(L10-C11)*ABS((B11+((L10-C11)/((L10-C11)-(L10-C12)))*(B12-B11))-B11),0.5*(L10-C12)*ABS(B12-(B11+((L10-C11)/((L10-C11)-(L10-C12)))*(B12-B11)))))))+(IF(AND((L10-C12)&lt;=0,(L10-C13)&lt;=0),0,IF(AND((L10-C12)&gt;=0,(L10-C13)&gt;=0),0.5*((L10-C12)+(L10-C13))*ABS(B13-B12),IF((L10-C12)&gt;0,0.5*(L10-C12)*ABS((B12+((L10-C12)/((L10-C12)-(L10-C13)))*(B13-B12))-B12),0.5*(L10-C13)*ABS(B13-(B12+((L10-C12)/((L10-C12)-(L10-C13)))*(B13-B12)))))))+(IF(AND((L10-C13)&lt;=0,(L10-C14)&lt;=0),0,IF(AND((L10-C13)&gt;=0,(L10-C14)&gt;=0),0.5*((L10-C13)+(L10-C14))*ABS(B14-B13),IF((L10-C13)&gt;0,0.5*(L10-C13)*ABS((B13+((L10-C13)/((L10-C13)-(L10-C14)))*(B14-B13))-B13),0.5*(L10-C14)*ABS(B14-(B13+((L10-C13)/((L10-C13)-(L10-C14)))*(B14-B13)))))))+(IF(AND((L10-C14)&lt;=0,(L10-C15)&lt;=0),0,IF(AND((L10-C14)&gt;=0,(L10-C15)&gt;=0),0.5*((L10-C14)+(L10-C15))*ABS(B15-B14),IF((L10-C14)&gt;0,0.5*(L10-C14)*ABS((B14+((L10-C14)/((L10-C14)-(L10-C15)))*(B15-B14))-B14),0.5*(L10-C15)*ABS(B15-(B14+((L10-C14)/((L10-C14)-(L10-C15)))*(B15-B14)))))))+(IF(AND((L10-C15)&lt;=0,(L10-C16)&lt;=0),0,IF(AND((L10-C15)&gt;=0,(L10-C16)&gt;=0),0.5*((L10-C15)+(L10-C16))*ABS(B16-B15),IF((L10-C15)&gt;0,0.5*(L10-C15)*ABS((B15+((L10-C15)/((L10-C15)-(L10-C16)))*(B16-B15))-B15),0.5*(L10-C16)*ABS(B16-(B15+((L10-C15)/((L10-C15)-(L10-C16)))*(B16-B15)))))))</f>
        <v/>
      </c>
      <c r="N10">
        <f>(IF(AND((L10-C9)&lt;=0,(L10-C10)&lt;=0),0,IF(AND((L10-C9)&gt;=0,(L10-C10)&gt;=0),SQRT((B10-B9)^2+(C10-C9)^2),IF((L10-C9)&gt;0,SQRT(((B9+((L10-C9)/((L10-C9)-(L10-C10)))*(B10-B9))-B9)^2+(L10-C9)^2),SQRT((B10-(B9+((L10-C9)/((L10-C9)-(L10-C10)))*(B10-B9)))^2+(L10-C10)^2)))))+(IF(AND((L10-C10)&lt;=0,(L10-C11)&lt;=0),0,IF(AND((L10-C10)&gt;=0,(L10-C11)&gt;=0),SQRT((B11-B10)^2+(C11-C10)^2),IF((L10-C10)&gt;0,SQRT(((B10+((L10-C10)/((L10-C10)-(L10-C11)))*(B11-B10))-B10)^2+(L10-C10)^2),SQRT((B11-(B10+((L10-C10)/((L10-C10)-(L10-C11)))*(B11-B10)))^2+(L10-C11)^2)))))+(IF(AND((L10-C11)&lt;=0,(L10-C12)&lt;=0),0,IF(AND((L10-C11)&gt;=0,(L10-C12)&gt;=0),SQRT((B12-B11)^2+(C12-C11)^2),IF((L10-C11)&gt;0,SQRT(((B11+((L10-C11)/((L10-C11)-(L10-C12)))*(B12-B11))-B11)^2+(L10-C11)^2),SQRT((B12-(B11+((L10-C11)/((L10-C11)-(L10-C12)))*(B12-B11)))^2+(L10-C12)^2)))))+(IF(AND((L10-C12)&lt;=0,(L10-C13)&lt;=0),0,IF(AND((L10-C12)&gt;=0,(L10-C13)&gt;=0),SQRT((B13-B12)^2+(C13-C12)^2),IF((L10-C12)&gt;0,SQRT(((B12+((L10-C12)/((L10-C12)-(L10-C13)))*(B13-B12))-B12)^2+(L10-C12)^2),SQRT((B13-(B12+((L10-C12)/((L10-C12)-(L10-C13)))*(B13-B12)))^2+(L10-C13)^2)))))+(IF(AND((L10-C13)&lt;=0,(L10-C14)&lt;=0),0,IF(AND((L10-C13)&gt;=0,(L10-C14)&gt;=0),SQRT((B14-B13)^2+(C14-C13)^2),IF((L10-C13)&gt;0,SQRT(((B13+((L10-C13)/((L10-C13)-(L10-C14)))*(B14-B13))-B13)^2+(L10-C13)^2),SQRT((B14-(B13+((L10-C13)/((L10-C13)-(L10-C14)))*(B14-B13)))^2+(L10-C14)^2)))))+(IF(AND((L10-C14)&lt;=0,(L10-C15)&lt;=0),0,IF(AND((L10-C14)&gt;=0,(L10-C15)&gt;=0),SQRT((B15-B14)^2+(C15-C14)^2),IF((L10-C14)&gt;0,SQRT(((B14+((L10-C14)/((L10-C14)-(L10-C15)))*(B15-B14))-B14)^2+(L10-C14)^2),SQRT((B15-(B14+((L10-C14)/((L10-C14)-(L10-C15)))*(B15-B14)))^2+(L10-C15)^2)))))+(IF(AND((L10-C15)&lt;=0,(L10-C16)&lt;=0),0,IF(AND((L10-C15)&gt;=0,(L10-C16)&gt;=0),SQRT((B16-B15)^2+(C16-C15)^2),IF((L10-C15)&gt;0,SQRT(((B15+((L10-C15)/((L10-C15)-(L10-C16)))*(B16-B15))-B15)^2+(L10-C15)^2),SQRT((B16-(B15+((L10-C15)/((L10-C15)-(L10-C16)))*(B16-B15)))^2+(L10-C16)^2)))))</f>
        <v/>
      </c>
      <c r="O10">
        <f>IF(OR($B$6&lt;=0,M10&lt;=0,N10&lt;=0,$B$4&lt;=0),0,(1/$B$6)*M10*((M10/N10)^(2/3))*SQRT($B$4))</f>
        <v/>
      </c>
    </row>
    <row r="11">
      <c r="A11" s="5" t="n">
        <v>3</v>
      </c>
      <c r="B11" s="5" t="n">
        <v>17.92</v>
      </c>
      <c r="C11" s="5" t="n">
        <v>34.326</v>
      </c>
      <c r="D11" s="5" t="inlineStr">
        <is>
          <t>FOND</t>
        </is>
      </c>
      <c r="E11" s="5">
        <f>$B$2-C11</f>
        <v/>
      </c>
      <c r="F11" s="5">
        <f>IF(AND(($B$2-C11)&lt;=0,($B$2-C12)&lt;=0),0,IF(AND(($B$2-C11)&gt;=0,($B$2-C12)&gt;=0),0.5*(($B$2-C11)+($B$2-C12))*ABS(B12-B11),IF(($B$2-C11)&gt;0,0.5*($B$2-C11)*ABS((B11+(($B$2-C11)/(($B$2-C11)-($B$2-C12)))*(B12-B11))-B11),0.5*($B$2-C12)*ABS(B12-(B11+(($B$2-C11)/(($B$2-C11)-($B$2-C12)))*(B12-B11))))))</f>
        <v/>
      </c>
      <c r="G11" s="5">
        <f>IF(AND(($B$2-C11)&lt;=0,($B$2-C12)&lt;=0),0,IF(AND(($B$2-C11)&gt;=0,($B$2-C12)&gt;=0),SQRT((B12-B11)^2+(C12-C11)^2),IF(($B$2-C11)&gt;0,SQRT(((B11+(($B$2-C11)/(($B$2-C11)-($B$2-C12)))*(B12-B11))-B11)^2+($B$2-C11)^2),SQRT((B12-(B11+(($B$2-C11)/(($B$2-C11)-($B$2-C12)))*(B12-B11)))^2+($B$2-C12)^2))))</f>
        <v/>
      </c>
      <c r="I11" t="n">
        <v>3</v>
      </c>
      <c r="J11">
        <f>IF(O10&lt;$B$5,L10,J10)</f>
        <v/>
      </c>
      <c r="K11">
        <f>IF(O10&lt;$B$5,K10,L10)</f>
        <v/>
      </c>
      <c r="L11">
        <f>(J11+K11)/2</f>
        <v/>
      </c>
      <c r="M11">
        <f>(IF(AND((L11-C9)&lt;=0,(L11-C10)&lt;=0),0,IF(AND((L11-C9)&gt;=0,(L11-C10)&gt;=0),0.5*((L11-C9)+(L11-C10))*ABS(B10-B9),IF((L11-C9)&gt;0,0.5*(L11-C9)*ABS((B9+((L11-C9)/((L11-C9)-(L11-C10)))*(B10-B9))-B9),0.5*(L11-C10)*ABS(B10-(B9+((L11-C9)/((L11-C9)-(L11-C10)))*(B10-B9)))))))+(IF(AND((L11-C10)&lt;=0,(L11-C11)&lt;=0),0,IF(AND((L11-C10)&gt;=0,(L11-C11)&gt;=0),0.5*((L11-C10)+(L11-C11))*ABS(B11-B10),IF((L11-C10)&gt;0,0.5*(L11-C10)*ABS((B10+((L11-C10)/((L11-C10)-(L11-C11)))*(B11-B10))-B10),0.5*(L11-C11)*ABS(B11-(B10+((L11-C10)/((L11-C10)-(L11-C11)))*(B11-B10)))))))+(IF(AND((L11-C11)&lt;=0,(L11-C12)&lt;=0),0,IF(AND((L11-C11)&gt;=0,(L11-C12)&gt;=0),0.5*((L11-C11)+(L11-C12))*ABS(B12-B11),IF((L11-C11)&gt;0,0.5*(L11-C11)*ABS((B11+((L11-C11)/((L11-C11)-(L11-C12)))*(B12-B11))-B11),0.5*(L11-C12)*ABS(B12-(B11+((L11-C11)/((L11-C11)-(L11-C12)))*(B12-B11)))))))+(IF(AND((L11-C12)&lt;=0,(L11-C13)&lt;=0),0,IF(AND((L11-C12)&gt;=0,(L11-C13)&gt;=0),0.5*((L11-C12)+(L11-C13))*ABS(B13-B12),IF((L11-C12)&gt;0,0.5*(L11-C12)*ABS((B12+((L11-C12)/((L11-C12)-(L11-C13)))*(B13-B12))-B12),0.5*(L11-C13)*ABS(B13-(B12+((L11-C12)/((L11-C12)-(L11-C13)))*(B13-B12)))))))+(IF(AND((L11-C13)&lt;=0,(L11-C14)&lt;=0),0,IF(AND((L11-C13)&gt;=0,(L11-C14)&gt;=0),0.5*((L11-C13)+(L11-C14))*ABS(B14-B13),IF((L11-C13)&gt;0,0.5*(L11-C13)*ABS((B13+((L11-C13)/((L11-C13)-(L11-C14)))*(B14-B13))-B13),0.5*(L11-C14)*ABS(B14-(B13+((L11-C13)/((L11-C13)-(L11-C14)))*(B14-B13)))))))+(IF(AND((L11-C14)&lt;=0,(L11-C15)&lt;=0),0,IF(AND((L11-C14)&gt;=0,(L11-C15)&gt;=0),0.5*((L11-C14)+(L11-C15))*ABS(B15-B14),IF((L11-C14)&gt;0,0.5*(L11-C14)*ABS((B14+((L11-C14)/((L11-C14)-(L11-C15)))*(B15-B14))-B14),0.5*(L11-C15)*ABS(B15-(B14+((L11-C14)/((L11-C14)-(L11-C15)))*(B15-B14)))))))+(IF(AND((L11-C15)&lt;=0,(L11-C16)&lt;=0),0,IF(AND((L11-C15)&gt;=0,(L11-C16)&gt;=0),0.5*((L11-C15)+(L11-C16))*ABS(B16-B15),IF((L11-C15)&gt;0,0.5*(L11-C15)*ABS((B15+((L11-C15)/((L11-C15)-(L11-C16)))*(B16-B15))-B15),0.5*(L11-C16)*ABS(B16-(B15+((L11-C15)/((L11-C15)-(L11-C16)))*(B16-B15)))))))</f>
        <v/>
      </c>
      <c r="N11">
        <f>(IF(AND((L11-C9)&lt;=0,(L11-C10)&lt;=0),0,IF(AND((L11-C9)&gt;=0,(L11-C10)&gt;=0),SQRT((B10-B9)^2+(C10-C9)^2),IF((L11-C9)&gt;0,SQRT(((B9+((L11-C9)/((L11-C9)-(L11-C10)))*(B10-B9))-B9)^2+(L11-C9)^2),SQRT((B10-(B9+((L11-C9)/((L11-C9)-(L11-C10)))*(B10-B9)))^2+(L11-C10)^2)))))+(IF(AND((L11-C10)&lt;=0,(L11-C11)&lt;=0),0,IF(AND((L11-C10)&gt;=0,(L11-C11)&gt;=0),SQRT((B11-B10)^2+(C11-C10)^2),IF((L11-C10)&gt;0,SQRT(((B10+((L11-C10)/((L11-C10)-(L11-C11)))*(B11-B10))-B10)^2+(L11-C10)^2),SQRT((B11-(B10+((L11-C10)/((L11-C10)-(L11-C11)))*(B11-B10)))^2+(L11-C11)^2)))))+(IF(AND((L11-C11)&lt;=0,(L11-C12)&lt;=0),0,IF(AND((L11-C11)&gt;=0,(L11-C12)&gt;=0),SQRT((B12-B11)^2+(C12-C11)^2),IF((L11-C11)&gt;0,SQRT(((B11+((L11-C11)/((L11-C11)-(L11-C12)))*(B12-B11))-B11)^2+(L11-C11)^2),SQRT((B12-(B11+((L11-C11)/((L11-C11)-(L11-C12)))*(B12-B11)))^2+(L11-C12)^2)))))+(IF(AND((L11-C12)&lt;=0,(L11-C13)&lt;=0),0,IF(AND((L11-C12)&gt;=0,(L11-C13)&gt;=0),SQRT((B13-B12)^2+(C13-C12)^2),IF((L11-C12)&gt;0,SQRT(((B12+((L11-C12)/((L11-C12)-(L11-C13)))*(B13-B12))-B12)^2+(L11-C12)^2),SQRT((B13-(B12+((L11-C12)/((L11-C12)-(L11-C13)))*(B13-B12)))^2+(L11-C13)^2)))))+(IF(AND((L11-C13)&lt;=0,(L11-C14)&lt;=0),0,IF(AND((L11-C13)&gt;=0,(L11-C14)&gt;=0),SQRT((B14-B13)^2+(C14-C13)^2),IF((L11-C13)&gt;0,SQRT(((B13+((L11-C13)/((L11-C13)-(L11-C14)))*(B14-B13))-B13)^2+(L11-C13)^2),SQRT((B14-(B13+((L11-C13)/((L11-C13)-(L11-C14)))*(B14-B13)))^2+(L11-C14)^2)))))+(IF(AND((L11-C14)&lt;=0,(L11-C15)&lt;=0),0,IF(AND((L11-C14)&gt;=0,(L11-C15)&gt;=0),SQRT((B15-B14)^2+(C15-C14)^2),IF((L11-C14)&gt;0,SQRT(((B14+((L11-C14)/((L11-C14)-(L11-C15)))*(B15-B14))-B14)^2+(L11-C14)^2),SQRT((B15-(B14+((L11-C14)/((L11-C14)-(L11-C15)))*(B15-B14)))^2+(L11-C15)^2)))))+(IF(AND((L11-C15)&lt;=0,(L11-C16)&lt;=0),0,IF(AND((L11-C15)&gt;=0,(L11-C16)&gt;=0),SQRT((B16-B15)^2+(C16-C15)^2),IF((L11-C15)&gt;0,SQRT(((B15+((L11-C15)/((L11-C15)-(L11-C16)))*(B16-B15))-B15)^2+(L11-C15)^2),SQRT((B16-(B15+((L11-C15)/((L11-C15)-(L11-C16)))*(B16-B15)))^2+(L11-C16)^2)))))</f>
        <v/>
      </c>
      <c r="O11">
        <f>IF(OR($B$6&lt;=0,M11&lt;=0,N11&lt;=0,$B$4&lt;=0),0,(1/$B$6)*M11*((M11/N11)^(2/3))*SQRT($B$4))</f>
        <v/>
      </c>
    </row>
    <row r="12">
      <c r="A12" s="5" t="n">
        <v>4</v>
      </c>
      <c r="B12" s="5" t="n">
        <v>20.216</v>
      </c>
      <c r="C12" s="5" t="n">
        <v>34.45</v>
      </c>
      <c r="D12" s="5" t="inlineStr">
        <is>
          <t>FOND</t>
        </is>
      </c>
      <c r="E12" s="5">
        <f>$B$2-C12</f>
        <v/>
      </c>
      <c r="F12" s="5">
        <f>IF(AND(($B$2-C12)&lt;=0,($B$2-C13)&lt;=0),0,IF(AND(($B$2-C12)&gt;=0,($B$2-C13)&gt;=0),0.5*(($B$2-C12)+($B$2-C13))*ABS(B13-B12),IF(($B$2-C12)&gt;0,0.5*($B$2-C12)*ABS((B12+(($B$2-C12)/(($B$2-C12)-($B$2-C13)))*(B13-B12))-B12),0.5*($B$2-C13)*ABS(B13-(B12+(($B$2-C12)/(($B$2-C12)-($B$2-C13)))*(B13-B12))))))</f>
        <v/>
      </c>
      <c r="G12" s="5">
        <f>IF(AND(($B$2-C12)&lt;=0,($B$2-C13)&lt;=0),0,IF(AND(($B$2-C12)&gt;=0,($B$2-C13)&gt;=0),SQRT((B13-B12)^2+(C13-C12)^2),IF(($B$2-C12)&gt;0,SQRT(((B12+(($B$2-C12)/(($B$2-C12)-($B$2-C13)))*(B13-B12))-B12)^2+($B$2-C12)^2),SQRT((B13-(B12+(($B$2-C12)/(($B$2-C12)-($B$2-C13)))*(B13-B12)))^2+($B$2-C13)^2))))</f>
        <v/>
      </c>
      <c r="I12" t="n">
        <v>4</v>
      </c>
      <c r="J12">
        <f>IF(O11&lt;$B$5,L11,J11)</f>
        <v/>
      </c>
      <c r="K12">
        <f>IF(O11&lt;$B$5,K11,L11)</f>
        <v/>
      </c>
      <c r="L12">
        <f>(J12+K12)/2</f>
        <v/>
      </c>
      <c r="M12">
        <f>(IF(AND((L12-C9)&lt;=0,(L12-C10)&lt;=0),0,IF(AND((L12-C9)&gt;=0,(L12-C10)&gt;=0),0.5*((L12-C9)+(L12-C10))*ABS(B10-B9),IF((L12-C9)&gt;0,0.5*(L12-C9)*ABS((B9+((L12-C9)/((L12-C9)-(L12-C10)))*(B10-B9))-B9),0.5*(L12-C10)*ABS(B10-(B9+((L12-C9)/((L12-C9)-(L12-C10)))*(B10-B9)))))))+(IF(AND((L12-C10)&lt;=0,(L12-C11)&lt;=0),0,IF(AND((L12-C10)&gt;=0,(L12-C11)&gt;=0),0.5*((L12-C10)+(L12-C11))*ABS(B11-B10),IF((L12-C10)&gt;0,0.5*(L12-C10)*ABS((B10+((L12-C10)/((L12-C10)-(L12-C11)))*(B11-B10))-B10),0.5*(L12-C11)*ABS(B11-(B10+((L12-C10)/((L12-C10)-(L12-C11)))*(B11-B10)))))))+(IF(AND((L12-C11)&lt;=0,(L12-C12)&lt;=0),0,IF(AND((L12-C11)&gt;=0,(L12-C12)&gt;=0),0.5*((L12-C11)+(L12-C12))*ABS(B12-B11),IF((L12-C11)&gt;0,0.5*(L12-C11)*ABS((B11+((L12-C11)/((L12-C11)-(L12-C12)))*(B12-B11))-B11),0.5*(L12-C12)*ABS(B12-(B11+((L12-C11)/((L12-C11)-(L12-C12)))*(B12-B11)))))))+(IF(AND((L12-C12)&lt;=0,(L12-C13)&lt;=0),0,IF(AND((L12-C12)&gt;=0,(L12-C13)&gt;=0),0.5*((L12-C12)+(L12-C13))*ABS(B13-B12),IF((L12-C12)&gt;0,0.5*(L12-C12)*ABS((B12+((L12-C12)/((L12-C12)-(L12-C13)))*(B13-B12))-B12),0.5*(L12-C13)*ABS(B13-(B12+((L12-C12)/((L12-C12)-(L12-C13)))*(B13-B12)))))))+(IF(AND((L12-C13)&lt;=0,(L12-C14)&lt;=0),0,IF(AND((L12-C13)&gt;=0,(L12-C14)&gt;=0),0.5*((L12-C13)+(L12-C14))*ABS(B14-B13),IF((L12-C13)&gt;0,0.5*(L12-C13)*ABS((B13+((L12-C13)/((L12-C13)-(L12-C14)))*(B14-B13))-B13),0.5*(L12-C14)*ABS(B14-(B13+((L12-C13)/((L12-C13)-(L12-C14)))*(B14-B13)))))))+(IF(AND((L12-C14)&lt;=0,(L12-C15)&lt;=0),0,IF(AND((L12-C14)&gt;=0,(L12-C15)&gt;=0),0.5*((L12-C14)+(L12-C15))*ABS(B15-B14),IF((L12-C14)&gt;0,0.5*(L12-C14)*ABS((B14+((L12-C14)/((L12-C14)-(L12-C15)))*(B15-B14))-B14),0.5*(L12-C15)*ABS(B15-(B14+((L12-C14)/((L12-C14)-(L12-C15)))*(B15-B14)))))))+(IF(AND((L12-C15)&lt;=0,(L12-C16)&lt;=0),0,IF(AND((L12-C15)&gt;=0,(L12-C16)&gt;=0),0.5*((L12-C15)+(L12-C16))*ABS(B16-B15),IF((L12-C15)&gt;0,0.5*(L12-C15)*ABS((B15+((L12-C15)/((L12-C15)-(L12-C16)))*(B16-B15))-B15),0.5*(L12-C16)*ABS(B16-(B15+((L12-C15)/((L12-C15)-(L12-C16)))*(B16-B15)))))))</f>
        <v/>
      </c>
      <c r="N12">
        <f>(IF(AND((L12-C9)&lt;=0,(L12-C10)&lt;=0),0,IF(AND((L12-C9)&gt;=0,(L12-C10)&gt;=0),SQRT((B10-B9)^2+(C10-C9)^2),IF((L12-C9)&gt;0,SQRT(((B9+((L12-C9)/((L12-C9)-(L12-C10)))*(B10-B9))-B9)^2+(L12-C9)^2),SQRT((B10-(B9+((L12-C9)/((L12-C9)-(L12-C10)))*(B10-B9)))^2+(L12-C10)^2)))))+(IF(AND((L12-C10)&lt;=0,(L12-C11)&lt;=0),0,IF(AND((L12-C10)&gt;=0,(L12-C11)&gt;=0),SQRT((B11-B10)^2+(C11-C10)^2),IF((L12-C10)&gt;0,SQRT(((B10+((L12-C10)/((L12-C10)-(L12-C11)))*(B11-B10))-B10)^2+(L12-C10)^2),SQRT((B11-(B10+((L12-C10)/((L12-C10)-(L12-C11)))*(B11-B10)))^2+(L12-C11)^2)))))+(IF(AND((L12-C11)&lt;=0,(L12-C12)&lt;=0),0,IF(AND((L12-C11)&gt;=0,(L12-C12)&gt;=0),SQRT((B12-B11)^2+(C12-C11)^2),IF((L12-C11)&gt;0,SQRT(((B11+((L12-C11)/((L12-C11)-(L12-C12)))*(B12-B11))-B11)^2+(L12-C11)^2),SQRT((B12-(B11+((L12-C11)/((L12-C11)-(L12-C12)))*(B12-B11)))^2+(L12-C12)^2)))))+(IF(AND((L12-C12)&lt;=0,(L12-C13)&lt;=0),0,IF(AND((L12-C12)&gt;=0,(L12-C13)&gt;=0),SQRT((B13-B12)^2+(C13-C12)^2),IF((L12-C12)&gt;0,SQRT(((B12+((L12-C12)/((L12-C12)-(L12-C13)))*(B13-B12))-B12)^2+(L12-C12)^2),SQRT((B13-(B12+((L12-C12)/((L12-C12)-(L12-C13)))*(B13-B12)))^2+(L12-C13)^2)))))+(IF(AND((L12-C13)&lt;=0,(L12-C14)&lt;=0),0,IF(AND((L12-C13)&gt;=0,(L12-C14)&gt;=0),SQRT((B14-B13)^2+(C14-C13)^2),IF((L12-C13)&gt;0,SQRT(((B13+((L12-C13)/((L12-C13)-(L12-C14)))*(B14-B13))-B13)^2+(L12-C13)^2),SQRT((B14-(B13+((L12-C13)/((L12-C13)-(L12-C14)))*(B14-B13)))^2+(L12-C14)^2)))))+(IF(AND((L12-C14)&lt;=0,(L12-C15)&lt;=0),0,IF(AND((L12-C14)&gt;=0,(L12-C15)&gt;=0),SQRT((B15-B14)^2+(C15-C14)^2),IF((L12-C14)&gt;0,SQRT(((B14+((L12-C14)/((L12-C14)-(L12-C15)))*(B15-B14))-B14)^2+(L12-C14)^2),SQRT((B15-(B14+((L12-C14)/((L12-C14)-(L12-C15)))*(B15-B14)))^2+(L12-C15)^2)))))+(IF(AND((L12-C15)&lt;=0,(L12-C16)&lt;=0),0,IF(AND((L12-C15)&gt;=0,(L12-C16)&gt;=0),SQRT((B16-B15)^2+(C16-C15)^2),IF((L12-C15)&gt;0,SQRT(((B15+((L12-C15)/((L12-C15)-(L12-C16)))*(B16-B15))-B15)^2+(L12-C15)^2),SQRT((B16-(B15+((L12-C15)/((L12-C15)-(L12-C16)))*(B16-B15)))^2+(L12-C16)^2)))))</f>
        <v/>
      </c>
      <c r="O12">
        <f>IF(OR($B$6&lt;=0,M12&lt;=0,N12&lt;=0,$B$4&lt;=0),0,(1/$B$6)*M12*((M12/N12)^(2/3))*SQRT($B$4))</f>
        <v/>
      </c>
    </row>
    <row r="13">
      <c r="A13" s="5" t="n">
        <v>5</v>
      </c>
      <c r="B13" s="5" t="n">
        <v>22.19</v>
      </c>
      <c r="C13" s="5" t="n">
        <v>34.296</v>
      </c>
      <c r="D13" s="5" t="inlineStr">
        <is>
          <t>FOND</t>
        </is>
      </c>
      <c r="E13" s="5">
        <f>$B$2-C13</f>
        <v/>
      </c>
      <c r="F13" s="5">
        <f>IF(AND(($B$2-C13)&lt;=0,($B$2-C14)&lt;=0),0,IF(AND(($B$2-C13)&gt;=0,($B$2-C14)&gt;=0),0.5*(($B$2-C13)+($B$2-C14))*ABS(B14-B13),IF(($B$2-C13)&gt;0,0.5*($B$2-C13)*ABS((B13+(($B$2-C13)/(($B$2-C13)-($B$2-C14)))*(B14-B13))-B13),0.5*($B$2-C14)*ABS(B14-(B13+(($B$2-C13)/(($B$2-C13)-($B$2-C14)))*(B14-B13))))))</f>
        <v/>
      </c>
      <c r="G13" s="5">
        <f>IF(AND(($B$2-C13)&lt;=0,($B$2-C14)&lt;=0),0,IF(AND(($B$2-C13)&gt;=0,($B$2-C14)&gt;=0),SQRT((B14-B13)^2+(C14-C13)^2),IF(($B$2-C13)&gt;0,SQRT(((B13+(($B$2-C13)/(($B$2-C13)-($B$2-C14)))*(B14-B13))-B13)^2+($B$2-C13)^2),SQRT((B14-(B13+(($B$2-C13)/(($B$2-C13)-($B$2-C14)))*(B14-B13)))^2+($B$2-C14)^2))))</f>
        <v/>
      </c>
      <c r="I13" t="n">
        <v>5</v>
      </c>
      <c r="J13">
        <f>IF(O12&lt;$B$5,L12,J12)</f>
        <v/>
      </c>
      <c r="K13">
        <f>IF(O12&lt;$B$5,K12,L12)</f>
        <v/>
      </c>
      <c r="L13">
        <f>(J13+K13)/2</f>
        <v/>
      </c>
      <c r="M13">
        <f>(IF(AND((L13-C9)&lt;=0,(L13-C10)&lt;=0),0,IF(AND((L13-C9)&gt;=0,(L13-C10)&gt;=0),0.5*((L13-C9)+(L13-C10))*ABS(B10-B9),IF((L13-C9)&gt;0,0.5*(L13-C9)*ABS((B9+((L13-C9)/((L13-C9)-(L13-C10)))*(B10-B9))-B9),0.5*(L13-C10)*ABS(B10-(B9+((L13-C9)/((L13-C9)-(L13-C10)))*(B10-B9)))))))+(IF(AND((L13-C10)&lt;=0,(L13-C11)&lt;=0),0,IF(AND((L13-C10)&gt;=0,(L13-C11)&gt;=0),0.5*((L13-C10)+(L13-C11))*ABS(B11-B10),IF((L13-C10)&gt;0,0.5*(L13-C10)*ABS((B10+((L13-C10)/((L13-C10)-(L13-C11)))*(B11-B10))-B10),0.5*(L13-C11)*ABS(B11-(B10+((L13-C10)/((L13-C10)-(L13-C11)))*(B11-B10)))))))+(IF(AND((L13-C11)&lt;=0,(L13-C12)&lt;=0),0,IF(AND((L13-C11)&gt;=0,(L13-C12)&gt;=0),0.5*((L13-C11)+(L13-C12))*ABS(B12-B11),IF((L13-C11)&gt;0,0.5*(L13-C11)*ABS((B11+((L13-C11)/((L13-C11)-(L13-C12)))*(B12-B11))-B11),0.5*(L13-C12)*ABS(B12-(B11+((L13-C11)/((L13-C11)-(L13-C12)))*(B12-B11)))))))+(IF(AND((L13-C12)&lt;=0,(L13-C13)&lt;=0),0,IF(AND((L13-C12)&gt;=0,(L13-C13)&gt;=0),0.5*((L13-C12)+(L13-C13))*ABS(B13-B12),IF((L13-C12)&gt;0,0.5*(L13-C12)*ABS((B12+((L13-C12)/((L13-C12)-(L13-C13)))*(B13-B12))-B12),0.5*(L13-C13)*ABS(B13-(B12+((L13-C12)/((L13-C12)-(L13-C13)))*(B13-B12)))))))+(IF(AND((L13-C13)&lt;=0,(L13-C14)&lt;=0),0,IF(AND((L13-C13)&gt;=0,(L13-C14)&gt;=0),0.5*((L13-C13)+(L13-C14))*ABS(B14-B13),IF((L13-C13)&gt;0,0.5*(L13-C13)*ABS((B13+((L13-C13)/((L13-C13)-(L13-C14)))*(B14-B13))-B13),0.5*(L13-C14)*ABS(B14-(B13+((L13-C13)/((L13-C13)-(L13-C14)))*(B14-B13)))))))+(IF(AND((L13-C14)&lt;=0,(L13-C15)&lt;=0),0,IF(AND((L13-C14)&gt;=0,(L13-C15)&gt;=0),0.5*((L13-C14)+(L13-C15))*ABS(B15-B14),IF((L13-C14)&gt;0,0.5*(L13-C14)*ABS((B14+((L13-C14)/((L13-C14)-(L13-C15)))*(B15-B14))-B14),0.5*(L13-C15)*ABS(B15-(B14+((L13-C14)/((L13-C14)-(L13-C15)))*(B15-B14)))))))+(IF(AND((L13-C15)&lt;=0,(L13-C16)&lt;=0),0,IF(AND((L13-C15)&gt;=0,(L13-C16)&gt;=0),0.5*((L13-C15)+(L13-C16))*ABS(B16-B15),IF((L13-C15)&gt;0,0.5*(L13-C15)*ABS((B15+((L13-C15)/((L13-C15)-(L13-C16)))*(B16-B15))-B15),0.5*(L13-C16)*ABS(B16-(B15+((L13-C15)/((L13-C15)-(L13-C16)))*(B16-B15)))))))</f>
        <v/>
      </c>
      <c r="N13">
        <f>(IF(AND((L13-C9)&lt;=0,(L13-C10)&lt;=0),0,IF(AND((L13-C9)&gt;=0,(L13-C10)&gt;=0),SQRT((B10-B9)^2+(C10-C9)^2),IF((L13-C9)&gt;0,SQRT(((B9+((L13-C9)/((L13-C9)-(L13-C10)))*(B10-B9))-B9)^2+(L13-C9)^2),SQRT((B10-(B9+((L13-C9)/((L13-C9)-(L13-C10)))*(B10-B9)))^2+(L13-C10)^2)))))+(IF(AND((L13-C10)&lt;=0,(L13-C11)&lt;=0),0,IF(AND((L13-C10)&gt;=0,(L13-C11)&gt;=0),SQRT((B11-B10)^2+(C11-C10)^2),IF((L13-C10)&gt;0,SQRT(((B10+((L13-C10)/((L13-C10)-(L13-C11)))*(B11-B10))-B10)^2+(L13-C10)^2),SQRT((B11-(B10+((L13-C10)/((L13-C10)-(L13-C11)))*(B11-B10)))^2+(L13-C11)^2)))))+(IF(AND((L13-C11)&lt;=0,(L13-C12)&lt;=0),0,IF(AND((L13-C11)&gt;=0,(L13-C12)&gt;=0),SQRT((B12-B11)^2+(C12-C11)^2),IF((L13-C11)&gt;0,SQRT(((B11+((L13-C11)/((L13-C11)-(L13-C12)))*(B12-B11))-B11)^2+(L13-C11)^2),SQRT((B12-(B11+((L13-C11)/((L13-C11)-(L13-C12)))*(B12-B11)))^2+(L13-C12)^2)))))+(IF(AND((L13-C12)&lt;=0,(L13-C13)&lt;=0),0,IF(AND((L13-C12)&gt;=0,(L13-C13)&gt;=0),SQRT((B13-B12)^2+(C13-C12)^2),IF((L13-C12)&gt;0,SQRT(((B12+((L13-C12)/((L13-C12)-(L13-C13)))*(B13-B12))-B12)^2+(L13-C12)^2),SQRT((B13-(B12+((L13-C12)/((L13-C12)-(L13-C13)))*(B13-B12)))^2+(L13-C13)^2)))))+(IF(AND((L13-C13)&lt;=0,(L13-C14)&lt;=0),0,IF(AND((L13-C13)&gt;=0,(L13-C14)&gt;=0),SQRT((B14-B13)^2+(C14-C13)^2),IF((L13-C13)&gt;0,SQRT(((B13+((L13-C13)/((L13-C13)-(L13-C14)))*(B14-B13))-B13)^2+(L13-C13)^2),SQRT((B14-(B13+((L13-C13)/((L13-C13)-(L13-C14)))*(B14-B13)))^2+(L13-C14)^2)))))+(IF(AND((L13-C14)&lt;=0,(L13-C15)&lt;=0),0,IF(AND((L13-C14)&gt;=0,(L13-C15)&gt;=0),SQRT((B15-B14)^2+(C15-C14)^2),IF((L13-C14)&gt;0,SQRT(((B14+((L13-C14)/((L13-C14)-(L13-C15)))*(B15-B14))-B14)^2+(L13-C14)^2),SQRT((B15-(B14+((L13-C14)/((L13-C14)-(L13-C15)))*(B15-B14)))^2+(L13-C15)^2)))))+(IF(AND((L13-C15)&lt;=0,(L13-C16)&lt;=0),0,IF(AND((L13-C15)&gt;=0,(L13-C16)&gt;=0),SQRT((B16-B15)^2+(C16-C15)^2),IF((L13-C15)&gt;0,SQRT(((B15+((L13-C15)/((L13-C15)-(L13-C16)))*(B16-B15))-B15)^2+(L13-C15)^2),SQRT((B16-(B15+((L13-C15)/((L13-C15)-(L13-C16)))*(B16-B15)))^2+(L13-C16)^2)))))</f>
        <v/>
      </c>
      <c r="O13">
        <f>IF(OR($B$6&lt;=0,M13&lt;=0,N13&lt;=0,$B$4&lt;=0),0,(1/$B$6)*M13*((M13/N13)^(2/3))*SQRT($B$4))</f>
        <v/>
      </c>
    </row>
    <row r="14">
      <c r="A14" s="5" t="n">
        <v>6</v>
      </c>
      <c r="B14" s="5" t="n">
        <v>26.9</v>
      </c>
      <c r="C14" s="5" t="n">
        <v>34.87</v>
      </c>
      <c r="D14" s="5" t="inlineStr">
        <is>
          <t>LHE</t>
        </is>
      </c>
      <c r="E14" s="5">
        <f>$B$2-C14</f>
        <v/>
      </c>
      <c r="F14" s="5">
        <f>IF(AND(($B$2-C14)&lt;=0,($B$2-C15)&lt;=0),0,IF(AND(($B$2-C14)&gt;=0,($B$2-C15)&gt;=0),0.5*(($B$2-C14)+($B$2-C15))*ABS(B15-B14),IF(($B$2-C14)&gt;0,0.5*($B$2-C14)*ABS((B14+(($B$2-C14)/(($B$2-C14)-($B$2-C15)))*(B15-B14))-B14),0.5*($B$2-C15)*ABS(B15-(B14+(($B$2-C14)/(($B$2-C14)-($B$2-C15)))*(B15-B14))))))</f>
        <v/>
      </c>
      <c r="G14" s="5">
        <f>IF(AND(($B$2-C14)&lt;=0,($B$2-C15)&lt;=0),0,IF(AND(($B$2-C14)&gt;=0,($B$2-C15)&gt;=0),SQRT((B15-B14)^2+(C15-C14)^2),IF(($B$2-C14)&gt;0,SQRT(((B14+(($B$2-C14)/(($B$2-C14)-($B$2-C15)))*(B15-B14))-B14)^2+($B$2-C14)^2),SQRT((B15-(B14+(($B$2-C14)/(($B$2-C14)-($B$2-C15)))*(B15-B14)))^2+($B$2-C15)^2))))</f>
        <v/>
      </c>
      <c r="I14" t="n">
        <v>6</v>
      </c>
      <c r="J14">
        <f>IF(O13&lt;$B$5,L13,J13)</f>
        <v/>
      </c>
      <c r="K14">
        <f>IF(O13&lt;$B$5,K13,L13)</f>
        <v/>
      </c>
      <c r="L14">
        <f>(J14+K14)/2</f>
        <v/>
      </c>
      <c r="M14">
        <f>(IF(AND((L14-C9)&lt;=0,(L14-C10)&lt;=0),0,IF(AND((L14-C9)&gt;=0,(L14-C10)&gt;=0),0.5*((L14-C9)+(L14-C10))*ABS(B10-B9),IF((L14-C9)&gt;0,0.5*(L14-C9)*ABS((B9+((L14-C9)/((L14-C9)-(L14-C10)))*(B10-B9))-B9),0.5*(L14-C10)*ABS(B10-(B9+((L14-C9)/((L14-C9)-(L14-C10)))*(B10-B9)))))))+(IF(AND((L14-C10)&lt;=0,(L14-C11)&lt;=0),0,IF(AND((L14-C10)&gt;=0,(L14-C11)&gt;=0),0.5*((L14-C10)+(L14-C11))*ABS(B11-B10),IF((L14-C10)&gt;0,0.5*(L14-C10)*ABS((B10+((L14-C10)/((L14-C10)-(L14-C11)))*(B11-B10))-B10),0.5*(L14-C11)*ABS(B11-(B10+((L14-C10)/((L14-C10)-(L14-C11)))*(B11-B10)))))))+(IF(AND((L14-C11)&lt;=0,(L14-C12)&lt;=0),0,IF(AND((L14-C11)&gt;=0,(L14-C12)&gt;=0),0.5*((L14-C11)+(L14-C12))*ABS(B12-B11),IF((L14-C11)&gt;0,0.5*(L14-C11)*ABS((B11+((L14-C11)/((L14-C11)-(L14-C12)))*(B12-B11))-B11),0.5*(L14-C12)*ABS(B12-(B11+((L14-C11)/((L14-C11)-(L14-C12)))*(B12-B11)))))))+(IF(AND((L14-C12)&lt;=0,(L14-C13)&lt;=0),0,IF(AND((L14-C12)&gt;=0,(L14-C13)&gt;=0),0.5*((L14-C12)+(L14-C13))*ABS(B13-B12),IF((L14-C12)&gt;0,0.5*(L14-C12)*ABS((B12+((L14-C12)/((L14-C12)-(L14-C13)))*(B13-B12))-B12),0.5*(L14-C13)*ABS(B13-(B12+((L14-C12)/((L14-C12)-(L14-C13)))*(B13-B12)))))))+(IF(AND((L14-C13)&lt;=0,(L14-C14)&lt;=0),0,IF(AND((L14-C13)&gt;=0,(L14-C14)&gt;=0),0.5*((L14-C13)+(L14-C14))*ABS(B14-B13),IF((L14-C13)&gt;0,0.5*(L14-C13)*ABS((B13+((L14-C13)/((L14-C13)-(L14-C14)))*(B14-B13))-B13),0.5*(L14-C14)*ABS(B14-(B13+((L14-C13)/((L14-C13)-(L14-C14)))*(B14-B13)))))))+(IF(AND((L14-C14)&lt;=0,(L14-C15)&lt;=0),0,IF(AND((L14-C14)&gt;=0,(L14-C15)&gt;=0),0.5*((L14-C14)+(L14-C15))*ABS(B15-B14),IF((L14-C14)&gt;0,0.5*(L14-C14)*ABS((B14+((L14-C14)/((L14-C14)-(L14-C15)))*(B15-B14))-B14),0.5*(L14-C15)*ABS(B15-(B14+((L14-C14)/((L14-C14)-(L14-C15)))*(B15-B14)))))))+(IF(AND((L14-C15)&lt;=0,(L14-C16)&lt;=0),0,IF(AND((L14-C15)&gt;=0,(L14-C16)&gt;=0),0.5*((L14-C15)+(L14-C16))*ABS(B16-B15),IF((L14-C15)&gt;0,0.5*(L14-C15)*ABS((B15+((L14-C15)/((L14-C15)-(L14-C16)))*(B16-B15))-B15),0.5*(L14-C16)*ABS(B16-(B15+((L14-C15)/((L14-C15)-(L14-C16)))*(B16-B15)))))))</f>
        <v/>
      </c>
      <c r="N14">
        <f>(IF(AND((L14-C9)&lt;=0,(L14-C10)&lt;=0),0,IF(AND((L14-C9)&gt;=0,(L14-C10)&gt;=0),SQRT((B10-B9)^2+(C10-C9)^2),IF((L14-C9)&gt;0,SQRT(((B9+((L14-C9)/((L14-C9)-(L14-C10)))*(B10-B9))-B9)^2+(L14-C9)^2),SQRT((B10-(B9+((L14-C9)/((L14-C9)-(L14-C10)))*(B10-B9)))^2+(L14-C10)^2)))))+(IF(AND((L14-C10)&lt;=0,(L14-C11)&lt;=0),0,IF(AND((L14-C10)&gt;=0,(L14-C11)&gt;=0),SQRT((B11-B10)^2+(C11-C10)^2),IF((L14-C10)&gt;0,SQRT(((B10+((L14-C10)/((L14-C10)-(L14-C11)))*(B11-B10))-B10)^2+(L14-C10)^2),SQRT((B11-(B10+((L14-C10)/((L14-C10)-(L14-C11)))*(B11-B10)))^2+(L14-C11)^2)))))+(IF(AND((L14-C11)&lt;=0,(L14-C12)&lt;=0),0,IF(AND((L14-C11)&gt;=0,(L14-C12)&gt;=0),SQRT((B12-B11)^2+(C12-C11)^2),IF((L14-C11)&gt;0,SQRT(((B11+((L14-C11)/((L14-C11)-(L14-C12)))*(B12-B11))-B11)^2+(L14-C11)^2),SQRT((B12-(B11+((L14-C11)/((L14-C11)-(L14-C12)))*(B12-B11)))^2+(L14-C12)^2)))))+(IF(AND((L14-C12)&lt;=0,(L14-C13)&lt;=0),0,IF(AND((L14-C12)&gt;=0,(L14-C13)&gt;=0),SQRT((B13-B12)^2+(C13-C12)^2),IF((L14-C12)&gt;0,SQRT(((B12+((L14-C12)/((L14-C12)-(L14-C13)))*(B13-B12))-B12)^2+(L14-C12)^2),SQRT((B13-(B12+((L14-C12)/((L14-C12)-(L14-C13)))*(B13-B12)))^2+(L14-C13)^2)))))+(IF(AND((L14-C13)&lt;=0,(L14-C14)&lt;=0),0,IF(AND((L14-C13)&gt;=0,(L14-C14)&gt;=0),SQRT((B14-B13)^2+(C14-C13)^2),IF((L14-C13)&gt;0,SQRT(((B13+((L14-C13)/((L14-C13)-(L14-C14)))*(B14-B13))-B13)^2+(L14-C13)^2),SQRT((B14-(B13+((L14-C13)/((L14-C13)-(L14-C14)))*(B14-B13)))^2+(L14-C14)^2)))))+(IF(AND((L14-C14)&lt;=0,(L14-C15)&lt;=0),0,IF(AND((L14-C14)&gt;=0,(L14-C15)&gt;=0),SQRT((B15-B14)^2+(C15-C14)^2),IF((L14-C14)&gt;0,SQRT(((B14+((L14-C14)/((L14-C14)-(L14-C15)))*(B15-B14))-B14)^2+(L14-C14)^2),SQRT((B15-(B14+((L14-C14)/((L14-C14)-(L14-C15)))*(B15-B14)))^2+(L14-C15)^2)))))+(IF(AND((L14-C15)&lt;=0,(L14-C16)&lt;=0),0,IF(AND((L14-C15)&gt;=0,(L14-C16)&gt;=0),SQRT((B16-B15)^2+(C16-C15)^2),IF((L14-C15)&gt;0,SQRT(((B15+((L14-C15)/((L14-C15)-(L14-C16)))*(B16-B15))-B15)^2+(L14-C15)^2),SQRT((B16-(B15+((L14-C15)/((L14-C15)-(L14-C16)))*(B16-B15)))^2+(L14-C16)^2)))))</f>
        <v/>
      </c>
      <c r="O14">
        <f>IF(OR($B$6&lt;=0,M14&lt;=0,N14&lt;=0,$B$4&lt;=0),0,(1/$B$6)*M14*((M14/N14)^(2/3))*SQRT($B$4))</f>
        <v/>
      </c>
    </row>
    <row r="15">
      <c r="A15" s="5" t="n">
        <v>7</v>
      </c>
      <c r="B15" s="5" t="n">
        <v>30.703</v>
      </c>
      <c r="C15" s="5" t="n">
        <v>36.55</v>
      </c>
      <c r="D15" s="5" t="inlineStr">
        <is>
          <t>TN</t>
        </is>
      </c>
      <c r="E15" s="5">
        <f>$B$2-C15</f>
        <v/>
      </c>
      <c r="F15" s="5">
        <f>IF(AND(($B$2-C15)&lt;=0,($B$2-C16)&lt;=0),0,IF(AND(($B$2-C15)&gt;=0,($B$2-C16)&gt;=0),0.5*(($B$2-C15)+($B$2-C16))*ABS(B16-B15),IF(($B$2-C15)&gt;0,0.5*($B$2-C15)*ABS((B15+(($B$2-C15)/(($B$2-C15)-($B$2-C16)))*(B16-B15))-B15),0.5*($B$2-C16)*ABS(B16-(B15+(($B$2-C15)/(($B$2-C15)-($B$2-C16)))*(B16-B15))))))</f>
        <v/>
      </c>
      <c r="G15" s="5">
        <f>IF(AND(($B$2-C15)&lt;=0,($B$2-C16)&lt;=0),0,IF(AND(($B$2-C15)&gt;=0,($B$2-C16)&gt;=0),SQRT((B16-B15)^2+(C16-C15)^2),IF(($B$2-C15)&gt;0,SQRT(((B15+(($B$2-C15)/(($B$2-C15)-($B$2-C16)))*(B16-B15))-B15)^2+($B$2-C15)^2),SQRT((B16-(B15+(($B$2-C15)/(($B$2-C15)-($B$2-C16)))*(B16-B15)))^2+($B$2-C16)^2))))</f>
        <v/>
      </c>
      <c r="I15" t="n">
        <v>7</v>
      </c>
      <c r="J15">
        <f>IF(O14&lt;$B$5,L14,J14)</f>
        <v/>
      </c>
      <c r="K15">
        <f>IF(O14&lt;$B$5,K14,L14)</f>
        <v/>
      </c>
      <c r="L15">
        <f>(J15+K15)/2</f>
        <v/>
      </c>
      <c r="M15">
        <f>(IF(AND((L15-C9)&lt;=0,(L15-C10)&lt;=0),0,IF(AND((L15-C9)&gt;=0,(L15-C10)&gt;=0),0.5*((L15-C9)+(L15-C10))*ABS(B10-B9),IF((L15-C9)&gt;0,0.5*(L15-C9)*ABS((B9+((L15-C9)/((L15-C9)-(L15-C10)))*(B10-B9))-B9),0.5*(L15-C10)*ABS(B10-(B9+((L15-C9)/((L15-C9)-(L15-C10)))*(B10-B9)))))))+(IF(AND((L15-C10)&lt;=0,(L15-C11)&lt;=0),0,IF(AND((L15-C10)&gt;=0,(L15-C11)&gt;=0),0.5*((L15-C10)+(L15-C11))*ABS(B11-B10),IF((L15-C10)&gt;0,0.5*(L15-C10)*ABS((B10+((L15-C10)/((L15-C10)-(L15-C11)))*(B11-B10))-B10),0.5*(L15-C11)*ABS(B11-(B10+((L15-C10)/((L15-C10)-(L15-C11)))*(B11-B10)))))))+(IF(AND((L15-C11)&lt;=0,(L15-C12)&lt;=0),0,IF(AND((L15-C11)&gt;=0,(L15-C12)&gt;=0),0.5*((L15-C11)+(L15-C12))*ABS(B12-B11),IF((L15-C11)&gt;0,0.5*(L15-C11)*ABS((B11+((L15-C11)/((L15-C11)-(L15-C12)))*(B12-B11))-B11),0.5*(L15-C12)*ABS(B12-(B11+((L15-C11)/((L15-C11)-(L15-C12)))*(B12-B11)))))))+(IF(AND((L15-C12)&lt;=0,(L15-C13)&lt;=0),0,IF(AND((L15-C12)&gt;=0,(L15-C13)&gt;=0),0.5*((L15-C12)+(L15-C13))*ABS(B13-B12),IF((L15-C12)&gt;0,0.5*(L15-C12)*ABS((B12+((L15-C12)/((L15-C12)-(L15-C13)))*(B13-B12))-B12),0.5*(L15-C13)*ABS(B13-(B12+((L15-C12)/((L15-C12)-(L15-C13)))*(B13-B12)))))))+(IF(AND((L15-C13)&lt;=0,(L15-C14)&lt;=0),0,IF(AND((L15-C13)&gt;=0,(L15-C14)&gt;=0),0.5*((L15-C13)+(L15-C14))*ABS(B14-B13),IF((L15-C13)&gt;0,0.5*(L15-C13)*ABS((B13+((L15-C13)/((L15-C13)-(L15-C14)))*(B14-B13))-B13),0.5*(L15-C14)*ABS(B14-(B13+((L15-C13)/((L15-C13)-(L15-C14)))*(B14-B13)))))))+(IF(AND((L15-C14)&lt;=0,(L15-C15)&lt;=0),0,IF(AND((L15-C14)&gt;=0,(L15-C15)&gt;=0),0.5*((L15-C14)+(L15-C15))*ABS(B15-B14),IF((L15-C14)&gt;0,0.5*(L15-C14)*ABS((B14+((L15-C14)/((L15-C14)-(L15-C15)))*(B15-B14))-B14),0.5*(L15-C15)*ABS(B15-(B14+((L15-C14)/((L15-C14)-(L15-C15)))*(B15-B14)))))))+(IF(AND((L15-C15)&lt;=0,(L15-C16)&lt;=0),0,IF(AND((L15-C15)&gt;=0,(L15-C16)&gt;=0),0.5*((L15-C15)+(L15-C16))*ABS(B16-B15),IF((L15-C15)&gt;0,0.5*(L15-C15)*ABS((B15+((L15-C15)/((L15-C15)-(L15-C16)))*(B16-B15))-B15),0.5*(L15-C16)*ABS(B16-(B15+((L15-C15)/((L15-C15)-(L15-C16)))*(B16-B15)))))))</f>
        <v/>
      </c>
      <c r="N15">
        <f>(IF(AND((L15-C9)&lt;=0,(L15-C10)&lt;=0),0,IF(AND((L15-C9)&gt;=0,(L15-C10)&gt;=0),SQRT((B10-B9)^2+(C10-C9)^2),IF((L15-C9)&gt;0,SQRT(((B9+((L15-C9)/((L15-C9)-(L15-C10)))*(B10-B9))-B9)^2+(L15-C9)^2),SQRT((B10-(B9+((L15-C9)/((L15-C9)-(L15-C10)))*(B10-B9)))^2+(L15-C10)^2)))))+(IF(AND((L15-C10)&lt;=0,(L15-C11)&lt;=0),0,IF(AND((L15-C10)&gt;=0,(L15-C11)&gt;=0),SQRT((B11-B10)^2+(C11-C10)^2),IF((L15-C10)&gt;0,SQRT(((B10+((L15-C10)/((L15-C10)-(L15-C11)))*(B11-B10))-B10)^2+(L15-C10)^2),SQRT((B11-(B10+((L15-C10)/((L15-C10)-(L15-C11)))*(B11-B10)))^2+(L15-C11)^2)))))+(IF(AND((L15-C11)&lt;=0,(L15-C12)&lt;=0),0,IF(AND((L15-C11)&gt;=0,(L15-C12)&gt;=0),SQRT((B12-B11)^2+(C12-C11)^2),IF((L15-C11)&gt;0,SQRT(((B11+((L15-C11)/((L15-C11)-(L15-C12)))*(B12-B11))-B11)^2+(L15-C11)^2),SQRT((B12-(B11+((L15-C11)/((L15-C11)-(L15-C12)))*(B12-B11)))^2+(L15-C12)^2)))))+(IF(AND((L15-C12)&lt;=0,(L15-C13)&lt;=0),0,IF(AND((L15-C12)&gt;=0,(L15-C13)&gt;=0),SQRT((B13-B12)^2+(C13-C12)^2),IF((L15-C12)&gt;0,SQRT(((B12+((L15-C12)/((L15-C12)-(L15-C13)))*(B13-B12))-B12)^2+(L15-C12)^2),SQRT((B13-(B12+((L15-C12)/((L15-C12)-(L15-C13)))*(B13-B12)))^2+(L15-C13)^2)))))+(IF(AND((L15-C13)&lt;=0,(L15-C14)&lt;=0),0,IF(AND((L15-C13)&gt;=0,(L15-C14)&gt;=0),SQRT((B14-B13)^2+(C14-C13)^2),IF((L15-C13)&gt;0,SQRT(((B13+((L15-C13)/((L15-C13)-(L15-C14)))*(B14-B13))-B13)^2+(L15-C13)^2),SQRT((B14-(B13+((L15-C13)/((L15-C13)-(L15-C14)))*(B14-B13)))^2+(L15-C14)^2)))))+(IF(AND((L15-C14)&lt;=0,(L15-C15)&lt;=0),0,IF(AND((L15-C14)&gt;=0,(L15-C15)&gt;=0),SQRT((B15-B14)^2+(C15-C14)^2),IF((L15-C14)&gt;0,SQRT(((B14+((L15-C14)/((L15-C14)-(L15-C15)))*(B15-B14))-B14)^2+(L15-C14)^2),SQRT((B15-(B14+((L15-C14)/((L15-C14)-(L15-C15)))*(B15-B14)))^2+(L15-C15)^2)))))+(IF(AND((L15-C15)&lt;=0,(L15-C16)&lt;=0),0,IF(AND((L15-C15)&gt;=0,(L15-C16)&gt;=0),SQRT((B16-B15)^2+(C16-C15)^2),IF((L15-C15)&gt;0,SQRT(((B15+((L15-C15)/((L15-C15)-(L15-C16)))*(B16-B15))-B15)^2+(L15-C15)^2),SQRT((B16-(B15+((L15-C15)/((L15-C15)-(L15-C16)))*(B16-B15)))^2+(L15-C16)^2)))))</f>
        <v/>
      </c>
      <c r="O15">
        <f>IF(OR($B$6&lt;=0,M15&lt;=0,N15&lt;=0,$B$4&lt;=0),0,(1/$B$6)*M15*((M15/N15)^(2/3))*SQRT($B$4))</f>
        <v/>
      </c>
    </row>
    <row r="16">
      <c r="A16" s="5" t="n">
        <v>8</v>
      </c>
      <c r="B16" s="5" t="n">
        <v>34.784</v>
      </c>
      <c r="C16" s="5" t="n">
        <v>39.25</v>
      </c>
      <c r="D16" s="5" t="inlineStr">
        <is>
          <t>THA</t>
        </is>
      </c>
      <c r="E16" s="5">
        <f>$B$2-C16</f>
        <v/>
      </c>
      <c r="F16" s="5" t="n"/>
      <c r="G16" s="5" t="n"/>
      <c r="I16" t="n">
        <v>8</v>
      </c>
      <c r="J16">
        <f>IF(O15&lt;$B$5,L15,J15)</f>
        <v/>
      </c>
      <c r="K16">
        <f>IF(O15&lt;$B$5,K15,L15)</f>
        <v/>
      </c>
      <c r="L16">
        <f>(J16+K16)/2</f>
        <v/>
      </c>
      <c r="M16">
        <f>(IF(AND((L16-C9)&lt;=0,(L16-C10)&lt;=0),0,IF(AND((L16-C9)&gt;=0,(L16-C10)&gt;=0),0.5*((L16-C9)+(L16-C10))*ABS(B10-B9),IF((L16-C9)&gt;0,0.5*(L16-C9)*ABS((B9+((L16-C9)/((L16-C9)-(L16-C10)))*(B10-B9))-B9),0.5*(L16-C10)*ABS(B10-(B9+((L16-C9)/((L16-C9)-(L16-C10)))*(B10-B9)))))))+(IF(AND((L16-C10)&lt;=0,(L16-C11)&lt;=0),0,IF(AND((L16-C10)&gt;=0,(L16-C11)&gt;=0),0.5*((L16-C10)+(L16-C11))*ABS(B11-B10),IF((L16-C10)&gt;0,0.5*(L16-C10)*ABS((B10+((L16-C10)/((L16-C10)-(L16-C11)))*(B11-B10))-B10),0.5*(L16-C11)*ABS(B11-(B10+((L16-C10)/((L16-C10)-(L16-C11)))*(B11-B10)))))))+(IF(AND((L16-C11)&lt;=0,(L16-C12)&lt;=0),0,IF(AND((L16-C11)&gt;=0,(L16-C12)&gt;=0),0.5*((L16-C11)+(L16-C12))*ABS(B12-B11),IF((L16-C11)&gt;0,0.5*(L16-C11)*ABS((B11+((L16-C11)/((L16-C11)-(L16-C12)))*(B12-B11))-B11),0.5*(L16-C12)*ABS(B12-(B11+((L16-C11)/((L16-C11)-(L16-C12)))*(B12-B11)))))))+(IF(AND((L16-C12)&lt;=0,(L16-C13)&lt;=0),0,IF(AND((L16-C12)&gt;=0,(L16-C13)&gt;=0),0.5*((L16-C12)+(L16-C13))*ABS(B13-B12),IF((L16-C12)&gt;0,0.5*(L16-C12)*ABS((B12+((L16-C12)/((L16-C12)-(L16-C13)))*(B13-B12))-B12),0.5*(L16-C13)*ABS(B13-(B12+((L16-C12)/((L16-C12)-(L16-C13)))*(B13-B12)))))))+(IF(AND((L16-C13)&lt;=0,(L16-C14)&lt;=0),0,IF(AND((L16-C13)&gt;=0,(L16-C14)&gt;=0),0.5*((L16-C13)+(L16-C14))*ABS(B14-B13),IF((L16-C13)&gt;0,0.5*(L16-C13)*ABS((B13+((L16-C13)/((L16-C13)-(L16-C14)))*(B14-B13))-B13),0.5*(L16-C14)*ABS(B14-(B13+((L16-C13)/((L16-C13)-(L16-C14)))*(B14-B13)))))))+(IF(AND((L16-C14)&lt;=0,(L16-C15)&lt;=0),0,IF(AND((L16-C14)&gt;=0,(L16-C15)&gt;=0),0.5*((L16-C14)+(L16-C15))*ABS(B15-B14),IF((L16-C14)&gt;0,0.5*(L16-C14)*ABS((B14+((L16-C14)/((L16-C14)-(L16-C15)))*(B15-B14))-B14),0.5*(L16-C15)*ABS(B15-(B14+((L16-C14)/((L16-C14)-(L16-C15)))*(B15-B14)))))))+(IF(AND((L16-C15)&lt;=0,(L16-C16)&lt;=0),0,IF(AND((L16-C15)&gt;=0,(L16-C16)&gt;=0),0.5*((L16-C15)+(L16-C16))*ABS(B16-B15),IF((L16-C15)&gt;0,0.5*(L16-C15)*ABS((B15+((L16-C15)/((L16-C15)-(L16-C16)))*(B16-B15))-B15),0.5*(L16-C16)*ABS(B16-(B15+((L16-C15)/((L16-C15)-(L16-C16)))*(B16-B15)))))))</f>
        <v/>
      </c>
      <c r="N16">
        <f>(IF(AND((L16-C9)&lt;=0,(L16-C10)&lt;=0),0,IF(AND((L16-C9)&gt;=0,(L16-C10)&gt;=0),SQRT((B10-B9)^2+(C10-C9)^2),IF((L16-C9)&gt;0,SQRT(((B9+((L16-C9)/((L16-C9)-(L16-C10)))*(B10-B9))-B9)^2+(L16-C9)^2),SQRT((B10-(B9+((L16-C9)/((L16-C9)-(L16-C10)))*(B10-B9)))^2+(L16-C10)^2)))))+(IF(AND((L16-C10)&lt;=0,(L16-C11)&lt;=0),0,IF(AND((L16-C10)&gt;=0,(L16-C11)&gt;=0),SQRT((B11-B10)^2+(C11-C10)^2),IF((L16-C10)&gt;0,SQRT(((B10+((L16-C10)/((L16-C10)-(L16-C11)))*(B11-B10))-B10)^2+(L16-C10)^2),SQRT((B11-(B10+((L16-C10)/((L16-C10)-(L16-C11)))*(B11-B10)))^2+(L16-C11)^2)))))+(IF(AND((L16-C11)&lt;=0,(L16-C12)&lt;=0),0,IF(AND((L16-C11)&gt;=0,(L16-C12)&gt;=0),SQRT((B12-B11)^2+(C12-C11)^2),IF((L16-C11)&gt;0,SQRT(((B11+((L16-C11)/((L16-C11)-(L16-C12)))*(B12-B11))-B11)^2+(L16-C11)^2),SQRT((B12-(B11+((L16-C11)/((L16-C11)-(L16-C12)))*(B12-B11)))^2+(L16-C12)^2)))))+(IF(AND((L16-C12)&lt;=0,(L16-C13)&lt;=0),0,IF(AND((L16-C12)&gt;=0,(L16-C13)&gt;=0),SQRT((B13-B12)^2+(C13-C12)^2),IF((L16-C12)&gt;0,SQRT(((B12+((L16-C12)/((L16-C12)-(L16-C13)))*(B13-B12))-B12)^2+(L16-C12)^2),SQRT((B13-(B12+((L16-C12)/((L16-C12)-(L16-C13)))*(B13-B12)))^2+(L16-C13)^2)))))+(IF(AND((L16-C13)&lt;=0,(L16-C14)&lt;=0),0,IF(AND((L16-C13)&gt;=0,(L16-C14)&gt;=0),SQRT((B14-B13)^2+(C14-C13)^2),IF((L16-C13)&gt;0,SQRT(((B13+((L16-C13)/((L16-C13)-(L16-C14)))*(B14-B13))-B13)^2+(L16-C13)^2),SQRT((B14-(B13+((L16-C13)/((L16-C13)-(L16-C14)))*(B14-B13)))^2+(L16-C14)^2)))))+(IF(AND((L16-C14)&lt;=0,(L16-C15)&lt;=0),0,IF(AND((L16-C14)&gt;=0,(L16-C15)&gt;=0),SQRT((B15-B14)^2+(C15-C14)^2),IF((L16-C14)&gt;0,SQRT(((B14+((L16-C14)/((L16-C14)-(L16-C15)))*(B15-B14))-B14)^2+(L16-C14)^2),SQRT((B15-(B14+((L16-C14)/((L16-C14)-(L16-C15)))*(B15-B14)))^2+(L16-C15)^2)))))+(IF(AND((L16-C15)&lt;=0,(L16-C16)&lt;=0),0,IF(AND((L16-C15)&gt;=0,(L16-C16)&gt;=0),SQRT((B16-B15)^2+(C16-C15)^2),IF((L16-C15)&gt;0,SQRT(((B15+((L16-C15)/((L16-C15)-(L16-C16)))*(B16-B15))-B15)^2+(L16-C15)^2),SQRT((B16-(B15+((L16-C15)/((L16-C15)-(L16-C16)))*(B16-B15)))^2+(L16-C16)^2)))))</f>
        <v/>
      </c>
      <c r="O16">
        <f>IF(OR($B$6&lt;=0,M16&lt;=0,N16&lt;=0,$B$4&lt;=0),0,(1/$B$6)*M16*((M16/N16)^(2/3))*SQRT($B$4))</f>
        <v/>
      </c>
    </row>
    <row r="17">
      <c r="G17" t="inlineStr">
        <is>
          <t>P = Σ Pi</t>
        </is>
      </c>
      <c r="I17" t="n">
        <v>9</v>
      </c>
      <c r="J17">
        <f>IF(O16&lt;$B$5,L16,J16)</f>
        <v/>
      </c>
      <c r="K17">
        <f>IF(O16&lt;$B$5,K16,L16)</f>
        <v/>
      </c>
      <c r="L17">
        <f>(J17+K17)/2</f>
        <v/>
      </c>
      <c r="M17">
        <f>(IF(AND((L17-C9)&lt;=0,(L17-C10)&lt;=0),0,IF(AND((L17-C9)&gt;=0,(L17-C10)&gt;=0),0.5*((L17-C9)+(L17-C10))*ABS(B10-B9),IF((L17-C9)&gt;0,0.5*(L17-C9)*ABS((B9+((L17-C9)/((L17-C9)-(L17-C10)))*(B10-B9))-B9),0.5*(L17-C10)*ABS(B10-(B9+((L17-C9)/((L17-C9)-(L17-C10)))*(B10-B9)))))))+(IF(AND((L17-C10)&lt;=0,(L17-C11)&lt;=0),0,IF(AND((L17-C10)&gt;=0,(L17-C11)&gt;=0),0.5*((L17-C10)+(L17-C11))*ABS(B11-B10),IF((L17-C10)&gt;0,0.5*(L17-C10)*ABS((B10+((L17-C10)/((L17-C10)-(L17-C11)))*(B11-B10))-B10),0.5*(L17-C11)*ABS(B11-(B10+((L17-C10)/((L17-C10)-(L17-C11)))*(B11-B10)))))))+(IF(AND((L17-C11)&lt;=0,(L17-C12)&lt;=0),0,IF(AND((L17-C11)&gt;=0,(L17-C12)&gt;=0),0.5*((L17-C11)+(L17-C12))*ABS(B12-B11),IF((L17-C11)&gt;0,0.5*(L17-C11)*ABS((B11+((L17-C11)/((L17-C11)-(L17-C12)))*(B12-B11))-B11),0.5*(L17-C12)*ABS(B12-(B11+((L17-C11)/((L17-C11)-(L17-C12)))*(B12-B11)))))))+(IF(AND((L17-C12)&lt;=0,(L17-C13)&lt;=0),0,IF(AND((L17-C12)&gt;=0,(L17-C13)&gt;=0),0.5*((L17-C12)+(L17-C13))*ABS(B13-B12),IF((L17-C12)&gt;0,0.5*(L17-C12)*ABS((B12+((L17-C12)/((L17-C12)-(L17-C13)))*(B13-B12))-B12),0.5*(L17-C13)*ABS(B13-(B12+((L17-C12)/((L17-C12)-(L17-C13)))*(B13-B12)))))))+(IF(AND((L17-C13)&lt;=0,(L17-C14)&lt;=0),0,IF(AND((L17-C13)&gt;=0,(L17-C14)&gt;=0),0.5*((L17-C13)+(L17-C14))*ABS(B14-B13),IF((L17-C13)&gt;0,0.5*(L17-C13)*ABS((B13+((L17-C13)/((L17-C13)-(L17-C14)))*(B14-B13))-B13),0.5*(L17-C14)*ABS(B14-(B13+((L17-C13)/((L17-C13)-(L17-C14)))*(B14-B13)))))))+(IF(AND((L17-C14)&lt;=0,(L17-C15)&lt;=0),0,IF(AND((L17-C14)&gt;=0,(L17-C15)&gt;=0),0.5*((L17-C14)+(L17-C15))*ABS(B15-B14),IF((L17-C14)&gt;0,0.5*(L17-C14)*ABS((B14+((L17-C14)/((L17-C14)-(L17-C15)))*(B15-B14))-B14),0.5*(L17-C15)*ABS(B15-(B14+((L17-C14)/((L17-C14)-(L17-C15)))*(B15-B14)))))))+(IF(AND((L17-C15)&lt;=0,(L17-C16)&lt;=0),0,IF(AND((L17-C15)&gt;=0,(L17-C16)&gt;=0),0.5*((L17-C15)+(L17-C16))*ABS(B16-B15),IF((L17-C15)&gt;0,0.5*(L17-C15)*ABS((B15+((L17-C15)/((L17-C15)-(L17-C16)))*(B16-B15))-B15),0.5*(L17-C16)*ABS(B16-(B15+((L17-C15)/((L17-C15)-(L17-C16)))*(B16-B15)))))))</f>
        <v/>
      </c>
      <c r="N17">
        <f>(IF(AND((L17-C9)&lt;=0,(L17-C10)&lt;=0),0,IF(AND((L17-C9)&gt;=0,(L17-C10)&gt;=0),SQRT((B10-B9)^2+(C10-C9)^2),IF((L17-C9)&gt;0,SQRT(((B9+((L17-C9)/((L17-C9)-(L17-C10)))*(B10-B9))-B9)^2+(L17-C9)^2),SQRT((B10-(B9+((L17-C9)/((L17-C9)-(L17-C10)))*(B10-B9)))^2+(L17-C10)^2)))))+(IF(AND((L17-C10)&lt;=0,(L17-C11)&lt;=0),0,IF(AND((L17-C10)&gt;=0,(L17-C11)&gt;=0),SQRT((B11-B10)^2+(C11-C10)^2),IF((L17-C10)&gt;0,SQRT(((B10+((L17-C10)/((L17-C10)-(L17-C11)))*(B11-B10))-B10)^2+(L17-C10)^2),SQRT((B11-(B10+((L17-C10)/((L17-C10)-(L17-C11)))*(B11-B10)))^2+(L17-C11)^2)))))+(IF(AND((L17-C11)&lt;=0,(L17-C12)&lt;=0),0,IF(AND((L17-C11)&gt;=0,(L17-C12)&gt;=0),SQRT((B12-B11)^2+(C12-C11)^2),IF((L17-C11)&gt;0,SQRT(((B11+((L17-C11)/((L17-C11)-(L17-C12)))*(B12-B11))-B11)^2+(L17-C11)^2),SQRT((B12-(B11+((L17-C11)/((L17-C11)-(L17-C12)))*(B12-B11)))^2+(L17-C12)^2)))))+(IF(AND((L17-C12)&lt;=0,(L17-C13)&lt;=0),0,IF(AND((L17-C12)&gt;=0,(L17-C13)&gt;=0),SQRT((B13-B12)^2+(C13-C12)^2),IF((L17-C12)&gt;0,SQRT(((B12+((L17-C12)/((L17-C12)-(L17-C13)))*(B13-B12))-B12)^2+(L17-C12)^2),SQRT((B13-(B12+((L17-C12)/((L17-C12)-(L17-C13)))*(B13-B12)))^2+(L17-C13)^2)))))+(IF(AND((L17-C13)&lt;=0,(L17-C14)&lt;=0),0,IF(AND((L17-C13)&gt;=0,(L17-C14)&gt;=0),SQRT((B14-B13)^2+(C14-C13)^2),IF((L17-C13)&gt;0,SQRT(((B13+((L17-C13)/((L17-C13)-(L17-C14)))*(B14-B13))-B13)^2+(L17-C13)^2),SQRT((B14-(B13+((L17-C13)/((L17-C13)-(L17-C14)))*(B14-B13)))^2+(L17-C14)^2)))))+(IF(AND((L17-C14)&lt;=0,(L17-C15)&lt;=0),0,IF(AND((L17-C14)&gt;=0,(L17-C15)&gt;=0),SQRT((B15-B14)^2+(C15-C14)^2),IF((L17-C14)&gt;0,SQRT(((B14+((L17-C14)/((L17-C14)-(L17-C15)))*(B15-B14))-B14)^2+(L17-C14)^2),SQRT((B15-(B14+((L17-C14)/((L17-C14)-(L17-C15)))*(B15-B14)))^2+(L17-C15)^2)))))+(IF(AND((L17-C15)&lt;=0,(L17-C16)&lt;=0),0,IF(AND((L17-C15)&gt;=0,(L17-C16)&gt;=0),SQRT((B16-B15)^2+(C16-C15)^2),IF((L17-C15)&gt;0,SQRT(((B15+((L17-C15)/((L17-C15)-(L17-C16)))*(B16-B15))-B15)^2+(L17-C15)^2),SQRT((B16-(B15+((L17-C15)/((L17-C15)-(L17-C16)))*(B16-B15)))^2+(L17-C16)^2)))))</f>
        <v/>
      </c>
      <c r="O17">
        <f>IF(OR($B$6&lt;=0,M17&lt;=0,N17&lt;=0,$B$4&lt;=0),0,(1/$B$6)*M17*((M17/N17)^(2/3))*SQRT($B$4))</f>
        <v/>
      </c>
    </row>
    <row r="18">
      <c r="A18" s="10" t="inlineStr">
        <is>
          <t>Totaux</t>
        </is>
      </c>
      <c r="E18" t="inlineStr">
        <is>
          <t>A = Σ Ai</t>
        </is>
      </c>
      <c r="F18" s="17">
        <f>SUM(F9:F15)</f>
        <v/>
      </c>
      <c r="G18" s="17">
        <f>SUM(G9:G15)</f>
        <v/>
      </c>
      <c r="I18" t="n">
        <v>10</v>
      </c>
      <c r="J18">
        <f>IF(O17&lt;$B$5,L17,J17)</f>
        <v/>
      </c>
      <c r="K18">
        <f>IF(O17&lt;$B$5,K17,L17)</f>
        <v/>
      </c>
      <c r="L18">
        <f>(J18+K18)/2</f>
        <v/>
      </c>
      <c r="M18">
        <f>(IF(AND((L18-C9)&lt;=0,(L18-C10)&lt;=0),0,IF(AND((L18-C9)&gt;=0,(L18-C10)&gt;=0),0.5*((L18-C9)+(L18-C10))*ABS(B10-B9),IF((L18-C9)&gt;0,0.5*(L18-C9)*ABS((B9+((L18-C9)/((L18-C9)-(L18-C10)))*(B10-B9))-B9),0.5*(L18-C10)*ABS(B10-(B9+((L18-C9)/((L18-C9)-(L18-C10)))*(B10-B9)))))))+(IF(AND((L18-C10)&lt;=0,(L18-C11)&lt;=0),0,IF(AND((L18-C10)&gt;=0,(L18-C11)&gt;=0),0.5*((L18-C10)+(L18-C11))*ABS(B11-B10),IF((L18-C10)&gt;0,0.5*(L18-C10)*ABS((B10+((L18-C10)/((L18-C10)-(L18-C11)))*(B11-B10))-B10),0.5*(L18-C11)*ABS(B11-(B10+((L18-C10)/((L18-C10)-(L18-C11)))*(B11-B10)))))))+(IF(AND((L18-C11)&lt;=0,(L18-C12)&lt;=0),0,IF(AND((L18-C11)&gt;=0,(L18-C12)&gt;=0),0.5*((L18-C11)+(L18-C12))*ABS(B12-B11),IF((L18-C11)&gt;0,0.5*(L18-C11)*ABS((B11+((L18-C11)/((L18-C11)-(L18-C12)))*(B12-B11))-B11),0.5*(L18-C12)*ABS(B12-(B11+((L18-C11)/((L18-C11)-(L18-C12)))*(B12-B11)))))))+(IF(AND((L18-C12)&lt;=0,(L18-C13)&lt;=0),0,IF(AND((L18-C12)&gt;=0,(L18-C13)&gt;=0),0.5*((L18-C12)+(L18-C13))*ABS(B13-B12),IF((L18-C12)&gt;0,0.5*(L18-C12)*ABS((B12+((L18-C12)/((L18-C12)-(L18-C13)))*(B13-B12))-B12),0.5*(L18-C13)*ABS(B13-(B12+((L18-C12)/((L18-C12)-(L18-C13)))*(B13-B12)))))))+(IF(AND((L18-C13)&lt;=0,(L18-C14)&lt;=0),0,IF(AND((L18-C13)&gt;=0,(L18-C14)&gt;=0),0.5*((L18-C13)+(L18-C14))*ABS(B14-B13),IF((L18-C13)&gt;0,0.5*(L18-C13)*ABS((B13+((L18-C13)/((L18-C13)-(L18-C14)))*(B14-B13))-B13),0.5*(L18-C14)*ABS(B14-(B13+((L18-C13)/((L18-C13)-(L18-C14)))*(B14-B13)))))))+(IF(AND((L18-C14)&lt;=0,(L18-C15)&lt;=0),0,IF(AND((L18-C14)&gt;=0,(L18-C15)&gt;=0),0.5*((L18-C14)+(L18-C15))*ABS(B15-B14),IF((L18-C14)&gt;0,0.5*(L18-C14)*ABS((B14+((L18-C14)/((L18-C14)-(L18-C15)))*(B15-B14))-B14),0.5*(L18-C15)*ABS(B15-(B14+((L18-C14)/((L18-C14)-(L18-C15)))*(B15-B14)))))))+(IF(AND((L18-C15)&lt;=0,(L18-C16)&lt;=0),0,IF(AND((L18-C15)&gt;=0,(L18-C16)&gt;=0),0.5*((L18-C15)+(L18-C16))*ABS(B16-B15),IF((L18-C15)&gt;0,0.5*(L18-C15)*ABS((B15+((L18-C15)/((L18-C15)-(L18-C16)))*(B16-B15))-B15),0.5*(L18-C16)*ABS(B16-(B15+((L18-C15)/((L18-C15)-(L18-C16)))*(B16-B15)))))))</f>
        <v/>
      </c>
      <c r="N18">
        <f>(IF(AND((L18-C9)&lt;=0,(L18-C10)&lt;=0),0,IF(AND((L18-C9)&gt;=0,(L18-C10)&gt;=0),SQRT((B10-B9)^2+(C10-C9)^2),IF((L18-C9)&gt;0,SQRT(((B9+((L18-C9)/((L18-C9)-(L18-C10)))*(B10-B9))-B9)^2+(L18-C9)^2),SQRT((B10-(B9+((L18-C9)/((L18-C9)-(L18-C10)))*(B10-B9)))^2+(L18-C10)^2)))))+(IF(AND((L18-C10)&lt;=0,(L18-C11)&lt;=0),0,IF(AND((L18-C10)&gt;=0,(L18-C11)&gt;=0),SQRT((B11-B10)^2+(C11-C10)^2),IF((L18-C10)&gt;0,SQRT(((B10+((L18-C10)/((L18-C10)-(L18-C11)))*(B11-B10))-B10)^2+(L18-C10)^2),SQRT((B11-(B10+((L18-C10)/((L18-C10)-(L18-C11)))*(B11-B10)))^2+(L18-C11)^2)))))+(IF(AND((L18-C11)&lt;=0,(L18-C12)&lt;=0),0,IF(AND((L18-C11)&gt;=0,(L18-C12)&gt;=0),SQRT((B12-B11)^2+(C12-C11)^2),IF((L18-C11)&gt;0,SQRT(((B11+((L18-C11)/((L18-C11)-(L18-C12)))*(B12-B11))-B11)^2+(L18-C11)^2),SQRT((B12-(B11+((L18-C11)/((L18-C11)-(L18-C12)))*(B12-B11)))^2+(L18-C12)^2)))))+(IF(AND((L18-C12)&lt;=0,(L18-C13)&lt;=0),0,IF(AND((L18-C12)&gt;=0,(L18-C13)&gt;=0),SQRT((B13-B12)^2+(C13-C12)^2),IF((L18-C12)&gt;0,SQRT(((B12+((L18-C12)/((L18-C12)-(L18-C13)))*(B13-B12))-B12)^2+(L18-C12)^2),SQRT((B13-(B12+((L18-C12)/((L18-C12)-(L18-C13)))*(B13-B12)))^2+(L18-C13)^2)))))+(IF(AND((L18-C13)&lt;=0,(L18-C14)&lt;=0),0,IF(AND((L18-C13)&gt;=0,(L18-C14)&gt;=0),SQRT((B14-B13)^2+(C14-C13)^2),IF((L18-C13)&gt;0,SQRT(((B13+((L18-C13)/((L18-C13)-(L18-C14)))*(B14-B13))-B13)^2+(L18-C13)^2),SQRT((B14-(B13+((L18-C13)/((L18-C13)-(L18-C14)))*(B14-B13)))^2+(L18-C14)^2)))))+(IF(AND((L18-C14)&lt;=0,(L18-C15)&lt;=0),0,IF(AND((L18-C14)&gt;=0,(L18-C15)&gt;=0),SQRT((B15-B14)^2+(C15-C14)^2),IF((L18-C14)&gt;0,SQRT(((B14+((L18-C14)/((L18-C14)-(L18-C15)))*(B15-B14))-B14)^2+(L18-C14)^2),SQRT((B15-(B14+((L18-C14)/((L18-C14)-(L18-C15)))*(B15-B14)))^2+(L18-C15)^2)))))+(IF(AND((L18-C15)&lt;=0,(L18-C16)&lt;=0),0,IF(AND((L18-C15)&gt;=0,(L18-C16)&gt;=0),SQRT((B16-B15)^2+(C16-C15)^2),IF((L18-C15)&gt;0,SQRT(((B15+((L18-C15)/((L18-C15)-(L18-C16)))*(B16-B15))-B15)^2+(L18-C15)^2),SQRT((B16-(B15+((L18-C15)/((L18-C15)-(L18-C16)))*(B16-B15)))^2+(L18-C16)^2)))))</f>
        <v/>
      </c>
      <c r="O18">
        <f>IF(OR($B$6&lt;=0,M18&lt;=0,N18&lt;=0,$B$4&lt;=0),0,(1/$B$6)*M18*((M18/N18)^(2/3))*SQRT($B$4))</f>
        <v/>
      </c>
    </row>
    <row r="19">
      <c r="I19" t="n">
        <v>11</v>
      </c>
      <c r="J19">
        <f>IF(O18&lt;$B$5,L18,J18)</f>
        <v/>
      </c>
      <c r="K19">
        <f>IF(O18&lt;$B$5,K18,L18)</f>
        <v/>
      </c>
      <c r="L19">
        <f>(J19+K19)/2</f>
        <v/>
      </c>
      <c r="M19">
        <f>(IF(AND((L19-C9)&lt;=0,(L19-C10)&lt;=0),0,IF(AND((L19-C9)&gt;=0,(L19-C10)&gt;=0),0.5*((L19-C9)+(L19-C10))*ABS(B10-B9),IF((L19-C9)&gt;0,0.5*(L19-C9)*ABS((B9+((L19-C9)/((L19-C9)-(L19-C10)))*(B10-B9))-B9),0.5*(L19-C10)*ABS(B10-(B9+((L19-C9)/((L19-C9)-(L19-C10)))*(B10-B9)))))))+(IF(AND((L19-C10)&lt;=0,(L19-C11)&lt;=0),0,IF(AND((L19-C10)&gt;=0,(L19-C11)&gt;=0),0.5*((L19-C10)+(L19-C11))*ABS(B11-B10),IF((L19-C10)&gt;0,0.5*(L19-C10)*ABS((B10+((L19-C10)/((L19-C10)-(L19-C11)))*(B11-B10))-B10),0.5*(L19-C11)*ABS(B11-(B10+((L19-C10)/((L19-C10)-(L19-C11)))*(B11-B10)))))))+(IF(AND((L19-C11)&lt;=0,(L19-C12)&lt;=0),0,IF(AND((L19-C11)&gt;=0,(L19-C12)&gt;=0),0.5*((L19-C11)+(L19-C12))*ABS(B12-B11),IF((L19-C11)&gt;0,0.5*(L19-C11)*ABS((B11+((L19-C11)/((L19-C11)-(L19-C12)))*(B12-B11))-B11),0.5*(L19-C12)*ABS(B12-(B11+((L19-C11)/((L19-C11)-(L19-C12)))*(B12-B11)))))))+(IF(AND((L19-C12)&lt;=0,(L19-C13)&lt;=0),0,IF(AND((L19-C12)&gt;=0,(L19-C13)&gt;=0),0.5*((L19-C12)+(L19-C13))*ABS(B13-B12),IF((L19-C12)&gt;0,0.5*(L19-C12)*ABS((B12+((L19-C12)/((L19-C12)-(L19-C13)))*(B13-B12))-B12),0.5*(L19-C13)*ABS(B13-(B12+((L19-C12)/((L19-C12)-(L19-C13)))*(B13-B12)))))))+(IF(AND((L19-C13)&lt;=0,(L19-C14)&lt;=0),0,IF(AND((L19-C13)&gt;=0,(L19-C14)&gt;=0),0.5*((L19-C13)+(L19-C14))*ABS(B14-B13),IF((L19-C13)&gt;0,0.5*(L19-C13)*ABS((B13+((L19-C13)/((L19-C13)-(L19-C14)))*(B14-B13))-B13),0.5*(L19-C14)*ABS(B14-(B13+((L19-C13)/((L19-C13)-(L19-C14)))*(B14-B13)))))))+(IF(AND((L19-C14)&lt;=0,(L19-C15)&lt;=0),0,IF(AND((L19-C14)&gt;=0,(L19-C15)&gt;=0),0.5*((L19-C14)+(L19-C15))*ABS(B15-B14),IF((L19-C14)&gt;0,0.5*(L19-C14)*ABS((B14+((L19-C14)/((L19-C14)-(L19-C15)))*(B15-B14))-B14),0.5*(L19-C15)*ABS(B15-(B14+((L19-C14)/((L19-C14)-(L19-C15)))*(B15-B14)))))))+(IF(AND((L19-C15)&lt;=0,(L19-C16)&lt;=0),0,IF(AND((L19-C15)&gt;=0,(L19-C16)&gt;=0),0.5*((L19-C15)+(L19-C16))*ABS(B16-B15),IF((L19-C15)&gt;0,0.5*(L19-C15)*ABS((B15+((L19-C15)/((L19-C15)-(L19-C16)))*(B16-B15))-B15),0.5*(L19-C16)*ABS(B16-(B15+((L19-C15)/((L19-C15)-(L19-C16)))*(B16-B15)))))))</f>
        <v/>
      </c>
      <c r="N19">
        <f>(IF(AND((L19-C9)&lt;=0,(L19-C10)&lt;=0),0,IF(AND((L19-C9)&gt;=0,(L19-C10)&gt;=0),SQRT((B10-B9)^2+(C10-C9)^2),IF((L19-C9)&gt;0,SQRT(((B9+((L19-C9)/((L19-C9)-(L19-C10)))*(B10-B9))-B9)^2+(L19-C9)^2),SQRT((B10-(B9+((L19-C9)/((L19-C9)-(L19-C10)))*(B10-B9)))^2+(L19-C10)^2)))))+(IF(AND((L19-C10)&lt;=0,(L19-C11)&lt;=0),0,IF(AND((L19-C10)&gt;=0,(L19-C11)&gt;=0),SQRT((B11-B10)^2+(C11-C10)^2),IF((L19-C10)&gt;0,SQRT(((B10+((L19-C10)/((L19-C10)-(L19-C11)))*(B11-B10))-B10)^2+(L19-C10)^2),SQRT((B11-(B10+((L19-C10)/((L19-C10)-(L19-C11)))*(B11-B10)))^2+(L19-C11)^2)))))+(IF(AND((L19-C11)&lt;=0,(L19-C12)&lt;=0),0,IF(AND((L19-C11)&gt;=0,(L19-C12)&gt;=0),SQRT((B12-B11)^2+(C12-C11)^2),IF((L19-C11)&gt;0,SQRT(((B11+((L19-C11)/((L19-C11)-(L19-C12)))*(B12-B11))-B11)^2+(L19-C11)^2),SQRT((B12-(B11+((L19-C11)/((L19-C11)-(L19-C12)))*(B12-B11)))^2+(L19-C12)^2)))))+(IF(AND((L19-C12)&lt;=0,(L19-C13)&lt;=0),0,IF(AND((L19-C12)&gt;=0,(L19-C13)&gt;=0),SQRT((B13-B12)^2+(C13-C12)^2),IF((L19-C12)&gt;0,SQRT(((B12+((L19-C12)/((L19-C12)-(L19-C13)))*(B13-B12))-B12)^2+(L19-C12)^2),SQRT((B13-(B12+((L19-C12)/((L19-C12)-(L19-C13)))*(B13-B12)))^2+(L19-C13)^2)))))+(IF(AND((L19-C13)&lt;=0,(L19-C14)&lt;=0),0,IF(AND((L19-C13)&gt;=0,(L19-C14)&gt;=0),SQRT((B14-B13)^2+(C14-C13)^2),IF((L19-C13)&gt;0,SQRT(((B13+((L19-C13)/((L19-C13)-(L19-C14)))*(B14-B13))-B13)^2+(L19-C13)^2),SQRT((B14-(B13+((L19-C13)/((L19-C13)-(L19-C14)))*(B14-B13)))^2+(L19-C14)^2)))))+(IF(AND((L19-C14)&lt;=0,(L19-C15)&lt;=0),0,IF(AND((L19-C14)&gt;=0,(L19-C15)&gt;=0),SQRT((B15-B14)^2+(C15-C14)^2),IF((L19-C14)&gt;0,SQRT(((B14+((L19-C14)/((L19-C14)-(L19-C15)))*(B15-B14))-B14)^2+(L19-C14)^2),SQRT((B15-(B14+((L19-C14)/((L19-C14)-(L19-C15)))*(B15-B14)))^2+(L19-C15)^2)))))+(IF(AND((L19-C15)&lt;=0,(L19-C16)&lt;=0),0,IF(AND((L19-C15)&gt;=0,(L19-C16)&gt;=0),SQRT((B16-B15)^2+(C16-C15)^2),IF((L19-C15)&gt;0,SQRT(((B15+((L19-C15)/((L19-C15)-(L19-C16)))*(B16-B15))-B15)^2+(L19-C15)^2),SQRT((B16-(B15+((L19-C15)/((L19-C15)-(L19-C16)))*(B16-B15)))^2+(L19-C16)^2)))))</f>
        <v/>
      </c>
      <c r="O19">
        <f>IF(OR($B$6&lt;=0,M19&lt;=0,N19&lt;=0,$B$4&lt;=0),0,(1/$B$6)*M19*((M19/N19)^(2/3))*SQRT($B$4))</f>
        <v/>
      </c>
    </row>
    <row r="20">
      <c r="A20" t="inlineStr">
        <is>
          <t>Fond min (m)</t>
        </is>
      </c>
      <c r="B20">
        <f>MIN(C9:C16)</f>
        <v/>
      </c>
      <c r="I20" t="n">
        <v>12</v>
      </c>
      <c r="J20">
        <f>IF(O19&lt;$B$5,L19,J19)</f>
        <v/>
      </c>
      <c r="K20">
        <f>IF(O19&lt;$B$5,K19,L19)</f>
        <v/>
      </c>
      <c r="L20">
        <f>(J20+K20)/2</f>
        <v/>
      </c>
      <c r="M20">
        <f>(IF(AND((L20-C9)&lt;=0,(L20-C10)&lt;=0),0,IF(AND((L20-C9)&gt;=0,(L20-C10)&gt;=0),0.5*((L20-C9)+(L20-C10))*ABS(B10-B9),IF((L20-C9)&gt;0,0.5*(L20-C9)*ABS((B9+((L20-C9)/((L20-C9)-(L20-C10)))*(B10-B9))-B9),0.5*(L20-C10)*ABS(B10-(B9+((L20-C9)/((L20-C9)-(L20-C10)))*(B10-B9)))))))+(IF(AND((L20-C10)&lt;=0,(L20-C11)&lt;=0),0,IF(AND((L20-C10)&gt;=0,(L20-C11)&gt;=0),0.5*((L20-C10)+(L20-C11))*ABS(B11-B10),IF((L20-C10)&gt;0,0.5*(L20-C10)*ABS((B10+((L20-C10)/((L20-C10)-(L20-C11)))*(B11-B10))-B10),0.5*(L20-C11)*ABS(B11-(B10+((L20-C10)/((L20-C10)-(L20-C11)))*(B11-B10)))))))+(IF(AND((L20-C11)&lt;=0,(L20-C12)&lt;=0),0,IF(AND((L20-C11)&gt;=0,(L20-C12)&gt;=0),0.5*((L20-C11)+(L20-C12))*ABS(B12-B11),IF((L20-C11)&gt;0,0.5*(L20-C11)*ABS((B11+((L20-C11)/((L20-C11)-(L20-C12)))*(B12-B11))-B11),0.5*(L20-C12)*ABS(B12-(B11+((L20-C11)/((L20-C11)-(L20-C12)))*(B12-B11)))))))+(IF(AND((L20-C12)&lt;=0,(L20-C13)&lt;=0),0,IF(AND((L20-C12)&gt;=0,(L20-C13)&gt;=0),0.5*((L20-C12)+(L20-C13))*ABS(B13-B12),IF((L20-C12)&gt;0,0.5*(L20-C12)*ABS((B12+((L20-C12)/((L20-C12)-(L20-C13)))*(B13-B12))-B12),0.5*(L20-C13)*ABS(B13-(B12+((L20-C12)/((L20-C12)-(L20-C13)))*(B13-B12)))))))+(IF(AND((L20-C13)&lt;=0,(L20-C14)&lt;=0),0,IF(AND((L20-C13)&gt;=0,(L20-C14)&gt;=0),0.5*((L20-C13)+(L20-C14))*ABS(B14-B13),IF((L20-C13)&gt;0,0.5*(L20-C13)*ABS((B13+((L20-C13)/((L20-C13)-(L20-C14)))*(B14-B13))-B13),0.5*(L20-C14)*ABS(B14-(B13+((L20-C13)/((L20-C13)-(L20-C14)))*(B14-B13)))))))+(IF(AND((L20-C14)&lt;=0,(L20-C15)&lt;=0),0,IF(AND((L20-C14)&gt;=0,(L20-C15)&gt;=0),0.5*((L20-C14)+(L20-C15))*ABS(B15-B14),IF((L20-C14)&gt;0,0.5*(L20-C14)*ABS((B14+((L20-C14)/((L20-C14)-(L20-C15)))*(B15-B14))-B14),0.5*(L20-C15)*ABS(B15-(B14+((L20-C14)/((L20-C14)-(L20-C15)))*(B15-B14)))))))+(IF(AND((L20-C15)&lt;=0,(L20-C16)&lt;=0),0,IF(AND((L20-C15)&gt;=0,(L20-C16)&gt;=0),0.5*((L20-C15)+(L20-C16))*ABS(B16-B15),IF((L20-C15)&gt;0,0.5*(L20-C15)*ABS((B15+((L20-C15)/((L20-C15)-(L20-C16)))*(B16-B15))-B15),0.5*(L20-C16)*ABS(B16-(B15+((L20-C15)/((L20-C15)-(L20-C16)))*(B16-B15)))))))</f>
        <v/>
      </c>
      <c r="N20">
        <f>(IF(AND((L20-C9)&lt;=0,(L20-C10)&lt;=0),0,IF(AND((L20-C9)&gt;=0,(L20-C10)&gt;=0),SQRT((B10-B9)^2+(C10-C9)^2),IF((L20-C9)&gt;0,SQRT(((B9+((L20-C9)/((L20-C9)-(L20-C10)))*(B10-B9))-B9)^2+(L20-C9)^2),SQRT((B10-(B9+((L20-C9)/((L20-C9)-(L20-C10)))*(B10-B9)))^2+(L20-C10)^2)))))+(IF(AND((L20-C10)&lt;=0,(L20-C11)&lt;=0),0,IF(AND((L20-C10)&gt;=0,(L20-C11)&gt;=0),SQRT((B11-B10)^2+(C11-C10)^2),IF((L20-C10)&gt;0,SQRT(((B10+((L20-C10)/((L20-C10)-(L20-C11)))*(B11-B10))-B10)^2+(L20-C10)^2),SQRT((B11-(B10+((L20-C10)/((L20-C10)-(L20-C11)))*(B11-B10)))^2+(L20-C11)^2)))))+(IF(AND((L20-C11)&lt;=0,(L20-C12)&lt;=0),0,IF(AND((L20-C11)&gt;=0,(L20-C12)&gt;=0),SQRT((B12-B11)^2+(C12-C11)^2),IF((L20-C11)&gt;0,SQRT(((B11+((L20-C11)/((L20-C11)-(L20-C12)))*(B12-B11))-B11)^2+(L20-C11)^2),SQRT((B12-(B11+((L20-C11)/((L20-C11)-(L20-C12)))*(B12-B11)))^2+(L20-C12)^2)))))+(IF(AND((L20-C12)&lt;=0,(L20-C13)&lt;=0),0,IF(AND((L20-C12)&gt;=0,(L20-C13)&gt;=0),SQRT((B13-B12)^2+(C13-C12)^2),IF((L20-C12)&gt;0,SQRT(((B12+((L20-C12)/((L20-C12)-(L20-C13)))*(B13-B12))-B12)^2+(L20-C12)^2),SQRT((B13-(B12+((L20-C12)/((L20-C12)-(L20-C13)))*(B13-B12)))^2+(L20-C13)^2)))))+(IF(AND((L20-C13)&lt;=0,(L20-C14)&lt;=0),0,IF(AND((L20-C13)&gt;=0,(L20-C14)&gt;=0),SQRT((B14-B13)^2+(C14-C13)^2),IF((L20-C13)&gt;0,SQRT(((B13+((L20-C13)/((L20-C13)-(L20-C14)))*(B14-B13))-B13)^2+(L20-C13)^2),SQRT((B14-(B13+((L20-C13)/((L20-C13)-(L20-C14)))*(B14-B13)))^2+(L20-C14)^2)))))+(IF(AND((L20-C14)&lt;=0,(L20-C15)&lt;=0),0,IF(AND((L20-C14)&gt;=0,(L20-C15)&gt;=0),SQRT((B15-B14)^2+(C15-C14)^2),IF((L20-C14)&gt;0,SQRT(((B14+((L20-C14)/((L20-C14)-(L20-C15)))*(B15-B14))-B14)^2+(L20-C14)^2),SQRT((B15-(B14+((L20-C14)/((L20-C14)-(L20-C15)))*(B15-B14)))^2+(L20-C15)^2)))))+(IF(AND((L20-C15)&lt;=0,(L20-C16)&lt;=0),0,IF(AND((L20-C15)&gt;=0,(L20-C16)&gt;=0),SQRT((B16-B15)^2+(C16-C15)^2),IF((L20-C15)&gt;0,SQRT(((B15+((L20-C15)/((L20-C15)-(L20-C16)))*(B16-B15))-B15)^2+(L20-C15)^2),SQRT((B16-(B15+((L20-C15)/((L20-C15)-(L20-C16)))*(B16-B15)))^2+(L20-C16)^2)))))</f>
        <v/>
      </c>
      <c r="O20">
        <f>IF(OR($B$6&lt;=0,M20&lt;=0,N20&lt;=0,$B$4&lt;=0),0,(1/$B$6)*M20*((M20/N20)^(2/3))*SQRT($B$4))</f>
        <v/>
      </c>
    </row>
    <row r="21">
      <c r="A21" t="inlineStr">
        <is>
          <t>y = WSE − fond (m)</t>
        </is>
      </c>
      <c r="B21">
        <f>IF(ISNUMBER(B2),B2-B20,"")</f>
        <v/>
      </c>
      <c r="I21" t="n">
        <v>13</v>
      </c>
      <c r="J21">
        <f>IF(O20&lt;$B$5,L20,J20)</f>
        <v/>
      </c>
      <c r="K21">
        <f>IF(O20&lt;$B$5,K20,L20)</f>
        <v/>
      </c>
      <c r="L21">
        <f>(J21+K21)/2</f>
        <v/>
      </c>
      <c r="M21">
        <f>(IF(AND((L21-C9)&lt;=0,(L21-C10)&lt;=0),0,IF(AND((L21-C9)&gt;=0,(L21-C10)&gt;=0),0.5*((L21-C9)+(L21-C10))*ABS(B10-B9),IF((L21-C9)&gt;0,0.5*(L21-C9)*ABS((B9+((L21-C9)/((L21-C9)-(L21-C10)))*(B10-B9))-B9),0.5*(L21-C10)*ABS(B10-(B9+((L21-C9)/((L21-C9)-(L21-C10)))*(B10-B9)))))))+(IF(AND((L21-C10)&lt;=0,(L21-C11)&lt;=0),0,IF(AND((L21-C10)&gt;=0,(L21-C11)&gt;=0),0.5*((L21-C10)+(L21-C11))*ABS(B11-B10),IF((L21-C10)&gt;0,0.5*(L21-C10)*ABS((B10+((L21-C10)/((L21-C10)-(L21-C11)))*(B11-B10))-B10),0.5*(L21-C11)*ABS(B11-(B10+((L21-C10)/((L21-C10)-(L21-C11)))*(B11-B10)))))))+(IF(AND((L21-C11)&lt;=0,(L21-C12)&lt;=0),0,IF(AND((L21-C11)&gt;=0,(L21-C12)&gt;=0),0.5*((L21-C11)+(L21-C12))*ABS(B12-B11),IF((L21-C11)&gt;0,0.5*(L21-C11)*ABS((B11+((L21-C11)/((L21-C11)-(L21-C12)))*(B12-B11))-B11),0.5*(L21-C12)*ABS(B12-(B11+((L21-C11)/((L21-C11)-(L21-C12)))*(B12-B11)))))))+(IF(AND((L21-C12)&lt;=0,(L21-C13)&lt;=0),0,IF(AND((L21-C12)&gt;=0,(L21-C13)&gt;=0),0.5*((L21-C12)+(L21-C13))*ABS(B13-B12),IF((L21-C12)&gt;0,0.5*(L21-C12)*ABS((B12+((L21-C12)/((L21-C12)-(L21-C13)))*(B13-B12))-B12),0.5*(L21-C13)*ABS(B13-(B12+((L21-C12)/((L21-C12)-(L21-C13)))*(B13-B12)))))))+(IF(AND((L21-C13)&lt;=0,(L21-C14)&lt;=0),0,IF(AND((L21-C13)&gt;=0,(L21-C14)&gt;=0),0.5*((L21-C13)+(L21-C14))*ABS(B14-B13),IF((L21-C13)&gt;0,0.5*(L21-C13)*ABS((B13+((L21-C13)/((L21-C13)-(L21-C14)))*(B14-B13))-B13),0.5*(L21-C14)*ABS(B14-(B13+((L21-C13)/((L21-C13)-(L21-C14)))*(B14-B13)))))))+(IF(AND((L21-C14)&lt;=0,(L21-C15)&lt;=0),0,IF(AND((L21-C14)&gt;=0,(L21-C15)&gt;=0),0.5*((L21-C14)+(L21-C15))*ABS(B15-B14),IF((L21-C14)&gt;0,0.5*(L21-C14)*ABS((B14+((L21-C14)/((L21-C14)-(L21-C15)))*(B15-B14))-B14),0.5*(L21-C15)*ABS(B15-(B14+((L21-C14)/((L21-C14)-(L21-C15)))*(B15-B14)))))))+(IF(AND((L21-C15)&lt;=0,(L21-C16)&lt;=0),0,IF(AND((L21-C15)&gt;=0,(L21-C16)&gt;=0),0.5*((L21-C15)+(L21-C16))*ABS(B16-B15),IF((L21-C15)&gt;0,0.5*(L21-C15)*ABS((B15+((L21-C15)/((L21-C15)-(L21-C16)))*(B16-B15))-B15),0.5*(L21-C16)*ABS(B16-(B15+((L21-C15)/((L21-C15)-(L21-C16)))*(B16-B15)))))))</f>
        <v/>
      </c>
      <c r="N21">
        <f>(IF(AND((L21-C9)&lt;=0,(L21-C10)&lt;=0),0,IF(AND((L21-C9)&gt;=0,(L21-C10)&gt;=0),SQRT((B10-B9)^2+(C10-C9)^2),IF((L21-C9)&gt;0,SQRT(((B9+((L21-C9)/((L21-C9)-(L21-C10)))*(B10-B9))-B9)^2+(L21-C9)^2),SQRT((B10-(B9+((L21-C9)/((L21-C9)-(L21-C10)))*(B10-B9)))^2+(L21-C10)^2)))))+(IF(AND((L21-C10)&lt;=0,(L21-C11)&lt;=0),0,IF(AND((L21-C10)&gt;=0,(L21-C11)&gt;=0),SQRT((B11-B10)^2+(C11-C10)^2),IF((L21-C10)&gt;0,SQRT(((B10+((L21-C10)/((L21-C10)-(L21-C11)))*(B11-B10))-B10)^2+(L21-C10)^2),SQRT((B11-(B10+((L21-C10)/((L21-C10)-(L21-C11)))*(B11-B10)))^2+(L21-C11)^2)))))+(IF(AND((L21-C11)&lt;=0,(L21-C12)&lt;=0),0,IF(AND((L21-C11)&gt;=0,(L21-C12)&gt;=0),SQRT((B12-B11)^2+(C12-C11)^2),IF((L21-C11)&gt;0,SQRT(((B11+((L21-C11)/((L21-C11)-(L21-C12)))*(B12-B11))-B11)^2+(L21-C11)^2),SQRT((B12-(B11+((L21-C11)/((L21-C11)-(L21-C12)))*(B12-B11)))^2+(L21-C12)^2)))))+(IF(AND((L21-C12)&lt;=0,(L21-C13)&lt;=0),0,IF(AND((L21-C12)&gt;=0,(L21-C13)&gt;=0),SQRT((B13-B12)^2+(C13-C12)^2),IF((L21-C12)&gt;0,SQRT(((B12+((L21-C12)/((L21-C12)-(L21-C13)))*(B13-B12))-B12)^2+(L21-C12)^2),SQRT((B13-(B12+((L21-C12)/((L21-C12)-(L21-C13)))*(B13-B12)))^2+(L21-C13)^2)))))+(IF(AND((L21-C13)&lt;=0,(L21-C14)&lt;=0),0,IF(AND((L21-C13)&gt;=0,(L21-C14)&gt;=0),SQRT((B14-B13)^2+(C14-C13)^2),IF((L21-C13)&gt;0,SQRT(((B13+((L21-C13)/((L21-C13)-(L21-C14)))*(B14-B13))-B13)^2+(L21-C13)^2),SQRT((B14-(B13+((L21-C13)/((L21-C13)-(L21-C14)))*(B14-B13)))^2+(L21-C14)^2)))))+(IF(AND((L21-C14)&lt;=0,(L21-C15)&lt;=0),0,IF(AND((L21-C14)&gt;=0,(L21-C15)&gt;=0),SQRT((B15-B14)^2+(C15-C14)^2),IF((L21-C14)&gt;0,SQRT(((B14+((L21-C14)/((L21-C14)-(L21-C15)))*(B15-B14))-B14)^2+(L21-C14)^2),SQRT((B15-(B14+((L21-C14)/((L21-C14)-(L21-C15)))*(B15-B14)))^2+(L21-C15)^2)))))+(IF(AND((L21-C15)&lt;=0,(L21-C16)&lt;=0),0,IF(AND((L21-C15)&gt;=0,(L21-C16)&gt;=0),SQRT((B16-B15)^2+(C16-C15)^2),IF((L21-C15)&gt;0,SQRT(((B15+((L21-C15)/((L21-C15)-(L21-C16)))*(B16-B15))-B15)^2+(L21-C15)^2),SQRT((B16-(B15+((L21-C15)/((L21-C15)-(L21-C16)))*(B16-B15)))^2+(L21-C16)^2)))))</f>
        <v/>
      </c>
      <c r="O21">
        <f>IF(OR($B$6&lt;=0,M21&lt;=0,N21&lt;=0,$B$4&lt;=0),0,(1/$B$6)*M21*((M21/N21)^(2/3))*SQRT($B$4))</f>
        <v/>
      </c>
    </row>
    <row r="22">
      <c r="A22" t="inlineStr">
        <is>
          <t>A (m²)</t>
        </is>
      </c>
      <c r="B22" s="9">
        <f>F18</f>
        <v/>
      </c>
      <c r="I22" t="n">
        <v>14</v>
      </c>
      <c r="J22">
        <f>IF(O21&lt;$B$5,L21,J21)</f>
        <v/>
      </c>
      <c r="K22">
        <f>IF(O21&lt;$B$5,K21,L21)</f>
        <v/>
      </c>
      <c r="L22">
        <f>(J22+K22)/2</f>
        <v/>
      </c>
      <c r="M22">
        <f>(IF(AND((L22-C9)&lt;=0,(L22-C10)&lt;=0),0,IF(AND((L22-C9)&gt;=0,(L22-C10)&gt;=0),0.5*((L22-C9)+(L22-C10))*ABS(B10-B9),IF((L22-C9)&gt;0,0.5*(L22-C9)*ABS((B9+((L22-C9)/((L22-C9)-(L22-C10)))*(B10-B9))-B9),0.5*(L22-C10)*ABS(B10-(B9+((L22-C9)/((L22-C9)-(L22-C10)))*(B10-B9)))))))+(IF(AND((L22-C10)&lt;=0,(L22-C11)&lt;=0),0,IF(AND((L22-C10)&gt;=0,(L22-C11)&gt;=0),0.5*((L22-C10)+(L22-C11))*ABS(B11-B10),IF((L22-C10)&gt;0,0.5*(L22-C10)*ABS((B10+((L22-C10)/((L22-C10)-(L22-C11)))*(B11-B10))-B10),0.5*(L22-C11)*ABS(B11-(B10+((L22-C10)/((L22-C10)-(L22-C11)))*(B11-B10)))))))+(IF(AND((L22-C11)&lt;=0,(L22-C12)&lt;=0),0,IF(AND((L22-C11)&gt;=0,(L22-C12)&gt;=0),0.5*((L22-C11)+(L22-C12))*ABS(B12-B11),IF((L22-C11)&gt;0,0.5*(L22-C11)*ABS((B11+((L22-C11)/((L22-C11)-(L22-C12)))*(B12-B11))-B11),0.5*(L22-C12)*ABS(B12-(B11+((L22-C11)/((L22-C11)-(L22-C12)))*(B12-B11)))))))+(IF(AND((L22-C12)&lt;=0,(L22-C13)&lt;=0),0,IF(AND((L22-C12)&gt;=0,(L22-C13)&gt;=0),0.5*((L22-C12)+(L22-C13))*ABS(B13-B12),IF((L22-C12)&gt;0,0.5*(L22-C12)*ABS((B12+((L22-C12)/((L22-C12)-(L22-C13)))*(B13-B12))-B12),0.5*(L22-C13)*ABS(B13-(B12+((L22-C12)/((L22-C12)-(L22-C13)))*(B13-B12)))))))+(IF(AND((L22-C13)&lt;=0,(L22-C14)&lt;=0),0,IF(AND((L22-C13)&gt;=0,(L22-C14)&gt;=0),0.5*((L22-C13)+(L22-C14))*ABS(B14-B13),IF((L22-C13)&gt;0,0.5*(L22-C13)*ABS((B13+((L22-C13)/((L22-C13)-(L22-C14)))*(B14-B13))-B13),0.5*(L22-C14)*ABS(B14-(B13+((L22-C13)/((L22-C13)-(L22-C14)))*(B14-B13)))))))+(IF(AND((L22-C14)&lt;=0,(L22-C15)&lt;=0),0,IF(AND((L22-C14)&gt;=0,(L22-C15)&gt;=0),0.5*((L22-C14)+(L22-C15))*ABS(B15-B14),IF((L22-C14)&gt;0,0.5*(L22-C14)*ABS((B14+((L22-C14)/((L22-C14)-(L22-C15)))*(B15-B14))-B14),0.5*(L22-C15)*ABS(B15-(B14+((L22-C14)/((L22-C14)-(L22-C15)))*(B15-B14)))))))+(IF(AND((L22-C15)&lt;=0,(L22-C16)&lt;=0),0,IF(AND((L22-C15)&gt;=0,(L22-C16)&gt;=0),0.5*((L22-C15)+(L22-C16))*ABS(B16-B15),IF((L22-C15)&gt;0,0.5*(L22-C15)*ABS((B15+((L22-C15)/((L22-C15)-(L22-C16)))*(B16-B15))-B15),0.5*(L22-C16)*ABS(B16-(B15+((L22-C15)/((L22-C15)-(L22-C16)))*(B16-B15)))))))</f>
        <v/>
      </c>
      <c r="N22">
        <f>(IF(AND((L22-C9)&lt;=0,(L22-C10)&lt;=0),0,IF(AND((L22-C9)&gt;=0,(L22-C10)&gt;=0),SQRT((B10-B9)^2+(C10-C9)^2),IF((L22-C9)&gt;0,SQRT(((B9+((L22-C9)/((L22-C9)-(L22-C10)))*(B10-B9))-B9)^2+(L22-C9)^2),SQRT((B10-(B9+((L22-C9)/((L22-C9)-(L22-C10)))*(B10-B9)))^2+(L22-C10)^2)))))+(IF(AND((L22-C10)&lt;=0,(L22-C11)&lt;=0),0,IF(AND((L22-C10)&gt;=0,(L22-C11)&gt;=0),SQRT((B11-B10)^2+(C11-C10)^2),IF((L22-C10)&gt;0,SQRT(((B10+((L22-C10)/((L22-C10)-(L22-C11)))*(B11-B10))-B10)^2+(L22-C10)^2),SQRT((B11-(B10+((L22-C10)/((L22-C10)-(L22-C11)))*(B11-B10)))^2+(L22-C11)^2)))))+(IF(AND((L22-C11)&lt;=0,(L22-C12)&lt;=0),0,IF(AND((L22-C11)&gt;=0,(L22-C12)&gt;=0),SQRT((B12-B11)^2+(C12-C11)^2),IF((L22-C11)&gt;0,SQRT(((B11+((L22-C11)/((L22-C11)-(L22-C12)))*(B12-B11))-B11)^2+(L22-C11)^2),SQRT((B12-(B11+((L22-C11)/((L22-C11)-(L22-C12)))*(B12-B11)))^2+(L22-C12)^2)))))+(IF(AND((L22-C12)&lt;=0,(L22-C13)&lt;=0),0,IF(AND((L22-C12)&gt;=0,(L22-C13)&gt;=0),SQRT((B13-B12)^2+(C13-C12)^2),IF((L22-C12)&gt;0,SQRT(((B12+((L22-C12)/((L22-C12)-(L22-C13)))*(B13-B12))-B12)^2+(L22-C12)^2),SQRT((B13-(B12+((L22-C12)/((L22-C12)-(L22-C13)))*(B13-B12)))^2+(L22-C13)^2)))))+(IF(AND((L22-C13)&lt;=0,(L22-C14)&lt;=0),0,IF(AND((L22-C13)&gt;=0,(L22-C14)&gt;=0),SQRT((B14-B13)^2+(C14-C13)^2),IF((L22-C13)&gt;0,SQRT(((B13+((L22-C13)/((L22-C13)-(L22-C14)))*(B14-B13))-B13)^2+(L22-C13)^2),SQRT((B14-(B13+((L22-C13)/((L22-C13)-(L22-C14)))*(B14-B13)))^2+(L22-C14)^2)))))+(IF(AND((L22-C14)&lt;=0,(L22-C15)&lt;=0),0,IF(AND((L22-C14)&gt;=0,(L22-C15)&gt;=0),SQRT((B15-B14)^2+(C15-C14)^2),IF((L22-C14)&gt;0,SQRT(((B14+((L22-C14)/((L22-C14)-(L22-C15)))*(B15-B14))-B14)^2+(L22-C14)^2),SQRT((B15-(B14+((L22-C14)/((L22-C14)-(L22-C15)))*(B15-B14)))^2+(L22-C15)^2)))))+(IF(AND((L22-C15)&lt;=0,(L22-C16)&lt;=0),0,IF(AND((L22-C15)&gt;=0,(L22-C16)&gt;=0),SQRT((B16-B15)^2+(C16-C15)^2),IF((L22-C15)&gt;0,SQRT(((B15+((L22-C15)/((L22-C15)-(L22-C16)))*(B16-B15))-B15)^2+(L22-C15)^2),SQRT((B16-(B15+((L22-C15)/((L22-C15)-(L22-C16)))*(B16-B15)))^2+(L22-C16)^2)))))</f>
        <v/>
      </c>
      <c r="O22">
        <f>IF(OR($B$6&lt;=0,M22&lt;=0,N22&lt;=0,$B$4&lt;=0),0,(1/$B$6)*M22*((M22/N22)^(2/3))*SQRT($B$4))</f>
        <v/>
      </c>
    </row>
    <row r="23">
      <c r="A23" t="inlineStr">
        <is>
          <t>P (m)</t>
        </is>
      </c>
      <c r="B23" s="9">
        <f>G18</f>
        <v/>
      </c>
      <c r="I23" t="n">
        <v>15</v>
      </c>
      <c r="J23">
        <f>IF(O22&lt;$B$5,L22,J22)</f>
        <v/>
      </c>
      <c r="K23">
        <f>IF(O22&lt;$B$5,K22,L22)</f>
        <v/>
      </c>
      <c r="L23">
        <f>(J23+K23)/2</f>
        <v/>
      </c>
      <c r="M23">
        <f>(IF(AND((L23-C9)&lt;=0,(L23-C10)&lt;=0),0,IF(AND((L23-C9)&gt;=0,(L23-C10)&gt;=0),0.5*((L23-C9)+(L23-C10))*ABS(B10-B9),IF((L23-C9)&gt;0,0.5*(L23-C9)*ABS((B9+((L23-C9)/((L23-C9)-(L23-C10)))*(B10-B9))-B9),0.5*(L23-C10)*ABS(B10-(B9+((L23-C9)/((L23-C9)-(L23-C10)))*(B10-B9)))))))+(IF(AND((L23-C10)&lt;=0,(L23-C11)&lt;=0),0,IF(AND((L23-C10)&gt;=0,(L23-C11)&gt;=0),0.5*((L23-C10)+(L23-C11))*ABS(B11-B10),IF((L23-C10)&gt;0,0.5*(L23-C10)*ABS((B10+((L23-C10)/((L23-C10)-(L23-C11)))*(B11-B10))-B10),0.5*(L23-C11)*ABS(B11-(B10+((L23-C10)/((L23-C10)-(L23-C11)))*(B11-B10)))))))+(IF(AND((L23-C11)&lt;=0,(L23-C12)&lt;=0),0,IF(AND((L23-C11)&gt;=0,(L23-C12)&gt;=0),0.5*((L23-C11)+(L23-C12))*ABS(B12-B11),IF((L23-C11)&gt;0,0.5*(L23-C11)*ABS((B11+((L23-C11)/((L23-C11)-(L23-C12)))*(B12-B11))-B11),0.5*(L23-C12)*ABS(B12-(B11+((L23-C11)/((L23-C11)-(L23-C12)))*(B12-B11)))))))+(IF(AND((L23-C12)&lt;=0,(L23-C13)&lt;=0),0,IF(AND((L23-C12)&gt;=0,(L23-C13)&gt;=0),0.5*((L23-C12)+(L23-C13))*ABS(B13-B12),IF((L23-C12)&gt;0,0.5*(L23-C12)*ABS((B12+((L23-C12)/((L23-C12)-(L23-C13)))*(B13-B12))-B12),0.5*(L23-C13)*ABS(B13-(B12+((L23-C12)/((L23-C12)-(L23-C13)))*(B13-B12)))))))+(IF(AND((L23-C13)&lt;=0,(L23-C14)&lt;=0),0,IF(AND((L23-C13)&gt;=0,(L23-C14)&gt;=0),0.5*((L23-C13)+(L23-C14))*ABS(B14-B13),IF((L23-C13)&gt;0,0.5*(L23-C13)*ABS((B13+((L23-C13)/((L23-C13)-(L23-C14)))*(B14-B13))-B13),0.5*(L23-C14)*ABS(B14-(B13+((L23-C13)/((L23-C13)-(L23-C14)))*(B14-B13)))))))+(IF(AND((L23-C14)&lt;=0,(L23-C15)&lt;=0),0,IF(AND((L23-C14)&gt;=0,(L23-C15)&gt;=0),0.5*((L23-C14)+(L23-C15))*ABS(B15-B14),IF((L23-C14)&gt;0,0.5*(L23-C14)*ABS((B14+((L23-C14)/((L23-C14)-(L23-C15)))*(B15-B14))-B14),0.5*(L23-C15)*ABS(B15-(B14+((L23-C14)/((L23-C14)-(L23-C15)))*(B15-B14)))))))+(IF(AND((L23-C15)&lt;=0,(L23-C16)&lt;=0),0,IF(AND((L23-C15)&gt;=0,(L23-C16)&gt;=0),0.5*((L23-C15)+(L23-C16))*ABS(B16-B15),IF((L23-C15)&gt;0,0.5*(L23-C15)*ABS((B15+((L23-C15)/((L23-C15)-(L23-C16)))*(B16-B15))-B15),0.5*(L23-C16)*ABS(B16-(B15+((L23-C15)/((L23-C15)-(L23-C16)))*(B16-B15)))))))</f>
        <v/>
      </c>
      <c r="N23">
        <f>(IF(AND((L23-C9)&lt;=0,(L23-C10)&lt;=0),0,IF(AND((L23-C9)&gt;=0,(L23-C10)&gt;=0),SQRT((B10-B9)^2+(C10-C9)^2),IF((L23-C9)&gt;0,SQRT(((B9+((L23-C9)/((L23-C9)-(L23-C10)))*(B10-B9))-B9)^2+(L23-C9)^2),SQRT((B10-(B9+((L23-C9)/((L23-C9)-(L23-C10)))*(B10-B9)))^2+(L23-C10)^2)))))+(IF(AND((L23-C10)&lt;=0,(L23-C11)&lt;=0),0,IF(AND((L23-C10)&gt;=0,(L23-C11)&gt;=0),SQRT((B11-B10)^2+(C11-C10)^2),IF((L23-C10)&gt;0,SQRT(((B10+((L23-C10)/((L23-C10)-(L23-C11)))*(B11-B10))-B10)^2+(L23-C10)^2),SQRT((B11-(B10+((L23-C10)/((L23-C10)-(L23-C11)))*(B11-B10)))^2+(L23-C11)^2)))))+(IF(AND((L23-C11)&lt;=0,(L23-C12)&lt;=0),0,IF(AND((L23-C11)&gt;=0,(L23-C12)&gt;=0),SQRT((B12-B11)^2+(C12-C11)^2),IF((L23-C11)&gt;0,SQRT(((B11+((L23-C11)/((L23-C11)-(L23-C12)))*(B12-B11))-B11)^2+(L23-C11)^2),SQRT((B12-(B11+((L23-C11)/((L23-C11)-(L23-C12)))*(B12-B11)))^2+(L23-C12)^2)))))+(IF(AND((L23-C12)&lt;=0,(L23-C13)&lt;=0),0,IF(AND((L23-C12)&gt;=0,(L23-C13)&gt;=0),SQRT((B13-B12)^2+(C13-C12)^2),IF((L23-C12)&gt;0,SQRT(((B12+((L23-C12)/((L23-C12)-(L23-C13)))*(B13-B12))-B12)^2+(L23-C12)^2),SQRT((B13-(B12+((L23-C12)/((L23-C12)-(L23-C13)))*(B13-B12)))^2+(L23-C13)^2)))))+(IF(AND((L23-C13)&lt;=0,(L23-C14)&lt;=0),0,IF(AND((L23-C13)&gt;=0,(L23-C14)&gt;=0),SQRT((B14-B13)^2+(C14-C13)^2),IF((L23-C13)&gt;0,SQRT(((B13+((L23-C13)/((L23-C13)-(L23-C14)))*(B14-B13))-B13)^2+(L23-C13)^2),SQRT((B14-(B13+((L23-C13)/((L23-C13)-(L23-C14)))*(B14-B13)))^2+(L23-C14)^2)))))+(IF(AND((L23-C14)&lt;=0,(L23-C15)&lt;=0),0,IF(AND((L23-C14)&gt;=0,(L23-C15)&gt;=0),SQRT((B15-B14)^2+(C15-C14)^2),IF((L23-C14)&gt;0,SQRT(((B14+((L23-C14)/((L23-C14)-(L23-C15)))*(B15-B14))-B14)^2+(L23-C14)^2),SQRT((B15-(B14+((L23-C14)/((L23-C14)-(L23-C15)))*(B15-B14)))^2+(L23-C15)^2)))))+(IF(AND((L23-C15)&lt;=0,(L23-C16)&lt;=0),0,IF(AND((L23-C15)&gt;=0,(L23-C16)&gt;=0),SQRT((B16-B15)^2+(C16-C15)^2),IF((L23-C15)&gt;0,SQRT(((B15+((L23-C15)/((L23-C15)-(L23-C16)))*(B16-B15))-B15)^2+(L23-C15)^2),SQRT((B16-(B15+((L23-C15)/((L23-C15)-(L23-C16)))*(B16-B15)))^2+(L23-C16)^2)))))</f>
        <v/>
      </c>
      <c r="O23">
        <f>IF(OR($B$6&lt;=0,M23&lt;=0,N23&lt;=0,$B$4&lt;=0),0,(1/$B$6)*M23*((M23/N23)^(2/3))*SQRT($B$4))</f>
        <v/>
      </c>
    </row>
    <row r="24">
      <c r="A24" t="inlineStr">
        <is>
          <t>R = A/P (m)</t>
        </is>
      </c>
      <c r="B24">
        <f>IF(B23&gt;0,B22/B23,0)</f>
        <v/>
      </c>
      <c r="I24" t="n">
        <v>16</v>
      </c>
      <c r="J24">
        <f>IF(O23&lt;$B$5,L23,J23)</f>
        <v/>
      </c>
      <c r="K24">
        <f>IF(O23&lt;$B$5,K23,L23)</f>
        <v/>
      </c>
      <c r="L24">
        <f>(J24+K24)/2</f>
        <v/>
      </c>
      <c r="M24">
        <f>(IF(AND((L24-C9)&lt;=0,(L24-C10)&lt;=0),0,IF(AND((L24-C9)&gt;=0,(L24-C10)&gt;=0),0.5*((L24-C9)+(L24-C10))*ABS(B10-B9),IF((L24-C9)&gt;0,0.5*(L24-C9)*ABS((B9+((L24-C9)/((L24-C9)-(L24-C10)))*(B10-B9))-B9),0.5*(L24-C10)*ABS(B10-(B9+((L24-C9)/((L24-C9)-(L24-C10)))*(B10-B9)))))))+(IF(AND((L24-C10)&lt;=0,(L24-C11)&lt;=0),0,IF(AND((L24-C10)&gt;=0,(L24-C11)&gt;=0),0.5*((L24-C10)+(L24-C11))*ABS(B11-B10),IF((L24-C10)&gt;0,0.5*(L24-C10)*ABS((B10+((L24-C10)/((L24-C10)-(L24-C11)))*(B11-B10))-B10),0.5*(L24-C11)*ABS(B11-(B10+((L24-C10)/((L24-C10)-(L24-C11)))*(B11-B10)))))))+(IF(AND((L24-C11)&lt;=0,(L24-C12)&lt;=0),0,IF(AND((L24-C11)&gt;=0,(L24-C12)&gt;=0),0.5*((L24-C11)+(L24-C12))*ABS(B12-B11),IF((L24-C11)&gt;0,0.5*(L24-C11)*ABS((B11+((L24-C11)/((L24-C11)-(L24-C12)))*(B12-B11))-B11),0.5*(L24-C12)*ABS(B12-(B11+((L24-C11)/((L24-C11)-(L24-C12)))*(B12-B11)))))))+(IF(AND((L24-C12)&lt;=0,(L24-C13)&lt;=0),0,IF(AND((L24-C12)&gt;=0,(L24-C13)&gt;=0),0.5*((L24-C12)+(L24-C13))*ABS(B13-B12),IF((L24-C12)&gt;0,0.5*(L24-C12)*ABS((B12+((L24-C12)/((L24-C12)-(L24-C13)))*(B13-B12))-B12),0.5*(L24-C13)*ABS(B13-(B12+((L24-C12)/((L24-C12)-(L24-C13)))*(B13-B12)))))))+(IF(AND((L24-C13)&lt;=0,(L24-C14)&lt;=0),0,IF(AND((L24-C13)&gt;=0,(L24-C14)&gt;=0),0.5*((L24-C13)+(L24-C14))*ABS(B14-B13),IF((L24-C13)&gt;0,0.5*(L24-C13)*ABS((B13+((L24-C13)/((L24-C13)-(L24-C14)))*(B14-B13))-B13),0.5*(L24-C14)*ABS(B14-(B13+((L24-C13)/((L24-C13)-(L24-C14)))*(B14-B13)))))))+(IF(AND((L24-C14)&lt;=0,(L24-C15)&lt;=0),0,IF(AND((L24-C14)&gt;=0,(L24-C15)&gt;=0),0.5*((L24-C14)+(L24-C15))*ABS(B15-B14),IF((L24-C14)&gt;0,0.5*(L24-C14)*ABS((B14+((L24-C14)/((L24-C14)-(L24-C15)))*(B15-B14))-B14),0.5*(L24-C15)*ABS(B15-(B14+((L24-C14)/((L24-C14)-(L24-C15)))*(B15-B14)))))))+(IF(AND((L24-C15)&lt;=0,(L24-C16)&lt;=0),0,IF(AND((L24-C15)&gt;=0,(L24-C16)&gt;=0),0.5*((L24-C15)+(L24-C16))*ABS(B16-B15),IF((L24-C15)&gt;0,0.5*(L24-C15)*ABS((B15+((L24-C15)/((L24-C15)-(L24-C16)))*(B16-B15))-B15),0.5*(L24-C16)*ABS(B16-(B15+((L24-C15)/((L24-C15)-(L24-C16)))*(B16-B15)))))))</f>
        <v/>
      </c>
      <c r="N24">
        <f>(IF(AND((L24-C9)&lt;=0,(L24-C10)&lt;=0),0,IF(AND((L24-C9)&gt;=0,(L24-C10)&gt;=0),SQRT((B10-B9)^2+(C10-C9)^2),IF((L24-C9)&gt;0,SQRT(((B9+((L24-C9)/((L24-C9)-(L24-C10)))*(B10-B9))-B9)^2+(L24-C9)^2),SQRT((B10-(B9+((L24-C9)/((L24-C9)-(L24-C10)))*(B10-B9)))^2+(L24-C10)^2)))))+(IF(AND((L24-C10)&lt;=0,(L24-C11)&lt;=0),0,IF(AND((L24-C10)&gt;=0,(L24-C11)&gt;=0),SQRT((B11-B10)^2+(C11-C10)^2),IF((L24-C10)&gt;0,SQRT(((B10+((L24-C10)/((L24-C10)-(L24-C11)))*(B11-B10))-B10)^2+(L24-C10)^2),SQRT((B11-(B10+((L24-C10)/((L24-C10)-(L24-C11)))*(B11-B10)))^2+(L24-C11)^2)))))+(IF(AND((L24-C11)&lt;=0,(L24-C12)&lt;=0),0,IF(AND((L24-C11)&gt;=0,(L24-C12)&gt;=0),SQRT((B12-B11)^2+(C12-C11)^2),IF((L24-C11)&gt;0,SQRT(((B11+((L24-C11)/((L24-C11)-(L24-C12)))*(B12-B11))-B11)^2+(L24-C11)^2),SQRT((B12-(B11+((L24-C11)/((L24-C11)-(L24-C12)))*(B12-B11)))^2+(L24-C12)^2)))))+(IF(AND((L24-C12)&lt;=0,(L24-C13)&lt;=0),0,IF(AND((L24-C12)&gt;=0,(L24-C13)&gt;=0),SQRT((B13-B12)^2+(C13-C12)^2),IF((L24-C12)&gt;0,SQRT(((B12+((L24-C12)/((L24-C12)-(L24-C13)))*(B13-B12))-B12)^2+(L24-C12)^2),SQRT((B13-(B12+((L24-C12)/((L24-C12)-(L24-C13)))*(B13-B12)))^2+(L24-C13)^2)))))+(IF(AND((L24-C13)&lt;=0,(L24-C14)&lt;=0),0,IF(AND((L24-C13)&gt;=0,(L24-C14)&gt;=0),SQRT((B14-B13)^2+(C14-C13)^2),IF((L24-C13)&gt;0,SQRT(((B13+((L24-C13)/((L24-C13)-(L24-C14)))*(B14-B13))-B13)^2+(L24-C13)^2),SQRT((B14-(B13+((L24-C13)/((L24-C13)-(L24-C14)))*(B14-B13)))^2+(L24-C14)^2)))))+(IF(AND((L24-C14)&lt;=0,(L24-C15)&lt;=0),0,IF(AND((L24-C14)&gt;=0,(L24-C15)&gt;=0),SQRT((B15-B14)^2+(C15-C14)^2),IF((L24-C14)&gt;0,SQRT(((B14+((L24-C14)/((L24-C14)-(L24-C15)))*(B15-B14))-B14)^2+(L24-C14)^2),SQRT((B15-(B14+((L24-C14)/((L24-C14)-(L24-C15)))*(B15-B14)))^2+(L24-C15)^2)))))+(IF(AND((L24-C15)&lt;=0,(L24-C16)&lt;=0),0,IF(AND((L24-C15)&gt;=0,(L24-C16)&gt;=0),SQRT((B16-B15)^2+(C16-C15)^2),IF((L24-C15)&gt;0,SQRT(((B15+((L24-C15)/((L24-C15)-(L24-C16)))*(B16-B15))-B15)^2+(L24-C15)^2),SQRT((B16-(B15+((L24-C15)/((L24-C15)-(L24-C16)))*(B16-B15)))^2+(L24-C16)^2)))))</f>
        <v/>
      </c>
      <c r="O24">
        <f>IF(OR($B$6&lt;=0,M24&lt;=0,N24&lt;=0,$B$4&lt;=0),0,(1/$B$6)*M24*((M24/N24)^(2/3))*SQRT($B$4))</f>
        <v/>
      </c>
    </row>
    <row r="25">
      <c r="A25" t="inlineStr">
        <is>
          <t>Q_manning à WSE (m³/s)</t>
        </is>
      </c>
      <c r="B25">
        <f>IF(OR(B6&lt;=0,B22&lt;=0,B4&lt;=0),0,(1/B6)*B22*(B24^(2/3))*SQRT(B4))</f>
        <v/>
      </c>
      <c r="I25" t="n">
        <v>17</v>
      </c>
      <c r="J25">
        <f>IF(O24&lt;$B$5,L24,J24)</f>
        <v/>
      </c>
      <c r="K25">
        <f>IF(O24&lt;$B$5,K24,L24)</f>
        <v/>
      </c>
      <c r="L25">
        <f>(J25+K25)/2</f>
        <v/>
      </c>
      <c r="M25">
        <f>(IF(AND((L25-C9)&lt;=0,(L25-C10)&lt;=0),0,IF(AND((L25-C9)&gt;=0,(L25-C10)&gt;=0),0.5*((L25-C9)+(L25-C10))*ABS(B10-B9),IF((L25-C9)&gt;0,0.5*(L25-C9)*ABS((B9+((L25-C9)/((L25-C9)-(L25-C10)))*(B10-B9))-B9),0.5*(L25-C10)*ABS(B10-(B9+((L25-C9)/((L25-C9)-(L25-C10)))*(B10-B9)))))))+(IF(AND((L25-C10)&lt;=0,(L25-C11)&lt;=0),0,IF(AND((L25-C10)&gt;=0,(L25-C11)&gt;=0),0.5*((L25-C10)+(L25-C11))*ABS(B11-B10),IF((L25-C10)&gt;0,0.5*(L25-C10)*ABS((B10+((L25-C10)/((L25-C10)-(L25-C11)))*(B11-B10))-B10),0.5*(L25-C11)*ABS(B11-(B10+((L25-C10)/((L25-C10)-(L25-C11)))*(B11-B10)))))))+(IF(AND((L25-C11)&lt;=0,(L25-C12)&lt;=0),0,IF(AND((L25-C11)&gt;=0,(L25-C12)&gt;=0),0.5*((L25-C11)+(L25-C12))*ABS(B12-B11),IF((L25-C11)&gt;0,0.5*(L25-C11)*ABS((B11+((L25-C11)/((L25-C11)-(L25-C12)))*(B12-B11))-B11),0.5*(L25-C12)*ABS(B12-(B11+((L25-C11)/((L25-C11)-(L25-C12)))*(B12-B11)))))))+(IF(AND((L25-C12)&lt;=0,(L25-C13)&lt;=0),0,IF(AND((L25-C12)&gt;=0,(L25-C13)&gt;=0),0.5*((L25-C12)+(L25-C13))*ABS(B13-B12),IF((L25-C12)&gt;0,0.5*(L25-C12)*ABS((B12+((L25-C12)/((L25-C12)-(L25-C13)))*(B13-B12))-B12),0.5*(L25-C13)*ABS(B13-(B12+((L25-C12)/((L25-C12)-(L25-C13)))*(B13-B12)))))))+(IF(AND((L25-C13)&lt;=0,(L25-C14)&lt;=0),0,IF(AND((L25-C13)&gt;=0,(L25-C14)&gt;=0),0.5*((L25-C13)+(L25-C14))*ABS(B14-B13),IF((L25-C13)&gt;0,0.5*(L25-C13)*ABS((B13+((L25-C13)/((L25-C13)-(L25-C14)))*(B14-B13))-B13),0.5*(L25-C14)*ABS(B14-(B13+((L25-C13)/((L25-C13)-(L25-C14)))*(B14-B13)))))))+(IF(AND((L25-C14)&lt;=0,(L25-C15)&lt;=0),0,IF(AND((L25-C14)&gt;=0,(L25-C15)&gt;=0),0.5*((L25-C14)+(L25-C15))*ABS(B15-B14),IF((L25-C14)&gt;0,0.5*(L25-C14)*ABS((B14+((L25-C14)/((L25-C14)-(L25-C15)))*(B15-B14))-B14),0.5*(L25-C15)*ABS(B15-(B14+((L25-C14)/((L25-C14)-(L25-C15)))*(B15-B14)))))))+(IF(AND((L25-C15)&lt;=0,(L25-C16)&lt;=0),0,IF(AND((L25-C15)&gt;=0,(L25-C16)&gt;=0),0.5*((L25-C15)+(L25-C16))*ABS(B16-B15),IF((L25-C15)&gt;0,0.5*(L25-C15)*ABS((B15+((L25-C15)/((L25-C15)-(L25-C16)))*(B16-B15))-B15),0.5*(L25-C16)*ABS(B16-(B15+((L25-C15)/((L25-C15)-(L25-C16)))*(B16-B15)))))))</f>
        <v/>
      </c>
      <c r="N25">
        <f>(IF(AND((L25-C9)&lt;=0,(L25-C10)&lt;=0),0,IF(AND((L25-C9)&gt;=0,(L25-C10)&gt;=0),SQRT((B10-B9)^2+(C10-C9)^2),IF((L25-C9)&gt;0,SQRT(((B9+((L25-C9)/((L25-C9)-(L25-C10)))*(B10-B9))-B9)^2+(L25-C9)^2),SQRT((B10-(B9+((L25-C9)/((L25-C9)-(L25-C10)))*(B10-B9)))^2+(L25-C10)^2)))))+(IF(AND((L25-C10)&lt;=0,(L25-C11)&lt;=0),0,IF(AND((L25-C10)&gt;=0,(L25-C11)&gt;=0),SQRT((B11-B10)^2+(C11-C10)^2),IF((L25-C10)&gt;0,SQRT(((B10+((L25-C10)/((L25-C10)-(L25-C11)))*(B11-B10))-B10)^2+(L25-C10)^2),SQRT((B11-(B10+((L25-C10)/((L25-C10)-(L25-C11)))*(B11-B10)))^2+(L25-C11)^2)))))+(IF(AND((L25-C11)&lt;=0,(L25-C12)&lt;=0),0,IF(AND((L25-C11)&gt;=0,(L25-C12)&gt;=0),SQRT((B12-B11)^2+(C12-C11)^2),IF((L25-C11)&gt;0,SQRT(((B11+((L25-C11)/((L25-C11)-(L25-C12)))*(B12-B11))-B11)^2+(L25-C11)^2),SQRT((B12-(B11+((L25-C11)/((L25-C11)-(L25-C12)))*(B12-B11)))^2+(L25-C12)^2)))))+(IF(AND((L25-C12)&lt;=0,(L25-C13)&lt;=0),0,IF(AND((L25-C12)&gt;=0,(L25-C13)&gt;=0),SQRT((B13-B12)^2+(C13-C12)^2),IF((L25-C12)&gt;0,SQRT(((B12+((L25-C12)/((L25-C12)-(L25-C13)))*(B13-B12))-B12)^2+(L25-C12)^2),SQRT((B13-(B12+((L25-C12)/((L25-C12)-(L25-C13)))*(B13-B12)))^2+(L25-C13)^2)))))+(IF(AND((L25-C13)&lt;=0,(L25-C14)&lt;=0),0,IF(AND((L25-C13)&gt;=0,(L25-C14)&gt;=0),SQRT((B14-B13)^2+(C14-C13)^2),IF((L25-C13)&gt;0,SQRT(((B13+((L25-C13)/((L25-C13)-(L25-C14)))*(B14-B13))-B13)^2+(L25-C13)^2),SQRT((B14-(B13+((L25-C13)/((L25-C13)-(L25-C14)))*(B14-B13)))^2+(L25-C14)^2)))))+(IF(AND((L25-C14)&lt;=0,(L25-C15)&lt;=0),0,IF(AND((L25-C14)&gt;=0,(L25-C15)&gt;=0),SQRT((B15-B14)^2+(C15-C14)^2),IF((L25-C14)&gt;0,SQRT(((B14+((L25-C14)/((L25-C14)-(L25-C15)))*(B15-B14))-B14)^2+(L25-C14)^2),SQRT((B15-(B14+((L25-C14)/((L25-C14)-(L25-C15)))*(B15-B14)))^2+(L25-C15)^2)))))+(IF(AND((L25-C15)&lt;=0,(L25-C16)&lt;=0),0,IF(AND((L25-C15)&gt;=0,(L25-C16)&gt;=0),SQRT((B16-B15)^2+(C16-C15)^2),IF((L25-C15)&gt;0,SQRT(((B15+((L25-C15)/((L25-C15)-(L25-C16)))*(B16-B15))-B15)^2+(L25-C15)^2),SQRT((B16-(B15+((L25-C15)/((L25-C15)-(L25-C16)))*(B16-B15)))^2+(L25-C16)^2)))))</f>
        <v/>
      </c>
      <c r="O25">
        <f>IF(OR($B$6&lt;=0,M25&lt;=0,N25&lt;=0,$B$4&lt;=0),0,(1/$B$6)*M25*((M25/N25)^(2/3))*SQRT($B$4))</f>
        <v/>
      </c>
    </row>
    <row r="26">
      <c r="A26" t="inlineStr">
        <is>
          <t>V = Q/A (m/s)</t>
        </is>
      </c>
      <c r="B26" s="19">
        <f>IF(B22&gt;0,B5/B22,0)</f>
        <v/>
      </c>
      <c r="I26" t="n">
        <v>18</v>
      </c>
      <c r="J26">
        <f>IF(O25&lt;$B$5,L25,J25)</f>
        <v/>
      </c>
      <c r="K26">
        <f>IF(O25&lt;$B$5,K25,L25)</f>
        <v/>
      </c>
      <c r="L26">
        <f>(J26+K26)/2</f>
        <v/>
      </c>
      <c r="M26">
        <f>(IF(AND((L26-C9)&lt;=0,(L26-C10)&lt;=0),0,IF(AND((L26-C9)&gt;=0,(L26-C10)&gt;=0),0.5*((L26-C9)+(L26-C10))*ABS(B10-B9),IF((L26-C9)&gt;0,0.5*(L26-C9)*ABS((B9+((L26-C9)/((L26-C9)-(L26-C10)))*(B10-B9))-B9),0.5*(L26-C10)*ABS(B10-(B9+((L26-C9)/((L26-C9)-(L26-C10)))*(B10-B9)))))))+(IF(AND((L26-C10)&lt;=0,(L26-C11)&lt;=0),0,IF(AND((L26-C10)&gt;=0,(L26-C11)&gt;=0),0.5*((L26-C10)+(L26-C11))*ABS(B11-B10),IF((L26-C10)&gt;0,0.5*(L26-C10)*ABS((B10+((L26-C10)/((L26-C10)-(L26-C11)))*(B11-B10))-B10),0.5*(L26-C11)*ABS(B11-(B10+((L26-C10)/((L26-C10)-(L26-C11)))*(B11-B10)))))))+(IF(AND((L26-C11)&lt;=0,(L26-C12)&lt;=0),0,IF(AND((L26-C11)&gt;=0,(L26-C12)&gt;=0),0.5*((L26-C11)+(L26-C12))*ABS(B12-B11),IF((L26-C11)&gt;0,0.5*(L26-C11)*ABS((B11+((L26-C11)/((L26-C11)-(L26-C12)))*(B12-B11))-B11),0.5*(L26-C12)*ABS(B12-(B11+((L26-C11)/((L26-C11)-(L26-C12)))*(B12-B11)))))))+(IF(AND((L26-C12)&lt;=0,(L26-C13)&lt;=0),0,IF(AND((L26-C12)&gt;=0,(L26-C13)&gt;=0),0.5*((L26-C12)+(L26-C13))*ABS(B13-B12),IF((L26-C12)&gt;0,0.5*(L26-C12)*ABS((B12+((L26-C12)/((L26-C12)-(L26-C13)))*(B13-B12))-B12),0.5*(L26-C13)*ABS(B13-(B12+((L26-C12)/((L26-C12)-(L26-C13)))*(B13-B12)))))))+(IF(AND((L26-C13)&lt;=0,(L26-C14)&lt;=0),0,IF(AND((L26-C13)&gt;=0,(L26-C14)&gt;=0),0.5*((L26-C13)+(L26-C14))*ABS(B14-B13),IF((L26-C13)&gt;0,0.5*(L26-C13)*ABS((B13+((L26-C13)/((L26-C13)-(L26-C14)))*(B14-B13))-B13),0.5*(L26-C14)*ABS(B14-(B13+((L26-C13)/((L26-C13)-(L26-C14)))*(B14-B13)))))))+(IF(AND((L26-C14)&lt;=0,(L26-C15)&lt;=0),0,IF(AND((L26-C14)&gt;=0,(L26-C15)&gt;=0),0.5*((L26-C14)+(L26-C15))*ABS(B15-B14),IF((L26-C14)&gt;0,0.5*(L26-C14)*ABS((B14+((L26-C14)/((L26-C14)-(L26-C15)))*(B15-B14))-B14),0.5*(L26-C15)*ABS(B15-(B14+((L26-C14)/((L26-C14)-(L26-C15)))*(B15-B14)))))))+(IF(AND((L26-C15)&lt;=0,(L26-C16)&lt;=0),0,IF(AND((L26-C15)&gt;=0,(L26-C16)&gt;=0),0.5*((L26-C15)+(L26-C16))*ABS(B16-B15),IF((L26-C15)&gt;0,0.5*(L26-C15)*ABS((B15+((L26-C15)/((L26-C15)-(L26-C16)))*(B16-B15))-B15),0.5*(L26-C16)*ABS(B16-(B15+((L26-C15)/((L26-C15)-(L26-C16)))*(B16-B15)))))))</f>
        <v/>
      </c>
      <c r="N26">
        <f>(IF(AND((L26-C9)&lt;=0,(L26-C10)&lt;=0),0,IF(AND((L26-C9)&gt;=0,(L26-C10)&gt;=0),SQRT((B10-B9)^2+(C10-C9)^2),IF((L26-C9)&gt;0,SQRT(((B9+((L26-C9)/((L26-C9)-(L26-C10)))*(B10-B9))-B9)^2+(L26-C9)^2),SQRT((B10-(B9+((L26-C9)/((L26-C9)-(L26-C10)))*(B10-B9)))^2+(L26-C10)^2)))))+(IF(AND((L26-C10)&lt;=0,(L26-C11)&lt;=0),0,IF(AND((L26-C10)&gt;=0,(L26-C11)&gt;=0),SQRT((B11-B10)^2+(C11-C10)^2),IF((L26-C10)&gt;0,SQRT(((B10+((L26-C10)/((L26-C10)-(L26-C11)))*(B11-B10))-B10)^2+(L26-C10)^2),SQRT((B11-(B10+((L26-C10)/((L26-C10)-(L26-C11)))*(B11-B10)))^2+(L26-C11)^2)))))+(IF(AND((L26-C11)&lt;=0,(L26-C12)&lt;=0),0,IF(AND((L26-C11)&gt;=0,(L26-C12)&gt;=0),SQRT((B12-B11)^2+(C12-C11)^2),IF((L26-C11)&gt;0,SQRT(((B11+((L26-C11)/((L26-C11)-(L26-C12)))*(B12-B11))-B11)^2+(L26-C11)^2),SQRT((B12-(B11+((L26-C11)/((L26-C11)-(L26-C12)))*(B12-B11)))^2+(L26-C12)^2)))))+(IF(AND((L26-C12)&lt;=0,(L26-C13)&lt;=0),0,IF(AND((L26-C12)&gt;=0,(L26-C13)&gt;=0),SQRT((B13-B12)^2+(C13-C12)^2),IF((L26-C12)&gt;0,SQRT(((B12+((L26-C12)/((L26-C12)-(L26-C13)))*(B13-B12))-B12)^2+(L26-C12)^2),SQRT((B13-(B12+((L26-C12)/((L26-C12)-(L26-C13)))*(B13-B12)))^2+(L26-C13)^2)))))+(IF(AND((L26-C13)&lt;=0,(L26-C14)&lt;=0),0,IF(AND((L26-C13)&gt;=0,(L26-C14)&gt;=0),SQRT((B14-B13)^2+(C14-C13)^2),IF((L26-C13)&gt;0,SQRT(((B13+((L26-C13)/((L26-C13)-(L26-C14)))*(B14-B13))-B13)^2+(L26-C13)^2),SQRT((B14-(B13+((L26-C13)/((L26-C13)-(L26-C14)))*(B14-B13)))^2+(L26-C14)^2)))))+(IF(AND((L26-C14)&lt;=0,(L26-C15)&lt;=0),0,IF(AND((L26-C14)&gt;=0,(L26-C15)&gt;=0),SQRT((B15-B14)^2+(C15-C14)^2),IF((L26-C14)&gt;0,SQRT(((B14+((L26-C14)/((L26-C14)-(L26-C15)))*(B15-B14))-B14)^2+(L26-C14)^2),SQRT((B15-(B14+((L26-C14)/((L26-C14)-(L26-C15)))*(B15-B14)))^2+(L26-C15)^2)))))+(IF(AND((L26-C15)&lt;=0,(L26-C16)&lt;=0),0,IF(AND((L26-C15)&gt;=0,(L26-C16)&gt;=0),SQRT((B16-B15)^2+(C16-C15)^2),IF((L26-C15)&gt;0,SQRT(((B15+((L26-C15)/((L26-C15)-(L26-C16)))*(B16-B15))-B15)^2+(L26-C15)^2),SQRT((B16-(B15+((L26-C15)/((L26-C15)-(L26-C16)))*(B16-B15)))^2+(L26-C16)^2)))))</f>
        <v/>
      </c>
      <c r="O26">
        <f>IF(OR($B$6&lt;=0,M26&lt;=0,N26&lt;=0,$B$4&lt;=0),0,(1/$B$6)*M26*((M26/N26)^(2/3))*SQRT($B$4))</f>
        <v/>
      </c>
    </row>
    <row r="27">
      <c r="A27" t="inlineStr">
        <is>
          <t>Écart Q_manning − Q</t>
        </is>
      </c>
      <c r="B27" s="20">
        <f>B25-B5</f>
        <v/>
      </c>
      <c r="I27" t="n">
        <v>19</v>
      </c>
      <c r="J27">
        <f>IF(O26&lt;$B$5,L26,J26)</f>
        <v/>
      </c>
      <c r="K27">
        <f>IF(O26&lt;$B$5,K26,L26)</f>
        <v/>
      </c>
      <c r="L27">
        <f>(J27+K27)/2</f>
        <v/>
      </c>
      <c r="M27">
        <f>(IF(AND((L27-C9)&lt;=0,(L27-C10)&lt;=0),0,IF(AND((L27-C9)&gt;=0,(L27-C10)&gt;=0),0.5*((L27-C9)+(L27-C10))*ABS(B10-B9),IF((L27-C9)&gt;0,0.5*(L27-C9)*ABS((B9+((L27-C9)/((L27-C9)-(L27-C10)))*(B10-B9))-B9),0.5*(L27-C10)*ABS(B10-(B9+((L27-C9)/((L27-C9)-(L27-C10)))*(B10-B9)))))))+(IF(AND((L27-C10)&lt;=0,(L27-C11)&lt;=0),0,IF(AND((L27-C10)&gt;=0,(L27-C11)&gt;=0),0.5*((L27-C10)+(L27-C11))*ABS(B11-B10),IF((L27-C10)&gt;0,0.5*(L27-C10)*ABS((B10+((L27-C10)/((L27-C10)-(L27-C11)))*(B11-B10))-B10),0.5*(L27-C11)*ABS(B11-(B10+((L27-C10)/((L27-C10)-(L27-C11)))*(B11-B10)))))))+(IF(AND((L27-C11)&lt;=0,(L27-C12)&lt;=0),0,IF(AND((L27-C11)&gt;=0,(L27-C12)&gt;=0),0.5*((L27-C11)+(L27-C12))*ABS(B12-B11),IF((L27-C11)&gt;0,0.5*(L27-C11)*ABS((B11+((L27-C11)/((L27-C11)-(L27-C12)))*(B12-B11))-B11),0.5*(L27-C12)*ABS(B12-(B11+((L27-C11)/((L27-C11)-(L27-C12)))*(B12-B11)))))))+(IF(AND((L27-C12)&lt;=0,(L27-C13)&lt;=0),0,IF(AND((L27-C12)&gt;=0,(L27-C13)&gt;=0),0.5*((L27-C12)+(L27-C13))*ABS(B13-B12),IF((L27-C12)&gt;0,0.5*(L27-C12)*ABS((B12+((L27-C12)/((L27-C12)-(L27-C13)))*(B13-B12))-B12),0.5*(L27-C13)*ABS(B13-(B12+((L27-C12)/((L27-C12)-(L27-C13)))*(B13-B12)))))))+(IF(AND((L27-C13)&lt;=0,(L27-C14)&lt;=0),0,IF(AND((L27-C13)&gt;=0,(L27-C14)&gt;=0),0.5*((L27-C13)+(L27-C14))*ABS(B14-B13),IF((L27-C13)&gt;0,0.5*(L27-C13)*ABS((B13+((L27-C13)/((L27-C13)-(L27-C14)))*(B14-B13))-B13),0.5*(L27-C14)*ABS(B14-(B13+((L27-C13)/((L27-C13)-(L27-C14)))*(B14-B13)))))))+(IF(AND((L27-C14)&lt;=0,(L27-C15)&lt;=0),0,IF(AND((L27-C14)&gt;=0,(L27-C15)&gt;=0),0.5*((L27-C14)+(L27-C15))*ABS(B15-B14),IF((L27-C14)&gt;0,0.5*(L27-C14)*ABS((B14+((L27-C14)/((L27-C14)-(L27-C15)))*(B15-B14))-B14),0.5*(L27-C15)*ABS(B15-(B14+((L27-C14)/((L27-C14)-(L27-C15)))*(B15-B14)))))))+(IF(AND((L27-C15)&lt;=0,(L27-C16)&lt;=0),0,IF(AND((L27-C15)&gt;=0,(L27-C16)&gt;=0),0.5*((L27-C15)+(L27-C16))*ABS(B16-B15),IF((L27-C15)&gt;0,0.5*(L27-C15)*ABS((B15+((L27-C15)/((L27-C15)-(L27-C16)))*(B16-B15))-B15),0.5*(L27-C16)*ABS(B16-(B15+((L27-C15)/((L27-C15)-(L27-C16)))*(B16-B15)))))))</f>
        <v/>
      </c>
      <c r="N27">
        <f>(IF(AND((L27-C9)&lt;=0,(L27-C10)&lt;=0),0,IF(AND((L27-C9)&gt;=0,(L27-C10)&gt;=0),SQRT((B10-B9)^2+(C10-C9)^2),IF((L27-C9)&gt;0,SQRT(((B9+((L27-C9)/((L27-C9)-(L27-C10)))*(B10-B9))-B9)^2+(L27-C9)^2),SQRT((B10-(B9+((L27-C9)/((L27-C9)-(L27-C10)))*(B10-B9)))^2+(L27-C10)^2)))))+(IF(AND((L27-C10)&lt;=0,(L27-C11)&lt;=0),0,IF(AND((L27-C10)&gt;=0,(L27-C11)&gt;=0),SQRT((B11-B10)^2+(C11-C10)^2),IF((L27-C10)&gt;0,SQRT(((B10+((L27-C10)/((L27-C10)-(L27-C11)))*(B11-B10))-B10)^2+(L27-C10)^2),SQRT((B11-(B10+((L27-C10)/((L27-C10)-(L27-C11)))*(B11-B10)))^2+(L27-C11)^2)))))+(IF(AND((L27-C11)&lt;=0,(L27-C12)&lt;=0),0,IF(AND((L27-C11)&gt;=0,(L27-C12)&gt;=0),SQRT((B12-B11)^2+(C12-C11)^2),IF((L27-C11)&gt;0,SQRT(((B11+((L27-C11)/((L27-C11)-(L27-C12)))*(B12-B11))-B11)^2+(L27-C11)^2),SQRT((B12-(B11+((L27-C11)/((L27-C11)-(L27-C12)))*(B12-B11)))^2+(L27-C12)^2)))))+(IF(AND((L27-C12)&lt;=0,(L27-C13)&lt;=0),0,IF(AND((L27-C12)&gt;=0,(L27-C13)&gt;=0),SQRT((B13-B12)^2+(C13-C12)^2),IF((L27-C12)&gt;0,SQRT(((B12+((L27-C12)/((L27-C12)-(L27-C13)))*(B13-B12))-B12)^2+(L27-C12)^2),SQRT((B13-(B12+((L27-C12)/((L27-C12)-(L27-C13)))*(B13-B12)))^2+(L27-C13)^2)))))+(IF(AND((L27-C13)&lt;=0,(L27-C14)&lt;=0),0,IF(AND((L27-C13)&gt;=0,(L27-C14)&gt;=0),SQRT((B14-B13)^2+(C14-C13)^2),IF((L27-C13)&gt;0,SQRT(((B13+((L27-C13)/((L27-C13)-(L27-C14)))*(B14-B13))-B13)^2+(L27-C13)^2),SQRT((B14-(B13+((L27-C13)/((L27-C13)-(L27-C14)))*(B14-B13)))^2+(L27-C14)^2)))))+(IF(AND((L27-C14)&lt;=0,(L27-C15)&lt;=0),0,IF(AND((L27-C14)&gt;=0,(L27-C15)&gt;=0),SQRT((B15-B14)^2+(C15-C14)^2),IF((L27-C14)&gt;0,SQRT(((B14+((L27-C14)/((L27-C14)-(L27-C15)))*(B15-B14))-B14)^2+(L27-C14)^2),SQRT((B15-(B14+((L27-C14)/((L27-C14)-(L27-C15)))*(B15-B14)))^2+(L27-C15)^2)))))+(IF(AND((L27-C15)&lt;=0,(L27-C16)&lt;=0),0,IF(AND((L27-C15)&gt;=0,(L27-C16)&gt;=0),SQRT((B16-B15)^2+(C16-C15)^2),IF((L27-C15)&gt;0,SQRT(((B15+((L27-C15)/((L27-C15)-(L27-C16)))*(B16-B15))-B15)^2+(L27-C15)^2),SQRT((B16-(B15+((L27-C15)/((L27-C15)-(L27-C16)))*(B16-B15)))^2+(L27-C16)^2)))))</f>
        <v/>
      </c>
      <c r="O27">
        <f>IF(OR($B$6&lt;=0,M27&lt;=0,N27&lt;=0,$B$4&lt;=0),0,(1/$B$6)*M27*((M27/N27)^(2/3))*SQRT($B$4))</f>
        <v/>
      </c>
    </row>
    <row r="28">
      <c r="A28" t="inlineStr">
        <is>
          <t>Note</t>
        </is>
      </c>
      <c r="B28" t="inlineStr">
        <is>
          <t>Changer Q (B5) ou n (B6) → WSE, A, V se recalculent seuls. S0 vient du longitudinal.</t>
        </is>
      </c>
      <c r="I28" t="n">
        <v>20</v>
      </c>
      <c r="J28">
        <f>IF(O27&lt;$B$5,L27,J27)</f>
        <v/>
      </c>
      <c r="K28">
        <f>IF(O27&lt;$B$5,K27,L27)</f>
        <v/>
      </c>
      <c r="L28">
        <f>(J28+K28)/2</f>
        <v/>
      </c>
      <c r="M28">
        <f>(IF(AND((L28-C9)&lt;=0,(L28-C10)&lt;=0),0,IF(AND((L28-C9)&gt;=0,(L28-C10)&gt;=0),0.5*((L28-C9)+(L28-C10))*ABS(B10-B9),IF((L28-C9)&gt;0,0.5*(L28-C9)*ABS((B9+((L28-C9)/((L28-C9)-(L28-C10)))*(B10-B9))-B9),0.5*(L28-C10)*ABS(B10-(B9+((L28-C9)/((L28-C9)-(L28-C10)))*(B10-B9)))))))+(IF(AND((L28-C10)&lt;=0,(L28-C11)&lt;=0),0,IF(AND((L28-C10)&gt;=0,(L28-C11)&gt;=0),0.5*((L28-C10)+(L28-C11))*ABS(B11-B10),IF((L28-C10)&gt;0,0.5*(L28-C10)*ABS((B10+((L28-C10)/((L28-C10)-(L28-C11)))*(B11-B10))-B10),0.5*(L28-C11)*ABS(B11-(B10+((L28-C10)/((L28-C10)-(L28-C11)))*(B11-B10)))))))+(IF(AND((L28-C11)&lt;=0,(L28-C12)&lt;=0),0,IF(AND((L28-C11)&gt;=0,(L28-C12)&gt;=0),0.5*((L28-C11)+(L28-C12))*ABS(B12-B11),IF((L28-C11)&gt;0,0.5*(L28-C11)*ABS((B11+((L28-C11)/((L28-C11)-(L28-C12)))*(B12-B11))-B11),0.5*(L28-C12)*ABS(B12-(B11+((L28-C11)/((L28-C11)-(L28-C12)))*(B12-B11)))))))+(IF(AND((L28-C12)&lt;=0,(L28-C13)&lt;=0),0,IF(AND((L28-C12)&gt;=0,(L28-C13)&gt;=0),0.5*((L28-C12)+(L28-C13))*ABS(B13-B12),IF((L28-C12)&gt;0,0.5*(L28-C12)*ABS((B12+((L28-C12)/((L28-C12)-(L28-C13)))*(B13-B12))-B12),0.5*(L28-C13)*ABS(B13-(B12+((L28-C12)/((L28-C12)-(L28-C13)))*(B13-B12)))))))+(IF(AND((L28-C13)&lt;=0,(L28-C14)&lt;=0),0,IF(AND((L28-C13)&gt;=0,(L28-C14)&gt;=0),0.5*((L28-C13)+(L28-C14))*ABS(B14-B13),IF((L28-C13)&gt;0,0.5*(L28-C13)*ABS((B13+((L28-C13)/((L28-C13)-(L28-C14)))*(B14-B13))-B13),0.5*(L28-C14)*ABS(B14-(B13+((L28-C13)/((L28-C13)-(L28-C14)))*(B14-B13)))))))+(IF(AND((L28-C14)&lt;=0,(L28-C15)&lt;=0),0,IF(AND((L28-C14)&gt;=0,(L28-C15)&gt;=0),0.5*((L28-C14)+(L28-C15))*ABS(B15-B14),IF((L28-C14)&gt;0,0.5*(L28-C14)*ABS((B14+((L28-C14)/((L28-C14)-(L28-C15)))*(B15-B14))-B14),0.5*(L28-C15)*ABS(B15-(B14+((L28-C14)/((L28-C14)-(L28-C15)))*(B15-B14)))))))+(IF(AND((L28-C15)&lt;=0,(L28-C16)&lt;=0),0,IF(AND((L28-C15)&gt;=0,(L28-C16)&gt;=0),0.5*((L28-C15)+(L28-C16))*ABS(B16-B15),IF((L28-C15)&gt;0,0.5*(L28-C15)*ABS((B15+((L28-C15)/((L28-C15)-(L28-C16)))*(B16-B15))-B15),0.5*(L28-C16)*ABS(B16-(B15+((L28-C15)/((L28-C15)-(L28-C16)))*(B16-B15)))))))</f>
        <v/>
      </c>
      <c r="N28">
        <f>(IF(AND((L28-C9)&lt;=0,(L28-C10)&lt;=0),0,IF(AND((L28-C9)&gt;=0,(L28-C10)&gt;=0),SQRT((B10-B9)^2+(C10-C9)^2),IF((L28-C9)&gt;0,SQRT(((B9+((L28-C9)/((L28-C9)-(L28-C10)))*(B10-B9))-B9)^2+(L28-C9)^2),SQRT((B10-(B9+((L28-C9)/((L28-C9)-(L28-C10)))*(B10-B9)))^2+(L28-C10)^2)))))+(IF(AND((L28-C10)&lt;=0,(L28-C11)&lt;=0),0,IF(AND((L28-C10)&gt;=0,(L28-C11)&gt;=0),SQRT((B11-B10)^2+(C11-C10)^2),IF((L28-C10)&gt;0,SQRT(((B10+((L28-C10)/((L28-C10)-(L28-C11)))*(B11-B10))-B10)^2+(L28-C10)^2),SQRT((B11-(B10+((L28-C10)/((L28-C10)-(L28-C11)))*(B11-B10)))^2+(L28-C11)^2)))))+(IF(AND((L28-C11)&lt;=0,(L28-C12)&lt;=0),0,IF(AND((L28-C11)&gt;=0,(L28-C12)&gt;=0),SQRT((B12-B11)^2+(C12-C11)^2),IF((L28-C11)&gt;0,SQRT(((B11+((L28-C11)/((L28-C11)-(L28-C12)))*(B12-B11))-B11)^2+(L28-C11)^2),SQRT((B12-(B11+((L28-C11)/((L28-C11)-(L28-C12)))*(B12-B11)))^2+(L28-C12)^2)))))+(IF(AND((L28-C12)&lt;=0,(L28-C13)&lt;=0),0,IF(AND((L28-C12)&gt;=0,(L28-C13)&gt;=0),SQRT((B13-B12)^2+(C13-C12)^2),IF((L28-C12)&gt;0,SQRT(((B12+((L28-C12)/((L28-C12)-(L28-C13)))*(B13-B12))-B12)^2+(L28-C12)^2),SQRT((B13-(B12+((L28-C12)/((L28-C12)-(L28-C13)))*(B13-B12)))^2+(L28-C13)^2)))))+(IF(AND((L28-C13)&lt;=0,(L28-C14)&lt;=0),0,IF(AND((L28-C13)&gt;=0,(L28-C14)&gt;=0),SQRT((B14-B13)^2+(C14-C13)^2),IF((L28-C13)&gt;0,SQRT(((B13+((L28-C13)/((L28-C13)-(L28-C14)))*(B14-B13))-B13)^2+(L28-C13)^2),SQRT((B14-(B13+((L28-C13)/((L28-C13)-(L28-C14)))*(B14-B13)))^2+(L28-C14)^2)))))+(IF(AND((L28-C14)&lt;=0,(L28-C15)&lt;=0),0,IF(AND((L28-C14)&gt;=0,(L28-C15)&gt;=0),SQRT((B15-B14)^2+(C15-C14)^2),IF((L28-C14)&gt;0,SQRT(((B14+((L28-C14)/((L28-C14)-(L28-C15)))*(B15-B14))-B14)^2+(L28-C14)^2),SQRT((B15-(B14+((L28-C14)/((L28-C14)-(L28-C15)))*(B15-B14)))^2+(L28-C15)^2)))))+(IF(AND((L28-C15)&lt;=0,(L28-C16)&lt;=0),0,IF(AND((L28-C15)&gt;=0,(L28-C16)&gt;=0),SQRT((B16-B15)^2+(C16-C15)^2),IF((L28-C15)&gt;0,SQRT(((B15+((L28-C15)/((L28-C15)-(L28-C16)))*(B16-B15))-B15)^2+(L28-C15)^2),SQRT((B16-(B15+((L28-C15)/((L28-C15)-(L28-C16)))*(B16-B15)))^2+(L28-C16)^2)))))</f>
        <v/>
      </c>
      <c r="O28">
        <f>IF(OR($B$6&lt;=0,M28&lt;=0,N28&lt;=0,$B$4&lt;=0),0,(1/$B$6)*M28*((M28/N28)^(2/3))*SQRT($B$4))</f>
        <v/>
      </c>
    </row>
    <row r="29">
      <c r="I29" t="n">
        <v>21</v>
      </c>
      <c r="J29">
        <f>IF(O28&lt;$B$5,L28,J28)</f>
        <v/>
      </c>
      <c r="K29">
        <f>IF(O28&lt;$B$5,K28,L28)</f>
        <v/>
      </c>
      <c r="L29">
        <f>(J29+K29)/2</f>
        <v/>
      </c>
      <c r="M29">
        <f>(IF(AND((L29-C9)&lt;=0,(L29-C10)&lt;=0),0,IF(AND((L29-C9)&gt;=0,(L29-C10)&gt;=0),0.5*((L29-C9)+(L29-C10))*ABS(B10-B9),IF((L29-C9)&gt;0,0.5*(L29-C9)*ABS((B9+((L29-C9)/((L29-C9)-(L29-C10)))*(B10-B9))-B9),0.5*(L29-C10)*ABS(B10-(B9+((L29-C9)/((L29-C9)-(L29-C10)))*(B10-B9)))))))+(IF(AND((L29-C10)&lt;=0,(L29-C11)&lt;=0),0,IF(AND((L29-C10)&gt;=0,(L29-C11)&gt;=0),0.5*((L29-C10)+(L29-C11))*ABS(B11-B10),IF((L29-C10)&gt;0,0.5*(L29-C10)*ABS((B10+((L29-C10)/((L29-C10)-(L29-C11)))*(B11-B10))-B10),0.5*(L29-C11)*ABS(B11-(B10+((L29-C10)/((L29-C10)-(L29-C11)))*(B11-B10)))))))+(IF(AND((L29-C11)&lt;=0,(L29-C12)&lt;=0),0,IF(AND((L29-C11)&gt;=0,(L29-C12)&gt;=0),0.5*((L29-C11)+(L29-C12))*ABS(B12-B11),IF((L29-C11)&gt;0,0.5*(L29-C11)*ABS((B11+((L29-C11)/((L29-C11)-(L29-C12)))*(B12-B11))-B11),0.5*(L29-C12)*ABS(B12-(B11+((L29-C11)/((L29-C11)-(L29-C12)))*(B12-B11)))))))+(IF(AND((L29-C12)&lt;=0,(L29-C13)&lt;=0),0,IF(AND((L29-C12)&gt;=0,(L29-C13)&gt;=0),0.5*((L29-C12)+(L29-C13))*ABS(B13-B12),IF((L29-C12)&gt;0,0.5*(L29-C12)*ABS((B12+((L29-C12)/((L29-C12)-(L29-C13)))*(B13-B12))-B12),0.5*(L29-C13)*ABS(B13-(B12+((L29-C12)/((L29-C12)-(L29-C13)))*(B13-B12)))))))+(IF(AND((L29-C13)&lt;=0,(L29-C14)&lt;=0),0,IF(AND((L29-C13)&gt;=0,(L29-C14)&gt;=0),0.5*((L29-C13)+(L29-C14))*ABS(B14-B13),IF((L29-C13)&gt;0,0.5*(L29-C13)*ABS((B13+((L29-C13)/((L29-C13)-(L29-C14)))*(B14-B13))-B13),0.5*(L29-C14)*ABS(B14-(B13+((L29-C13)/((L29-C13)-(L29-C14)))*(B14-B13)))))))+(IF(AND((L29-C14)&lt;=0,(L29-C15)&lt;=0),0,IF(AND((L29-C14)&gt;=0,(L29-C15)&gt;=0),0.5*((L29-C14)+(L29-C15))*ABS(B15-B14),IF((L29-C14)&gt;0,0.5*(L29-C14)*ABS((B14+((L29-C14)/((L29-C14)-(L29-C15)))*(B15-B14))-B14),0.5*(L29-C15)*ABS(B15-(B14+((L29-C14)/((L29-C14)-(L29-C15)))*(B15-B14)))))))+(IF(AND((L29-C15)&lt;=0,(L29-C16)&lt;=0),0,IF(AND((L29-C15)&gt;=0,(L29-C16)&gt;=0),0.5*((L29-C15)+(L29-C16))*ABS(B16-B15),IF((L29-C15)&gt;0,0.5*(L29-C15)*ABS((B15+((L29-C15)/((L29-C15)-(L29-C16)))*(B16-B15))-B15),0.5*(L29-C16)*ABS(B16-(B15+((L29-C15)/((L29-C15)-(L29-C16)))*(B16-B15)))))))</f>
        <v/>
      </c>
      <c r="N29">
        <f>(IF(AND((L29-C9)&lt;=0,(L29-C10)&lt;=0),0,IF(AND((L29-C9)&gt;=0,(L29-C10)&gt;=0),SQRT((B10-B9)^2+(C10-C9)^2),IF((L29-C9)&gt;0,SQRT(((B9+((L29-C9)/((L29-C9)-(L29-C10)))*(B10-B9))-B9)^2+(L29-C9)^2),SQRT((B10-(B9+((L29-C9)/((L29-C9)-(L29-C10)))*(B10-B9)))^2+(L29-C10)^2)))))+(IF(AND((L29-C10)&lt;=0,(L29-C11)&lt;=0),0,IF(AND((L29-C10)&gt;=0,(L29-C11)&gt;=0),SQRT((B11-B10)^2+(C11-C10)^2),IF((L29-C10)&gt;0,SQRT(((B10+((L29-C10)/((L29-C10)-(L29-C11)))*(B11-B10))-B10)^2+(L29-C10)^2),SQRT((B11-(B10+((L29-C10)/((L29-C10)-(L29-C11)))*(B11-B10)))^2+(L29-C11)^2)))))+(IF(AND((L29-C11)&lt;=0,(L29-C12)&lt;=0),0,IF(AND((L29-C11)&gt;=0,(L29-C12)&gt;=0),SQRT((B12-B11)^2+(C12-C11)^2),IF((L29-C11)&gt;0,SQRT(((B11+((L29-C11)/((L29-C11)-(L29-C12)))*(B12-B11))-B11)^2+(L29-C11)^2),SQRT((B12-(B11+((L29-C11)/((L29-C11)-(L29-C12)))*(B12-B11)))^2+(L29-C12)^2)))))+(IF(AND((L29-C12)&lt;=0,(L29-C13)&lt;=0),0,IF(AND((L29-C12)&gt;=0,(L29-C13)&gt;=0),SQRT((B13-B12)^2+(C13-C12)^2),IF((L29-C12)&gt;0,SQRT(((B12+((L29-C12)/((L29-C12)-(L29-C13)))*(B13-B12))-B12)^2+(L29-C12)^2),SQRT((B13-(B12+((L29-C12)/((L29-C12)-(L29-C13)))*(B13-B12)))^2+(L29-C13)^2)))))+(IF(AND((L29-C13)&lt;=0,(L29-C14)&lt;=0),0,IF(AND((L29-C13)&gt;=0,(L29-C14)&gt;=0),SQRT((B14-B13)^2+(C14-C13)^2),IF((L29-C13)&gt;0,SQRT(((B13+((L29-C13)/((L29-C13)-(L29-C14)))*(B14-B13))-B13)^2+(L29-C13)^2),SQRT((B14-(B13+((L29-C13)/((L29-C13)-(L29-C14)))*(B14-B13)))^2+(L29-C14)^2)))))+(IF(AND((L29-C14)&lt;=0,(L29-C15)&lt;=0),0,IF(AND((L29-C14)&gt;=0,(L29-C15)&gt;=0),SQRT((B15-B14)^2+(C15-C14)^2),IF((L29-C14)&gt;0,SQRT(((B14+((L29-C14)/((L29-C14)-(L29-C15)))*(B15-B14))-B14)^2+(L29-C14)^2),SQRT((B15-(B14+((L29-C14)/((L29-C14)-(L29-C15)))*(B15-B14)))^2+(L29-C15)^2)))))+(IF(AND((L29-C15)&lt;=0,(L29-C16)&lt;=0),0,IF(AND((L29-C15)&gt;=0,(L29-C16)&gt;=0),SQRT((B16-B15)^2+(C16-C15)^2),IF((L29-C15)&gt;0,SQRT(((B15+((L29-C15)/((L29-C15)-(L29-C16)))*(B16-B15))-B15)^2+(L29-C15)^2),SQRT((B16-(B15+((L29-C15)/((L29-C15)-(L29-C16)))*(B16-B15)))^2+(L29-C16)^2)))))</f>
        <v/>
      </c>
      <c r="O29">
        <f>IF(OR($B$6&lt;=0,M29&lt;=0,N29&lt;=0,$B$4&lt;=0),0,(1/$B$6)*M29*((M29/N29)^(2/3))*SQRT($B$4))</f>
        <v/>
      </c>
    </row>
    <row r="30">
      <c r="I30" t="n">
        <v>22</v>
      </c>
      <c r="J30">
        <f>IF(O29&lt;$B$5,L29,J29)</f>
        <v/>
      </c>
      <c r="K30">
        <f>IF(O29&lt;$B$5,K29,L29)</f>
        <v/>
      </c>
      <c r="L30">
        <f>(J30+K30)/2</f>
        <v/>
      </c>
      <c r="M30">
        <f>(IF(AND((L30-C9)&lt;=0,(L30-C10)&lt;=0),0,IF(AND((L30-C9)&gt;=0,(L30-C10)&gt;=0),0.5*((L30-C9)+(L30-C10))*ABS(B10-B9),IF((L30-C9)&gt;0,0.5*(L30-C9)*ABS((B9+((L30-C9)/((L30-C9)-(L30-C10)))*(B10-B9))-B9),0.5*(L30-C10)*ABS(B10-(B9+((L30-C9)/((L30-C9)-(L30-C10)))*(B10-B9)))))))+(IF(AND((L30-C10)&lt;=0,(L30-C11)&lt;=0),0,IF(AND((L30-C10)&gt;=0,(L30-C11)&gt;=0),0.5*((L30-C10)+(L30-C11))*ABS(B11-B10),IF((L30-C10)&gt;0,0.5*(L30-C10)*ABS((B10+((L30-C10)/((L30-C10)-(L30-C11)))*(B11-B10))-B10),0.5*(L30-C11)*ABS(B11-(B10+((L30-C10)/((L30-C10)-(L30-C11)))*(B11-B10)))))))+(IF(AND((L30-C11)&lt;=0,(L30-C12)&lt;=0),0,IF(AND((L30-C11)&gt;=0,(L30-C12)&gt;=0),0.5*((L30-C11)+(L30-C12))*ABS(B12-B11),IF((L30-C11)&gt;0,0.5*(L30-C11)*ABS((B11+((L30-C11)/((L30-C11)-(L30-C12)))*(B12-B11))-B11),0.5*(L30-C12)*ABS(B12-(B11+((L30-C11)/((L30-C11)-(L30-C12)))*(B12-B11)))))))+(IF(AND((L30-C12)&lt;=0,(L30-C13)&lt;=0),0,IF(AND((L30-C12)&gt;=0,(L30-C13)&gt;=0),0.5*((L30-C12)+(L30-C13))*ABS(B13-B12),IF((L30-C12)&gt;0,0.5*(L30-C12)*ABS((B12+((L30-C12)/((L30-C12)-(L30-C13)))*(B13-B12))-B12),0.5*(L30-C13)*ABS(B13-(B12+((L30-C12)/((L30-C12)-(L30-C13)))*(B13-B12)))))))+(IF(AND((L30-C13)&lt;=0,(L30-C14)&lt;=0),0,IF(AND((L30-C13)&gt;=0,(L30-C14)&gt;=0),0.5*((L30-C13)+(L30-C14))*ABS(B14-B13),IF((L30-C13)&gt;0,0.5*(L30-C13)*ABS((B13+((L30-C13)/((L30-C13)-(L30-C14)))*(B14-B13))-B13),0.5*(L30-C14)*ABS(B14-(B13+((L30-C13)/((L30-C13)-(L30-C14)))*(B14-B13)))))))+(IF(AND((L30-C14)&lt;=0,(L30-C15)&lt;=0),0,IF(AND((L30-C14)&gt;=0,(L30-C15)&gt;=0),0.5*((L30-C14)+(L30-C15))*ABS(B15-B14),IF((L30-C14)&gt;0,0.5*(L30-C14)*ABS((B14+((L30-C14)/((L30-C14)-(L30-C15)))*(B15-B14))-B14),0.5*(L30-C15)*ABS(B15-(B14+((L30-C14)/((L30-C14)-(L30-C15)))*(B15-B14)))))))+(IF(AND((L30-C15)&lt;=0,(L30-C16)&lt;=0),0,IF(AND((L30-C15)&gt;=0,(L30-C16)&gt;=0),0.5*((L30-C15)+(L30-C16))*ABS(B16-B15),IF((L30-C15)&gt;0,0.5*(L30-C15)*ABS((B15+((L30-C15)/((L30-C15)-(L30-C16)))*(B16-B15))-B15),0.5*(L30-C16)*ABS(B16-(B15+((L30-C15)/((L30-C15)-(L30-C16)))*(B16-B15)))))))</f>
        <v/>
      </c>
      <c r="N30">
        <f>(IF(AND((L30-C9)&lt;=0,(L30-C10)&lt;=0),0,IF(AND((L30-C9)&gt;=0,(L30-C10)&gt;=0),SQRT((B10-B9)^2+(C10-C9)^2),IF((L30-C9)&gt;0,SQRT(((B9+((L30-C9)/((L30-C9)-(L30-C10)))*(B10-B9))-B9)^2+(L30-C9)^2),SQRT((B10-(B9+((L30-C9)/((L30-C9)-(L30-C10)))*(B10-B9)))^2+(L30-C10)^2)))))+(IF(AND((L30-C10)&lt;=0,(L30-C11)&lt;=0),0,IF(AND((L30-C10)&gt;=0,(L30-C11)&gt;=0),SQRT((B11-B10)^2+(C11-C10)^2),IF((L30-C10)&gt;0,SQRT(((B10+((L30-C10)/((L30-C10)-(L30-C11)))*(B11-B10))-B10)^2+(L30-C10)^2),SQRT((B11-(B10+((L30-C10)/((L30-C10)-(L30-C11)))*(B11-B10)))^2+(L30-C11)^2)))))+(IF(AND((L30-C11)&lt;=0,(L30-C12)&lt;=0),0,IF(AND((L30-C11)&gt;=0,(L30-C12)&gt;=0),SQRT((B12-B11)^2+(C12-C11)^2),IF((L30-C11)&gt;0,SQRT(((B11+((L30-C11)/((L30-C11)-(L30-C12)))*(B12-B11))-B11)^2+(L30-C11)^2),SQRT((B12-(B11+((L30-C11)/((L30-C11)-(L30-C12)))*(B12-B11)))^2+(L30-C12)^2)))))+(IF(AND((L30-C12)&lt;=0,(L30-C13)&lt;=0),0,IF(AND((L30-C12)&gt;=0,(L30-C13)&gt;=0),SQRT((B13-B12)^2+(C13-C12)^2),IF((L30-C12)&gt;0,SQRT(((B12+((L30-C12)/((L30-C12)-(L30-C13)))*(B13-B12))-B12)^2+(L30-C12)^2),SQRT((B13-(B12+((L30-C12)/((L30-C12)-(L30-C13)))*(B13-B12)))^2+(L30-C13)^2)))))+(IF(AND((L30-C13)&lt;=0,(L30-C14)&lt;=0),0,IF(AND((L30-C13)&gt;=0,(L30-C14)&gt;=0),SQRT((B14-B13)^2+(C14-C13)^2),IF((L30-C13)&gt;0,SQRT(((B13+((L30-C13)/((L30-C13)-(L30-C14)))*(B14-B13))-B13)^2+(L30-C13)^2),SQRT((B14-(B13+((L30-C13)/((L30-C13)-(L30-C14)))*(B14-B13)))^2+(L30-C14)^2)))))+(IF(AND((L30-C14)&lt;=0,(L30-C15)&lt;=0),0,IF(AND((L30-C14)&gt;=0,(L30-C15)&gt;=0),SQRT((B15-B14)^2+(C15-C14)^2),IF((L30-C14)&gt;0,SQRT(((B14+((L30-C14)/((L30-C14)-(L30-C15)))*(B15-B14))-B14)^2+(L30-C14)^2),SQRT((B15-(B14+((L30-C14)/((L30-C14)-(L30-C15)))*(B15-B14)))^2+(L30-C15)^2)))))+(IF(AND((L30-C15)&lt;=0,(L30-C16)&lt;=0),0,IF(AND((L30-C15)&gt;=0,(L30-C16)&gt;=0),SQRT((B16-B15)^2+(C16-C15)^2),IF((L30-C15)&gt;0,SQRT(((B15+((L30-C15)/((L30-C15)-(L30-C16)))*(B16-B15))-B15)^2+(L30-C15)^2),SQRT((B16-(B15+((L30-C15)/((L30-C15)-(L30-C16)))*(B16-B15)))^2+(L30-C16)^2)))))</f>
        <v/>
      </c>
      <c r="O30">
        <f>IF(OR($B$6&lt;=0,M30&lt;=0,N30&lt;=0,$B$4&lt;=0),0,(1/$B$6)*M30*((M30/N30)^(2/3))*SQRT($B$4))</f>
        <v/>
      </c>
    </row>
    <row r="31">
      <c r="I31" t="n">
        <v>23</v>
      </c>
      <c r="J31">
        <f>IF(O30&lt;$B$5,L30,J30)</f>
        <v/>
      </c>
      <c r="K31">
        <f>IF(O30&lt;$B$5,K30,L30)</f>
        <v/>
      </c>
      <c r="L31">
        <f>(J31+K31)/2</f>
        <v/>
      </c>
      <c r="M31">
        <f>(IF(AND((L31-C9)&lt;=0,(L31-C10)&lt;=0),0,IF(AND((L31-C9)&gt;=0,(L31-C10)&gt;=0),0.5*((L31-C9)+(L31-C10))*ABS(B10-B9),IF((L31-C9)&gt;0,0.5*(L31-C9)*ABS((B9+((L31-C9)/((L31-C9)-(L31-C10)))*(B10-B9))-B9),0.5*(L31-C10)*ABS(B10-(B9+((L31-C9)/((L31-C9)-(L31-C10)))*(B10-B9)))))))+(IF(AND((L31-C10)&lt;=0,(L31-C11)&lt;=0),0,IF(AND((L31-C10)&gt;=0,(L31-C11)&gt;=0),0.5*((L31-C10)+(L31-C11))*ABS(B11-B10),IF((L31-C10)&gt;0,0.5*(L31-C10)*ABS((B10+((L31-C10)/((L31-C10)-(L31-C11)))*(B11-B10))-B10),0.5*(L31-C11)*ABS(B11-(B10+((L31-C10)/((L31-C10)-(L31-C11)))*(B11-B10)))))))+(IF(AND((L31-C11)&lt;=0,(L31-C12)&lt;=0),0,IF(AND((L31-C11)&gt;=0,(L31-C12)&gt;=0),0.5*((L31-C11)+(L31-C12))*ABS(B12-B11),IF((L31-C11)&gt;0,0.5*(L31-C11)*ABS((B11+((L31-C11)/((L31-C11)-(L31-C12)))*(B12-B11))-B11),0.5*(L31-C12)*ABS(B12-(B11+((L31-C11)/((L31-C11)-(L31-C12)))*(B12-B11)))))))+(IF(AND((L31-C12)&lt;=0,(L31-C13)&lt;=0),0,IF(AND((L31-C12)&gt;=0,(L31-C13)&gt;=0),0.5*((L31-C12)+(L31-C13))*ABS(B13-B12),IF((L31-C12)&gt;0,0.5*(L31-C12)*ABS((B12+((L31-C12)/((L31-C12)-(L31-C13)))*(B13-B12))-B12),0.5*(L31-C13)*ABS(B13-(B12+((L31-C12)/((L31-C12)-(L31-C13)))*(B13-B12)))))))+(IF(AND((L31-C13)&lt;=0,(L31-C14)&lt;=0),0,IF(AND((L31-C13)&gt;=0,(L31-C14)&gt;=0),0.5*((L31-C13)+(L31-C14))*ABS(B14-B13),IF((L31-C13)&gt;0,0.5*(L31-C13)*ABS((B13+((L31-C13)/((L31-C13)-(L31-C14)))*(B14-B13))-B13),0.5*(L31-C14)*ABS(B14-(B13+((L31-C13)/((L31-C13)-(L31-C14)))*(B14-B13)))))))+(IF(AND((L31-C14)&lt;=0,(L31-C15)&lt;=0),0,IF(AND((L31-C14)&gt;=0,(L31-C15)&gt;=0),0.5*((L31-C14)+(L31-C15))*ABS(B15-B14),IF((L31-C14)&gt;0,0.5*(L31-C14)*ABS((B14+((L31-C14)/((L31-C14)-(L31-C15)))*(B15-B14))-B14),0.5*(L31-C15)*ABS(B15-(B14+((L31-C14)/((L31-C14)-(L31-C15)))*(B15-B14)))))))+(IF(AND((L31-C15)&lt;=0,(L31-C16)&lt;=0),0,IF(AND((L31-C15)&gt;=0,(L31-C16)&gt;=0),0.5*((L31-C15)+(L31-C16))*ABS(B16-B15),IF((L31-C15)&gt;0,0.5*(L31-C15)*ABS((B15+((L31-C15)/((L31-C15)-(L31-C16)))*(B16-B15))-B15),0.5*(L31-C16)*ABS(B16-(B15+((L31-C15)/((L31-C15)-(L31-C16)))*(B16-B15)))))))</f>
        <v/>
      </c>
      <c r="N31">
        <f>(IF(AND((L31-C9)&lt;=0,(L31-C10)&lt;=0),0,IF(AND((L31-C9)&gt;=0,(L31-C10)&gt;=0),SQRT((B10-B9)^2+(C10-C9)^2),IF((L31-C9)&gt;0,SQRT(((B9+((L31-C9)/((L31-C9)-(L31-C10)))*(B10-B9))-B9)^2+(L31-C9)^2),SQRT((B10-(B9+((L31-C9)/((L31-C9)-(L31-C10)))*(B10-B9)))^2+(L31-C10)^2)))))+(IF(AND((L31-C10)&lt;=0,(L31-C11)&lt;=0),0,IF(AND((L31-C10)&gt;=0,(L31-C11)&gt;=0),SQRT((B11-B10)^2+(C11-C10)^2),IF((L31-C10)&gt;0,SQRT(((B10+((L31-C10)/((L31-C10)-(L31-C11)))*(B11-B10))-B10)^2+(L31-C10)^2),SQRT((B11-(B10+((L31-C10)/((L31-C10)-(L31-C11)))*(B11-B10)))^2+(L31-C11)^2)))))+(IF(AND((L31-C11)&lt;=0,(L31-C12)&lt;=0),0,IF(AND((L31-C11)&gt;=0,(L31-C12)&gt;=0),SQRT((B12-B11)^2+(C12-C11)^2),IF((L31-C11)&gt;0,SQRT(((B11+((L31-C11)/((L31-C11)-(L31-C12)))*(B12-B11))-B11)^2+(L31-C11)^2),SQRT((B12-(B11+((L31-C11)/((L31-C11)-(L31-C12)))*(B12-B11)))^2+(L31-C12)^2)))))+(IF(AND((L31-C12)&lt;=0,(L31-C13)&lt;=0),0,IF(AND((L31-C12)&gt;=0,(L31-C13)&gt;=0),SQRT((B13-B12)^2+(C13-C12)^2),IF((L31-C12)&gt;0,SQRT(((B12+((L31-C12)/((L31-C12)-(L31-C13)))*(B13-B12))-B12)^2+(L31-C12)^2),SQRT((B13-(B12+((L31-C12)/((L31-C12)-(L31-C13)))*(B13-B12)))^2+(L31-C13)^2)))))+(IF(AND((L31-C13)&lt;=0,(L31-C14)&lt;=0),0,IF(AND((L31-C13)&gt;=0,(L31-C14)&gt;=0),SQRT((B14-B13)^2+(C14-C13)^2),IF((L31-C13)&gt;0,SQRT(((B13+((L31-C13)/((L31-C13)-(L31-C14)))*(B14-B13))-B13)^2+(L31-C13)^2),SQRT((B14-(B13+((L31-C13)/((L31-C13)-(L31-C14)))*(B14-B13)))^2+(L31-C14)^2)))))+(IF(AND((L31-C14)&lt;=0,(L31-C15)&lt;=0),0,IF(AND((L31-C14)&gt;=0,(L31-C15)&gt;=0),SQRT((B15-B14)^2+(C15-C14)^2),IF((L31-C14)&gt;0,SQRT(((B14+((L31-C14)/((L31-C14)-(L31-C15)))*(B15-B14))-B14)^2+(L31-C14)^2),SQRT((B15-(B14+((L31-C14)/((L31-C14)-(L31-C15)))*(B15-B14)))^2+(L31-C15)^2)))))+(IF(AND((L31-C15)&lt;=0,(L31-C16)&lt;=0),0,IF(AND((L31-C15)&gt;=0,(L31-C16)&gt;=0),SQRT((B16-B15)^2+(C16-C15)^2),IF((L31-C15)&gt;0,SQRT(((B15+((L31-C15)/((L31-C15)-(L31-C16)))*(B16-B15))-B15)^2+(L31-C15)^2),SQRT((B16-(B15+((L31-C15)/((L31-C15)-(L31-C16)))*(B16-B15)))^2+(L31-C16)^2)))))</f>
        <v/>
      </c>
      <c r="O31">
        <f>IF(OR($B$6&lt;=0,M31&lt;=0,N31&lt;=0,$B$4&lt;=0),0,(1/$B$6)*M31*((M31/N31)^(2/3))*SQRT($B$4))</f>
        <v/>
      </c>
    </row>
    <row r="32">
      <c r="I32" t="n">
        <v>24</v>
      </c>
      <c r="J32">
        <f>IF(O31&lt;$B$5,L31,J31)</f>
        <v/>
      </c>
      <c r="K32">
        <f>IF(O31&lt;$B$5,K31,L31)</f>
        <v/>
      </c>
      <c r="L32">
        <f>(J32+K32)/2</f>
        <v/>
      </c>
      <c r="M32">
        <f>(IF(AND((L32-C9)&lt;=0,(L32-C10)&lt;=0),0,IF(AND((L32-C9)&gt;=0,(L32-C10)&gt;=0),0.5*((L32-C9)+(L32-C10))*ABS(B10-B9),IF((L32-C9)&gt;0,0.5*(L32-C9)*ABS((B9+((L32-C9)/((L32-C9)-(L32-C10)))*(B10-B9))-B9),0.5*(L32-C10)*ABS(B10-(B9+((L32-C9)/((L32-C9)-(L32-C10)))*(B10-B9)))))))+(IF(AND((L32-C10)&lt;=0,(L32-C11)&lt;=0),0,IF(AND((L32-C10)&gt;=0,(L32-C11)&gt;=0),0.5*((L32-C10)+(L32-C11))*ABS(B11-B10),IF((L32-C10)&gt;0,0.5*(L32-C10)*ABS((B10+((L32-C10)/((L32-C10)-(L32-C11)))*(B11-B10))-B10),0.5*(L32-C11)*ABS(B11-(B10+((L32-C10)/((L32-C10)-(L32-C11)))*(B11-B10)))))))+(IF(AND((L32-C11)&lt;=0,(L32-C12)&lt;=0),0,IF(AND((L32-C11)&gt;=0,(L32-C12)&gt;=0),0.5*((L32-C11)+(L32-C12))*ABS(B12-B11),IF((L32-C11)&gt;0,0.5*(L32-C11)*ABS((B11+((L32-C11)/((L32-C11)-(L32-C12)))*(B12-B11))-B11),0.5*(L32-C12)*ABS(B12-(B11+((L32-C11)/((L32-C11)-(L32-C12)))*(B12-B11)))))))+(IF(AND((L32-C12)&lt;=0,(L32-C13)&lt;=0),0,IF(AND((L32-C12)&gt;=0,(L32-C13)&gt;=0),0.5*((L32-C12)+(L32-C13))*ABS(B13-B12),IF((L32-C12)&gt;0,0.5*(L32-C12)*ABS((B12+((L32-C12)/((L32-C12)-(L32-C13)))*(B13-B12))-B12),0.5*(L32-C13)*ABS(B13-(B12+((L32-C12)/((L32-C12)-(L32-C13)))*(B13-B12)))))))+(IF(AND((L32-C13)&lt;=0,(L32-C14)&lt;=0),0,IF(AND((L32-C13)&gt;=0,(L32-C14)&gt;=0),0.5*((L32-C13)+(L32-C14))*ABS(B14-B13),IF((L32-C13)&gt;0,0.5*(L32-C13)*ABS((B13+((L32-C13)/((L32-C13)-(L32-C14)))*(B14-B13))-B13),0.5*(L32-C14)*ABS(B14-(B13+((L32-C13)/((L32-C13)-(L32-C14)))*(B14-B13)))))))+(IF(AND((L32-C14)&lt;=0,(L32-C15)&lt;=0),0,IF(AND((L32-C14)&gt;=0,(L32-C15)&gt;=0),0.5*((L32-C14)+(L32-C15))*ABS(B15-B14),IF((L32-C14)&gt;0,0.5*(L32-C14)*ABS((B14+((L32-C14)/((L32-C14)-(L32-C15)))*(B15-B14))-B14),0.5*(L32-C15)*ABS(B15-(B14+((L32-C14)/((L32-C14)-(L32-C15)))*(B15-B14)))))))+(IF(AND((L32-C15)&lt;=0,(L32-C16)&lt;=0),0,IF(AND((L32-C15)&gt;=0,(L32-C16)&gt;=0),0.5*((L32-C15)+(L32-C16))*ABS(B16-B15),IF((L32-C15)&gt;0,0.5*(L32-C15)*ABS((B15+((L32-C15)/((L32-C15)-(L32-C16)))*(B16-B15))-B15),0.5*(L32-C16)*ABS(B16-(B15+((L32-C15)/((L32-C15)-(L32-C16)))*(B16-B15)))))))</f>
        <v/>
      </c>
      <c r="N32">
        <f>(IF(AND((L32-C9)&lt;=0,(L32-C10)&lt;=0),0,IF(AND((L32-C9)&gt;=0,(L32-C10)&gt;=0),SQRT((B10-B9)^2+(C10-C9)^2),IF((L32-C9)&gt;0,SQRT(((B9+((L32-C9)/((L32-C9)-(L32-C10)))*(B10-B9))-B9)^2+(L32-C9)^2),SQRT((B10-(B9+((L32-C9)/((L32-C9)-(L32-C10)))*(B10-B9)))^2+(L32-C10)^2)))))+(IF(AND((L32-C10)&lt;=0,(L32-C11)&lt;=0),0,IF(AND((L32-C10)&gt;=0,(L32-C11)&gt;=0),SQRT((B11-B10)^2+(C11-C10)^2),IF((L32-C10)&gt;0,SQRT(((B10+((L32-C10)/((L32-C10)-(L32-C11)))*(B11-B10))-B10)^2+(L32-C10)^2),SQRT((B11-(B10+((L32-C10)/((L32-C10)-(L32-C11)))*(B11-B10)))^2+(L32-C11)^2)))))+(IF(AND((L32-C11)&lt;=0,(L32-C12)&lt;=0),0,IF(AND((L32-C11)&gt;=0,(L32-C12)&gt;=0),SQRT((B12-B11)^2+(C12-C11)^2),IF((L32-C11)&gt;0,SQRT(((B11+((L32-C11)/((L32-C11)-(L32-C12)))*(B12-B11))-B11)^2+(L32-C11)^2),SQRT((B12-(B11+((L32-C11)/((L32-C11)-(L32-C12)))*(B12-B11)))^2+(L32-C12)^2)))))+(IF(AND((L32-C12)&lt;=0,(L32-C13)&lt;=0),0,IF(AND((L32-C12)&gt;=0,(L32-C13)&gt;=0),SQRT((B13-B12)^2+(C13-C12)^2),IF((L32-C12)&gt;0,SQRT(((B12+((L32-C12)/((L32-C12)-(L32-C13)))*(B13-B12))-B12)^2+(L32-C12)^2),SQRT((B13-(B12+((L32-C12)/((L32-C12)-(L32-C13)))*(B13-B12)))^2+(L32-C13)^2)))))+(IF(AND((L32-C13)&lt;=0,(L32-C14)&lt;=0),0,IF(AND((L32-C13)&gt;=0,(L32-C14)&gt;=0),SQRT((B14-B13)^2+(C14-C13)^2),IF((L32-C13)&gt;0,SQRT(((B13+((L32-C13)/((L32-C13)-(L32-C14)))*(B14-B13))-B13)^2+(L32-C13)^2),SQRT((B14-(B13+((L32-C13)/((L32-C13)-(L32-C14)))*(B14-B13)))^2+(L32-C14)^2)))))+(IF(AND((L32-C14)&lt;=0,(L32-C15)&lt;=0),0,IF(AND((L32-C14)&gt;=0,(L32-C15)&gt;=0),SQRT((B15-B14)^2+(C15-C14)^2),IF((L32-C14)&gt;0,SQRT(((B14+((L32-C14)/((L32-C14)-(L32-C15)))*(B15-B14))-B14)^2+(L32-C14)^2),SQRT((B15-(B14+((L32-C14)/((L32-C14)-(L32-C15)))*(B15-B14)))^2+(L32-C15)^2)))))+(IF(AND((L32-C15)&lt;=0,(L32-C16)&lt;=0),0,IF(AND((L32-C15)&gt;=0,(L32-C16)&gt;=0),SQRT((B16-B15)^2+(C16-C15)^2),IF((L32-C15)&gt;0,SQRT(((B15+((L32-C15)/((L32-C15)-(L32-C16)))*(B16-B15))-B15)^2+(L32-C15)^2),SQRT((B16-(B15+((L32-C15)/((L32-C15)-(L32-C16)))*(B16-B15)))^2+(L32-C16)^2)))))</f>
        <v/>
      </c>
      <c r="O32">
        <f>IF(OR($B$6&lt;=0,M32&lt;=0,N32&lt;=0,$B$4&lt;=0),0,(1/$B$6)*M32*((M32/N32)^(2/3))*SQRT($B$4))</f>
        <v/>
      </c>
    </row>
    <row r="33">
      <c r="I33" t="n">
        <v>25</v>
      </c>
      <c r="J33">
        <f>IF(O32&lt;$B$5,L32,J32)</f>
        <v/>
      </c>
      <c r="K33">
        <f>IF(O32&lt;$B$5,K32,L32)</f>
        <v/>
      </c>
      <c r="L33">
        <f>(J33+K33)/2</f>
        <v/>
      </c>
      <c r="M33">
        <f>(IF(AND((L33-C9)&lt;=0,(L33-C10)&lt;=0),0,IF(AND((L33-C9)&gt;=0,(L33-C10)&gt;=0),0.5*((L33-C9)+(L33-C10))*ABS(B10-B9),IF((L33-C9)&gt;0,0.5*(L33-C9)*ABS((B9+((L33-C9)/((L33-C9)-(L33-C10)))*(B10-B9))-B9),0.5*(L33-C10)*ABS(B10-(B9+((L33-C9)/((L33-C9)-(L33-C10)))*(B10-B9)))))))+(IF(AND((L33-C10)&lt;=0,(L33-C11)&lt;=0),0,IF(AND((L33-C10)&gt;=0,(L33-C11)&gt;=0),0.5*((L33-C10)+(L33-C11))*ABS(B11-B10),IF((L33-C10)&gt;0,0.5*(L33-C10)*ABS((B10+((L33-C10)/((L33-C10)-(L33-C11)))*(B11-B10))-B10),0.5*(L33-C11)*ABS(B11-(B10+((L33-C10)/((L33-C10)-(L33-C11)))*(B11-B10)))))))+(IF(AND((L33-C11)&lt;=0,(L33-C12)&lt;=0),0,IF(AND((L33-C11)&gt;=0,(L33-C12)&gt;=0),0.5*((L33-C11)+(L33-C12))*ABS(B12-B11),IF((L33-C11)&gt;0,0.5*(L33-C11)*ABS((B11+((L33-C11)/((L33-C11)-(L33-C12)))*(B12-B11))-B11),0.5*(L33-C12)*ABS(B12-(B11+((L33-C11)/((L33-C11)-(L33-C12)))*(B12-B11)))))))+(IF(AND((L33-C12)&lt;=0,(L33-C13)&lt;=0),0,IF(AND((L33-C12)&gt;=0,(L33-C13)&gt;=0),0.5*((L33-C12)+(L33-C13))*ABS(B13-B12),IF((L33-C12)&gt;0,0.5*(L33-C12)*ABS((B12+((L33-C12)/((L33-C12)-(L33-C13)))*(B13-B12))-B12),0.5*(L33-C13)*ABS(B13-(B12+((L33-C12)/((L33-C12)-(L33-C13)))*(B13-B12)))))))+(IF(AND((L33-C13)&lt;=0,(L33-C14)&lt;=0),0,IF(AND((L33-C13)&gt;=0,(L33-C14)&gt;=0),0.5*((L33-C13)+(L33-C14))*ABS(B14-B13),IF((L33-C13)&gt;0,0.5*(L33-C13)*ABS((B13+((L33-C13)/((L33-C13)-(L33-C14)))*(B14-B13))-B13),0.5*(L33-C14)*ABS(B14-(B13+((L33-C13)/((L33-C13)-(L33-C14)))*(B14-B13)))))))+(IF(AND((L33-C14)&lt;=0,(L33-C15)&lt;=0),0,IF(AND((L33-C14)&gt;=0,(L33-C15)&gt;=0),0.5*((L33-C14)+(L33-C15))*ABS(B15-B14),IF((L33-C14)&gt;0,0.5*(L33-C14)*ABS((B14+((L33-C14)/((L33-C14)-(L33-C15)))*(B15-B14))-B14),0.5*(L33-C15)*ABS(B15-(B14+((L33-C14)/((L33-C14)-(L33-C15)))*(B15-B14)))))))+(IF(AND((L33-C15)&lt;=0,(L33-C16)&lt;=0),0,IF(AND((L33-C15)&gt;=0,(L33-C16)&gt;=0),0.5*((L33-C15)+(L33-C16))*ABS(B16-B15),IF((L33-C15)&gt;0,0.5*(L33-C15)*ABS((B15+((L33-C15)/((L33-C15)-(L33-C16)))*(B16-B15))-B15),0.5*(L33-C16)*ABS(B16-(B15+((L33-C15)/((L33-C15)-(L33-C16)))*(B16-B15)))))))</f>
        <v/>
      </c>
      <c r="N33">
        <f>(IF(AND((L33-C9)&lt;=0,(L33-C10)&lt;=0),0,IF(AND((L33-C9)&gt;=0,(L33-C10)&gt;=0),SQRT((B10-B9)^2+(C10-C9)^2),IF((L33-C9)&gt;0,SQRT(((B9+((L33-C9)/((L33-C9)-(L33-C10)))*(B10-B9))-B9)^2+(L33-C9)^2),SQRT((B10-(B9+((L33-C9)/((L33-C9)-(L33-C10)))*(B10-B9)))^2+(L33-C10)^2)))))+(IF(AND((L33-C10)&lt;=0,(L33-C11)&lt;=0),0,IF(AND((L33-C10)&gt;=0,(L33-C11)&gt;=0),SQRT((B11-B10)^2+(C11-C10)^2),IF((L33-C10)&gt;0,SQRT(((B10+((L33-C10)/((L33-C10)-(L33-C11)))*(B11-B10))-B10)^2+(L33-C10)^2),SQRT((B11-(B10+((L33-C10)/((L33-C10)-(L33-C11)))*(B11-B10)))^2+(L33-C11)^2)))))+(IF(AND((L33-C11)&lt;=0,(L33-C12)&lt;=0),0,IF(AND((L33-C11)&gt;=0,(L33-C12)&gt;=0),SQRT((B12-B11)^2+(C12-C11)^2),IF((L33-C11)&gt;0,SQRT(((B11+((L33-C11)/((L33-C11)-(L33-C12)))*(B12-B11))-B11)^2+(L33-C11)^2),SQRT((B12-(B11+((L33-C11)/((L33-C11)-(L33-C12)))*(B12-B11)))^2+(L33-C12)^2)))))+(IF(AND((L33-C12)&lt;=0,(L33-C13)&lt;=0),0,IF(AND((L33-C12)&gt;=0,(L33-C13)&gt;=0),SQRT((B13-B12)^2+(C13-C12)^2),IF((L33-C12)&gt;0,SQRT(((B12+((L33-C12)/((L33-C12)-(L33-C13)))*(B13-B12))-B12)^2+(L33-C12)^2),SQRT((B13-(B12+((L33-C12)/((L33-C12)-(L33-C13)))*(B13-B12)))^2+(L33-C13)^2)))))+(IF(AND((L33-C13)&lt;=0,(L33-C14)&lt;=0),0,IF(AND((L33-C13)&gt;=0,(L33-C14)&gt;=0),SQRT((B14-B13)^2+(C14-C13)^2),IF((L33-C13)&gt;0,SQRT(((B13+((L33-C13)/((L33-C13)-(L33-C14)))*(B14-B13))-B13)^2+(L33-C13)^2),SQRT((B14-(B13+((L33-C13)/((L33-C13)-(L33-C14)))*(B14-B13)))^2+(L33-C14)^2)))))+(IF(AND((L33-C14)&lt;=0,(L33-C15)&lt;=0),0,IF(AND((L33-C14)&gt;=0,(L33-C15)&gt;=0),SQRT((B15-B14)^2+(C15-C14)^2),IF((L33-C14)&gt;0,SQRT(((B14+((L33-C14)/((L33-C14)-(L33-C15)))*(B15-B14))-B14)^2+(L33-C14)^2),SQRT((B15-(B14+((L33-C14)/((L33-C14)-(L33-C15)))*(B15-B14)))^2+(L33-C15)^2)))))+(IF(AND((L33-C15)&lt;=0,(L33-C16)&lt;=0),0,IF(AND((L33-C15)&gt;=0,(L33-C16)&gt;=0),SQRT((B16-B15)^2+(C16-C15)^2),IF((L33-C15)&gt;0,SQRT(((B15+((L33-C15)/((L33-C15)-(L33-C16)))*(B16-B15))-B15)^2+(L33-C15)^2),SQRT((B16-(B15+((L33-C15)/((L33-C15)-(L33-C16)))*(B16-B15)))^2+(L33-C16)^2)))))</f>
        <v/>
      </c>
      <c r="O33">
        <f>IF(OR($B$6&lt;=0,M33&lt;=0,N33&lt;=0,$B$4&lt;=0),0,(1/$B$6)*M33*((M33/N33)^(2/3))*SQRT($B$4))</f>
        <v/>
      </c>
    </row>
    <row r="34">
      <c r="I34" t="n">
        <v>26</v>
      </c>
      <c r="J34">
        <f>IF(O33&lt;$B$5,L33,J33)</f>
        <v/>
      </c>
      <c r="K34">
        <f>IF(O33&lt;$B$5,K33,L33)</f>
        <v/>
      </c>
      <c r="L34">
        <f>(J34+K34)/2</f>
        <v/>
      </c>
      <c r="M34">
        <f>(IF(AND((L34-C9)&lt;=0,(L34-C10)&lt;=0),0,IF(AND((L34-C9)&gt;=0,(L34-C10)&gt;=0),0.5*((L34-C9)+(L34-C10))*ABS(B10-B9),IF((L34-C9)&gt;0,0.5*(L34-C9)*ABS((B9+((L34-C9)/((L34-C9)-(L34-C10)))*(B10-B9))-B9),0.5*(L34-C10)*ABS(B10-(B9+((L34-C9)/((L34-C9)-(L34-C10)))*(B10-B9)))))))+(IF(AND((L34-C10)&lt;=0,(L34-C11)&lt;=0),0,IF(AND((L34-C10)&gt;=0,(L34-C11)&gt;=0),0.5*((L34-C10)+(L34-C11))*ABS(B11-B10),IF((L34-C10)&gt;0,0.5*(L34-C10)*ABS((B10+((L34-C10)/((L34-C10)-(L34-C11)))*(B11-B10))-B10),0.5*(L34-C11)*ABS(B11-(B10+((L34-C10)/((L34-C10)-(L34-C11)))*(B11-B10)))))))+(IF(AND((L34-C11)&lt;=0,(L34-C12)&lt;=0),0,IF(AND((L34-C11)&gt;=0,(L34-C12)&gt;=0),0.5*((L34-C11)+(L34-C12))*ABS(B12-B11),IF((L34-C11)&gt;0,0.5*(L34-C11)*ABS((B11+((L34-C11)/((L34-C11)-(L34-C12)))*(B12-B11))-B11),0.5*(L34-C12)*ABS(B12-(B11+((L34-C11)/((L34-C11)-(L34-C12)))*(B12-B11)))))))+(IF(AND((L34-C12)&lt;=0,(L34-C13)&lt;=0),0,IF(AND((L34-C12)&gt;=0,(L34-C13)&gt;=0),0.5*((L34-C12)+(L34-C13))*ABS(B13-B12),IF((L34-C12)&gt;0,0.5*(L34-C12)*ABS((B12+((L34-C12)/((L34-C12)-(L34-C13)))*(B13-B12))-B12),0.5*(L34-C13)*ABS(B13-(B12+((L34-C12)/((L34-C12)-(L34-C13)))*(B13-B12)))))))+(IF(AND((L34-C13)&lt;=0,(L34-C14)&lt;=0),0,IF(AND((L34-C13)&gt;=0,(L34-C14)&gt;=0),0.5*((L34-C13)+(L34-C14))*ABS(B14-B13),IF((L34-C13)&gt;0,0.5*(L34-C13)*ABS((B13+((L34-C13)/((L34-C13)-(L34-C14)))*(B14-B13))-B13),0.5*(L34-C14)*ABS(B14-(B13+((L34-C13)/((L34-C13)-(L34-C14)))*(B14-B13)))))))+(IF(AND((L34-C14)&lt;=0,(L34-C15)&lt;=0),0,IF(AND((L34-C14)&gt;=0,(L34-C15)&gt;=0),0.5*((L34-C14)+(L34-C15))*ABS(B15-B14),IF((L34-C14)&gt;0,0.5*(L34-C14)*ABS((B14+((L34-C14)/((L34-C14)-(L34-C15)))*(B15-B14))-B14),0.5*(L34-C15)*ABS(B15-(B14+((L34-C14)/((L34-C14)-(L34-C15)))*(B15-B14)))))))+(IF(AND((L34-C15)&lt;=0,(L34-C16)&lt;=0),0,IF(AND((L34-C15)&gt;=0,(L34-C16)&gt;=0),0.5*((L34-C15)+(L34-C16))*ABS(B16-B15),IF((L34-C15)&gt;0,0.5*(L34-C15)*ABS((B15+((L34-C15)/((L34-C15)-(L34-C16)))*(B16-B15))-B15),0.5*(L34-C16)*ABS(B16-(B15+((L34-C15)/((L34-C15)-(L34-C16)))*(B16-B15)))))))</f>
        <v/>
      </c>
      <c r="N34">
        <f>(IF(AND((L34-C9)&lt;=0,(L34-C10)&lt;=0),0,IF(AND((L34-C9)&gt;=0,(L34-C10)&gt;=0),SQRT((B10-B9)^2+(C10-C9)^2),IF((L34-C9)&gt;0,SQRT(((B9+((L34-C9)/((L34-C9)-(L34-C10)))*(B10-B9))-B9)^2+(L34-C9)^2),SQRT((B10-(B9+((L34-C9)/((L34-C9)-(L34-C10)))*(B10-B9)))^2+(L34-C10)^2)))))+(IF(AND((L34-C10)&lt;=0,(L34-C11)&lt;=0),0,IF(AND((L34-C10)&gt;=0,(L34-C11)&gt;=0),SQRT((B11-B10)^2+(C11-C10)^2),IF((L34-C10)&gt;0,SQRT(((B10+((L34-C10)/((L34-C10)-(L34-C11)))*(B11-B10))-B10)^2+(L34-C10)^2),SQRT((B11-(B10+((L34-C10)/((L34-C10)-(L34-C11)))*(B11-B10)))^2+(L34-C11)^2)))))+(IF(AND((L34-C11)&lt;=0,(L34-C12)&lt;=0),0,IF(AND((L34-C11)&gt;=0,(L34-C12)&gt;=0),SQRT((B12-B11)^2+(C12-C11)^2),IF((L34-C11)&gt;0,SQRT(((B11+((L34-C11)/((L34-C11)-(L34-C12)))*(B12-B11))-B11)^2+(L34-C11)^2),SQRT((B12-(B11+((L34-C11)/((L34-C11)-(L34-C12)))*(B12-B11)))^2+(L34-C12)^2)))))+(IF(AND((L34-C12)&lt;=0,(L34-C13)&lt;=0),0,IF(AND((L34-C12)&gt;=0,(L34-C13)&gt;=0),SQRT((B13-B12)^2+(C13-C12)^2),IF((L34-C12)&gt;0,SQRT(((B12+((L34-C12)/((L34-C12)-(L34-C13)))*(B13-B12))-B12)^2+(L34-C12)^2),SQRT((B13-(B12+((L34-C12)/((L34-C12)-(L34-C13)))*(B13-B12)))^2+(L34-C13)^2)))))+(IF(AND((L34-C13)&lt;=0,(L34-C14)&lt;=0),0,IF(AND((L34-C13)&gt;=0,(L34-C14)&gt;=0),SQRT((B14-B13)^2+(C14-C13)^2),IF((L34-C13)&gt;0,SQRT(((B13+((L34-C13)/((L34-C13)-(L34-C14)))*(B14-B13))-B13)^2+(L34-C13)^2),SQRT((B14-(B13+((L34-C13)/((L34-C13)-(L34-C14)))*(B14-B13)))^2+(L34-C14)^2)))))+(IF(AND((L34-C14)&lt;=0,(L34-C15)&lt;=0),0,IF(AND((L34-C14)&gt;=0,(L34-C15)&gt;=0),SQRT((B15-B14)^2+(C15-C14)^2),IF((L34-C14)&gt;0,SQRT(((B14+((L34-C14)/((L34-C14)-(L34-C15)))*(B15-B14))-B14)^2+(L34-C14)^2),SQRT((B15-(B14+((L34-C14)/((L34-C14)-(L34-C15)))*(B15-B14)))^2+(L34-C15)^2)))))+(IF(AND((L34-C15)&lt;=0,(L34-C16)&lt;=0),0,IF(AND((L34-C15)&gt;=0,(L34-C16)&gt;=0),SQRT((B16-B15)^2+(C16-C15)^2),IF((L34-C15)&gt;0,SQRT(((B15+((L34-C15)/((L34-C15)-(L34-C16)))*(B16-B15))-B15)^2+(L34-C15)^2),SQRT((B16-(B15+((L34-C15)/((L34-C15)-(L34-C16)))*(B16-B15)))^2+(L34-C16)^2)))))</f>
        <v/>
      </c>
      <c r="O34">
        <f>IF(OR($B$6&lt;=0,M34&lt;=0,N34&lt;=0,$B$4&lt;=0),0,(1/$B$6)*M34*((M34/N34)^(2/3))*SQRT($B$4))</f>
        <v/>
      </c>
    </row>
    <row r="35">
      <c r="I35" t="n">
        <v>27</v>
      </c>
      <c r="J35">
        <f>IF(O34&lt;$B$5,L34,J34)</f>
        <v/>
      </c>
      <c r="K35">
        <f>IF(O34&lt;$B$5,K34,L34)</f>
        <v/>
      </c>
      <c r="L35">
        <f>(J35+K35)/2</f>
        <v/>
      </c>
      <c r="M35">
        <f>(IF(AND((L35-C9)&lt;=0,(L35-C10)&lt;=0),0,IF(AND((L35-C9)&gt;=0,(L35-C10)&gt;=0),0.5*((L35-C9)+(L35-C10))*ABS(B10-B9),IF((L35-C9)&gt;0,0.5*(L35-C9)*ABS((B9+((L35-C9)/((L35-C9)-(L35-C10)))*(B10-B9))-B9),0.5*(L35-C10)*ABS(B10-(B9+((L35-C9)/((L35-C9)-(L35-C10)))*(B10-B9)))))))+(IF(AND((L35-C10)&lt;=0,(L35-C11)&lt;=0),0,IF(AND((L35-C10)&gt;=0,(L35-C11)&gt;=0),0.5*((L35-C10)+(L35-C11))*ABS(B11-B10),IF((L35-C10)&gt;0,0.5*(L35-C10)*ABS((B10+((L35-C10)/((L35-C10)-(L35-C11)))*(B11-B10))-B10),0.5*(L35-C11)*ABS(B11-(B10+((L35-C10)/((L35-C10)-(L35-C11)))*(B11-B10)))))))+(IF(AND((L35-C11)&lt;=0,(L35-C12)&lt;=0),0,IF(AND((L35-C11)&gt;=0,(L35-C12)&gt;=0),0.5*((L35-C11)+(L35-C12))*ABS(B12-B11),IF((L35-C11)&gt;0,0.5*(L35-C11)*ABS((B11+((L35-C11)/((L35-C11)-(L35-C12)))*(B12-B11))-B11),0.5*(L35-C12)*ABS(B12-(B11+((L35-C11)/((L35-C11)-(L35-C12)))*(B12-B11)))))))+(IF(AND((L35-C12)&lt;=0,(L35-C13)&lt;=0),0,IF(AND((L35-C12)&gt;=0,(L35-C13)&gt;=0),0.5*((L35-C12)+(L35-C13))*ABS(B13-B12),IF((L35-C12)&gt;0,0.5*(L35-C12)*ABS((B12+((L35-C12)/((L35-C12)-(L35-C13)))*(B13-B12))-B12),0.5*(L35-C13)*ABS(B13-(B12+((L35-C12)/((L35-C12)-(L35-C13)))*(B13-B12)))))))+(IF(AND((L35-C13)&lt;=0,(L35-C14)&lt;=0),0,IF(AND((L35-C13)&gt;=0,(L35-C14)&gt;=0),0.5*((L35-C13)+(L35-C14))*ABS(B14-B13),IF((L35-C13)&gt;0,0.5*(L35-C13)*ABS((B13+((L35-C13)/((L35-C13)-(L35-C14)))*(B14-B13))-B13),0.5*(L35-C14)*ABS(B14-(B13+((L35-C13)/((L35-C13)-(L35-C14)))*(B14-B13)))))))+(IF(AND((L35-C14)&lt;=0,(L35-C15)&lt;=0),0,IF(AND((L35-C14)&gt;=0,(L35-C15)&gt;=0),0.5*((L35-C14)+(L35-C15))*ABS(B15-B14),IF((L35-C14)&gt;0,0.5*(L35-C14)*ABS((B14+((L35-C14)/((L35-C14)-(L35-C15)))*(B15-B14))-B14),0.5*(L35-C15)*ABS(B15-(B14+((L35-C14)/((L35-C14)-(L35-C15)))*(B15-B14)))))))+(IF(AND((L35-C15)&lt;=0,(L35-C16)&lt;=0),0,IF(AND((L35-C15)&gt;=0,(L35-C16)&gt;=0),0.5*((L35-C15)+(L35-C16))*ABS(B16-B15),IF((L35-C15)&gt;0,0.5*(L35-C15)*ABS((B15+((L35-C15)/((L35-C15)-(L35-C16)))*(B16-B15))-B15),0.5*(L35-C16)*ABS(B16-(B15+((L35-C15)/((L35-C15)-(L35-C16)))*(B16-B15)))))))</f>
        <v/>
      </c>
      <c r="N35">
        <f>(IF(AND((L35-C9)&lt;=0,(L35-C10)&lt;=0),0,IF(AND((L35-C9)&gt;=0,(L35-C10)&gt;=0),SQRT((B10-B9)^2+(C10-C9)^2),IF((L35-C9)&gt;0,SQRT(((B9+((L35-C9)/((L35-C9)-(L35-C10)))*(B10-B9))-B9)^2+(L35-C9)^2),SQRT((B10-(B9+((L35-C9)/((L35-C9)-(L35-C10)))*(B10-B9)))^2+(L35-C10)^2)))))+(IF(AND((L35-C10)&lt;=0,(L35-C11)&lt;=0),0,IF(AND((L35-C10)&gt;=0,(L35-C11)&gt;=0),SQRT((B11-B10)^2+(C11-C10)^2),IF((L35-C10)&gt;0,SQRT(((B10+((L35-C10)/((L35-C10)-(L35-C11)))*(B11-B10))-B10)^2+(L35-C10)^2),SQRT((B11-(B10+((L35-C10)/((L35-C10)-(L35-C11)))*(B11-B10)))^2+(L35-C11)^2)))))+(IF(AND((L35-C11)&lt;=0,(L35-C12)&lt;=0),0,IF(AND((L35-C11)&gt;=0,(L35-C12)&gt;=0),SQRT((B12-B11)^2+(C12-C11)^2),IF((L35-C11)&gt;0,SQRT(((B11+((L35-C11)/((L35-C11)-(L35-C12)))*(B12-B11))-B11)^2+(L35-C11)^2),SQRT((B12-(B11+((L35-C11)/((L35-C11)-(L35-C12)))*(B12-B11)))^2+(L35-C12)^2)))))+(IF(AND((L35-C12)&lt;=0,(L35-C13)&lt;=0),0,IF(AND((L35-C12)&gt;=0,(L35-C13)&gt;=0),SQRT((B13-B12)^2+(C13-C12)^2),IF((L35-C12)&gt;0,SQRT(((B12+((L35-C12)/((L35-C12)-(L35-C13)))*(B13-B12))-B12)^2+(L35-C12)^2),SQRT((B13-(B12+((L35-C12)/((L35-C12)-(L35-C13)))*(B13-B12)))^2+(L35-C13)^2)))))+(IF(AND((L35-C13)&lt;=0,(L35-C14)&lt;=0),0,IF(AND((L35-C13)&gt;=0,(L35-C14)&gt;=0),SQRT((B14-B13)^2+(C14-C13)^2),IF((L35-C13)&gt;0,SQRT(((B13+((L35-C13)/((L35-C13)-(L35-C14)))*(B14-B13))-B13)^2+(L35-C13)^2),SQRT((B14-(B13+((L35-C13)/((L35-C13)-(L35-C14)))*(B14-B13)))^2+(L35-C14)^2)))))+(IF(AND((L35-C14)&lt;=0,(L35-C15)&lt;=0),0,IF(AND((L35-C14)&gt;=0,(L35-C15)&gt;=0),SQRT((B15-B14)^2+(C15-C14)^2),IF((L35-C14)&gt;0,SQRT(((B14+((L35-C14)/((L35-C14)-(L35-C15)))*(B15-B14))-B14)^2+(L35-C14)^2),SQRT((B15-(B14+((L35-C14)/((L35-C14)-(L35-C15)))*(B15-B14)))^2+(L35-C15)^2)))))+(IF(AND((L35-C15)&lt;=0,(L35-C16)&lt;=0),0,IF(AND((L35-C15)&gt;=0,(L35-C16)&gt;=0),SQRT((B16-B15)^2+(C16-C15)^2),IF((L35-C15)&gt;0,SQRT(((B15+((L35-C15)/((L35-C15)-(L35-C16)))*(B16-B15))-B15)^2+(L35-C15)^2),SQRT((B16-(B15+((L35-C15)/((L35-C15)-(L35-C16)))*(B16-B15)))^2+(L35-C16)^2)))))</f>
        <v/>
      </c>
      <c r="O35">
        <f>IF(OR($B$6&lt;=0,M35&lt;=0,N35&lt;=0,$B$4&lt;=0),0,(1/$B$6)*M35*((M35/N35)^(2/3))*SQRT($B$4))</f>
        <v/>
      </c>
    </row>
    <row r="36">
      <c r="I36" t="n">
        <v>28</v>
      </c>
      <c r="J36">
        <f>IF(O35&lt;$B$5,L35,J35)</f>
        <v/>
      </c>
      <c r="K36">
        <f>IF(O35&lt;$B$5,K35,L35)</f>
        <v/>
      </c>
      <c r="L36">
        <f>(J36+K36)/2</f>
        <v/>
      </c>
      <c r="M36">
        <f>(IF(AND((L36-C9)&lt;=0,(L36-C10)&lt;=0),0,IF(AND((L36-C9)&gt;=0,(L36-C10)&gt;=0),0.5*((L36-C9)+(L36-C10))*ABS(B10-B9),IF((L36-C9)&gt;0,0.5*(L36-C9)*ABS((B9+((L36-C9)/((L36-C9)-(L36-C10)))*(B10-B9))-B9),0.5*(L36-C10)*ABS(B10-(B9+((L36-C9)/((L36-C9)-(L36-C10)))*(B10-B9)))))))+(IF(AND((L36-C10)&lt;=0,(L36-C11)&lt;=0),0,IF(AND((L36-C10)&gt;=0,(L36-C11)&gt;=0),0.5*((L36-C10)+(L36-C11))*ABS(B11-B10),IF((L36-C10)&gt;0,0.5*(L36-C10)*ABS((B10+((L36-C10)/((L36-C10)-(L36-C11)))*(B11-B10))-B10),0.5*(L36-C11)*ABS(B11-(B10+((L36-C10)/((L36-C10)-(L36-C11)))*(B11-B10)))))))+(IF(AND((L36-C11)&lt;=0,(L36-C12)&lt;=0),0,IF(AND((L36-C11)&gt;=0,(L36-C12)&gt;=0),0.5*((L36-C11)+(L36-C12))*ABS(B12-B11),IF((L36-C11)&gt;0,0.5*(L36-C11)*ABS((B11+((L36-C11)/((L36-C11)-(L36-C12)))*(B12-B11))-B11),0.5*(L36-C12)*ABS(B12-(B11+((L36-C11)/((L36-C11)-(L36-C12)))*(B12-B11)))))))+(IF(AND((L36-C12)&lt;=0,(L36-C13)&lt;=0),0,IF(AND((L36-C12)&gt;=0,(L36-C13)&gt;=0),0.5*((L36-C12)+(L36-C13))*ABS(B13-B12),IF((L36-C12)&gt;0,0.5*(L36-C12)*ABS((B12+((L36-C12)/((L36-C12)-(L36-C13)))*(B13-B12))-B12),0.5*(L36-C13)*ABS(B13-(B12+((L36-C12)/((L36-C12)-(L36-C13)))*(B13-B12)))))))+(IF(AND((L36-C13)&lt;=0,(L36-C14)&lt;=0),0,IF(AND((L36-C13)&gt;=0,(L36-C14)&gt;=0),0.5*((L36-C13)+(L36-C14))*ABS(B14-B13),IF((L36-C13)&gt;0,0.5*(L36-C13)*ABS((B13+((L36-C13)/((L36-C13)-(L36-C14)))*(B14-B13))-B13),0.5*(L36-C14)*ABS(B14-(B13+((L36-C13)/((L36-C13)-(L36-C14)))*(B14-B13)))))))+(IF(AND((L36-C14)&lt;=0,(L36-C15)&lt;=0),0,IF(AND((L36-C14)&gt;=0,(L36-C15)&gt;=0),0.5*((L36-C14)+(L36-C15))*ABS(B15-B14),IF((L36-C14)&gt;0,0.5*(L36-C14)*ABS((B14+((L36-C14)/((L36-C14)-(L36-C15)))*(B15-B14))-B14),0.5*(L36-C15)*ABS(B15-(B14+((L36-C14)/((L36-C14)-(L36-C15)))*(B15-B14)))))))+(IF(AND((L36-C15)&lt;=0,(L36-C16)&lt;=0),0,IF(AND((L36-C15)&gt;=0,(L36-C16)&gt;=0),0.5*((L36-C15)+(L36-C16))*ABS(B16-B15),IF((L36-C15)&gt;0,0.5*(L36-C15)*ABS((B15+((L36-C15)/((L36-C15)-(L36-C16)))*(B16-B15))-B15),0.5*(L36-C16)*ABS(B16-(B15+((L36-C15)/((L36-C15)-(L36-C16)))*(B16-B15)))))))</f>
        <v/>
      </c>
      <c r="N36">
        <f>(IF(AND((L36-C9)&lt;=0,(L36-C10)&lt;=0),0,IF(AND((L36-C9)&gt;=0,(L36-C10)&gt;=0),SQRT((B10-B9)^2+(C10-C9)^2),IF((L36-C9)&gt;0,SQRT(((B9+((L36-C9)/((L36-C9)-(L36-C10)))*(B10-B9))-B9)^2+(L36-C9)^2),SQRT((B10-(B9+((L36-C9)/((L36-C9)-(L36-C10)))*(B10-B9)))^2+(L36-C10)^2)))))+(IF(AND((L36-C10)&lt;=0,(L36-C11)&lt;=0),0,IF(AND((L36-C10)&gt;=0,(L36-C11)&gt;=0),SQRT((B11-B10)^2+(C11-C10)^2),IF((L36-C10)&gt;0,SQRT(((B10+((L36-C10)/((L36-C10)-(L36-C11)))*(B11-B10))-B10)^2+(L36-C10)^2),SQRT((B11-(B10+((L36-C10)/((L36-C10)-(L36-C11)))*(B11-B10)))^2+(L36-C11)^2)))))+(IF(AND((L36-C11)&lt;=0,(L36-C12)&lt;=0),0,IF(AND((L36-C11)&gt;=0,(L36-C12)&gt;=0),SQRT((B12-B11)^2+(C12-C11)^2),IF((L36-C11)&gt;0,SQRT(((B11+((L36-C11)/((L36-C11)-(L36-C12)))*(B12-B11))-B11)^2+(L36-C11)^2),SQRT((B12-(B11+((L36-C11)/((L36-C11)-(L36-C12)))*(B12-B11)))^2+(L36-C12)^2)))))+(IF(AND((L36-C12)&lt;=0,(L36-C13)&lt;=0),0,IF(AND((L36-C12)&gt;=0,(L36-C13)&gt;=0),SQRT((B13-B12)^2+(C13-C12)^2),IF((L36-C12)&gt;0,SQRT(((B12+((L36-C12)/((L36-C12)-(L36-C13)))*(B13-B12))-B12)^2+(L36-C12)^2),SQRT((B13-(B12+((L36-C12)/((L36-C12)-(L36-C13)))*(B13-B12)))^2+(L36-C13)^2)))))+(IF(AND((L36-C13)&lt;=0,(L36-C14)&lt;=0),0,IF(AND((L36-C13)&gt;=0,(L36-C14)&gt;=0),SQRT((B14-B13)^2+(C14-C13)^2),IF((L36-C13)&gt;0,SQRT(((B13+((L36-C13)/((L36-C13)-(L36-C14)))*(B14-B13))-B13)^2+(L36-C13)^2),SQRT((B14-(B13+((L36-C13)/((L36-C13)-(L36-C14)))*(B14-B13)))^2+(L36-C14)^2)))))+(IF(AND((L36-C14)&lt;=0,(L36-C15)&lt;=0),0,IF(AND((L36-C14)&gt;=0,(L36-C15)&gt;=0),SQRT((B15-B14)^2+(C15-C14)^2),IF((L36-C14)&gt;0,SQRT(((B14+((L36-C14)/((L36-C14)-(L36-C15)))*(B15-B14))-B14)^2+(L36-C14)^2),SQRT((B15-(B14+((L36-C14)/((L36-C14)-(L36-C15)))*(B15-B14)))^2+(L36-C15)^2)))))+(IF(AND((L36-C15)&lt;=0,(L36-C16)&lt;=0),0,IF(AND((L36-C15)&gt;=0,(L36-C16)&gt;=0),SQRT((B16-B15)^2+(C16-C15)^2),IF((L36-C15)&gt;0,SQRT(((B15+((L36-C15)/((L36-C15)-(L36-C16)))*(B16-B15))-B15)^2+(L36-C15)^2),SQRT((B16-(B15+((L36-C15)/((L36-C15)-(L36-C16)))*(B16-B15)))^2+(L36-C16)^2)))))</f>
        <v/>
      </c>
      <c r="O36">
        <f>IF(OR($B$6&lt;=0,M36&lt;=0,N36&lt;=0,$B$4&lt;=0),0,(1/$B$6)*M36*((M36/N36)^(2/3))*SQRT($B$4))</f>
        <v/>
      </c>
    </row>
    <row r="37">
      <c r="I37" t="n">
        <v>29</v>
      </c>
      <c r="J37">
        <f>IF(O36&lt;$B$5,L36,J36)</f>
        <v/>
      </c>
      <c r="K37">
        <f>IF(O36&lt;$B$5,K36,L36)</f>
        <v/>
      </c>
      <c r="L37">
        <f>(J37+K37)/2</f>
        <v/>
      </c>
      <c r="M37">
        <f>(IF(AND((L37-C9)&lt;=0,(L37-C10)&lt;=0),0,IF(AND((L37-C9)&gt;=0,(L37-C10)&gt;=0),0.5*((L37-C9)+(L37-C10))*ABS(B10-B9),IF((L37-C9)&gt;0,0.5*(L37-C9)*ABS((B9+((L37-C9)/((L37-C9)-(L37-C10)))*(B10-B9))-B9),0.5*(L37-C10)*ABS(B10-(B9+((L37-C9)/((L37-C9)-(L37-C10)))*(B10-B9)))))))+(IF(AND((L37-C10)&lt;=0,(L37-C11)&lt;=0),0,IF(AND((L37-C10)&gt;=0,(L37-C11)&gt;=0),0.5*((L37-C10)+(L37-C11))*ABS(B11-B10),IF((L37-C10)&gt;0,0.5*(L37-C10)*ABS((B10+((L37-C10)/((L37-C10)-(L37-C11)))*(B11-B10))-B10),0.5*(L37-C11)*ABS(B11-(B10+((L37-C10)/((L37-C10)-(L37-C11)))*(B11-B10)))))))+(IF(AND((L37-C11)&lt;=0,(L37-C12)&lt;=0),0,IF(AND((L37-C11)&gt;=0,(L37-C12)&gt;=0),0.5*((L37-C11)+(L37-C12))*ABS(B12-B11),IF((L37-C11)&gt;0,0.5*(L37-C11)*ABS((B11+((L37-C11)/((L37-C11)-(L37-C12)))*(B12-B11))-B11),0.5*(L37-C12)*ABS(B12-(B11+((L37-C11)/((L37-C11)-(L37-C12)))*(B12-B11)))))))+(IF(AND((L37-C12)&lt;=0,(L37-C13)&lt;=0),0,IF(AND((L37-C12)&gt;=0,(L37-C13)&gt;=0),0.5*((L37-C12)+(L37-C13))*ABS(B13-B12),IF((L37-C12)&gt;0,0.5*(L37-C12)*ABS((B12+((L37-C12)/((L37-C12)-(L37-C13)))*(B13-B12))-B12),0.5*(L37-C13)*ABS(B13-(B12+((L37-C12)/((L37-C12)-(L37-C13)))*(B13-B12)))))))+(IF(AND((L37-C13)&lt;=0,(L37-C14)&lt;=0),0,IF(AND((L37-C13)&gt;=0,(L37-C14)&gt;=0),0.5*((L37-C13)+(L37-C14))*ABS(B14-B13),IF((L37-C13)&gt;0,0.5*(L37-C13)*ABS((B13+((L37-C13)/((L37-C13)-(L37-C14)))*(B14-B13))-B13),0.5*(L37-C14)*ABS(B14-(B13+((L37-C13)/((L37-C13)-(L37-C14)))*(B14-B13)))))))+(IF(AND((L37-C14)&lt;=0,(L37-C15)&lt;=0),0,IF(AND((L37-C14)&gt;=0,(L37-C15)&gt;=0),0.5*((L37-C14)+(L37-C15))*ABS(B15-B14),IF((L37-C14)&gt;0,0.5*(L37-C14)*ABS((B14+((L37-C14)/((L37-C14)-(L37-C15)))*(B15-B14))-B14),0.5*(L37-C15)*ABS(B15-(B14+((L37-C14)/((L37-C14)-(L37-C15)))*(B15-B14)))))))+(IF(AND((L37-C15)&lt;=0,(L37-C16)&lt;=0),0,IF(AND((L37-C15)&gt;=0,(L37-C16)&gt;=0),0.5*((L37-C15)+(L37-C16))*ABS(B16-B15),IF((L37-C15)&gt;0,0.5*(L37-C15)*ABS((B15+((L37-C15)/((L37-C15)-(L37-C16)))*(B16-B15))-B15),0.5*(L37-C16)*ABS(B16-(B15+((L37-C15)/((L37-C15)-(L37-C16)))*(B16-B15)))))))</f>
        <v/>
      </c>
      <c r="N37">
        <f>(IF(AND((L37-C9)&lt;=0,(L37-C10)&lt;=0),0,IF(AND((L37-C9)&gt;=0,(L37-C10)&gt;=0),SQRT((B10-B9)^2+(C10-C9)^2),IF((L37-C9)&gt;0,SQRT(((B9+((L37-C9)/((L37-C9)-(L37-C10)))*(B10-B9))-B9)^2+(L37-C9)^2),SQRT((B10-(B9+((L37-C9)/((L37-C9)-(L37-C10)))*(B10-B9)))^2+(L37-C10)^2)))))+(IF(AND((L37-C10)&lt;=0,(L37-C11)&lt;=0),0,IF(AND((L37-C10)&gt;=0,(L37-C11)&gt;=0),SQRT((B11-B10)^2+(C11-C10)^2),IF((L37-C10)&gt;0,SQRT(((B10+((L37-C10)/((L37-C10)-(L37-C11)))*(B11-B10))-B10)^2+(L37-C10)^2),SQRT((B11-(B10+((L37-C10)/((L37-C10)-(L37-C11)))*(B11-B10)))^2+(L37-C11)^2)))))+(IF(AND((L37-C11)&lt;=0,(L37-C12)&lt;=0),0,IF(AND((L37-C11)&gt;=0,(L37-C12)&gt;=0),SQRT((B12-B11)^2+(C12-C11)^2),IF((L37-C11)&gt;0,SQRT(((B11+((L37-C11)/((L37-C11)-(L37-C12)))*(B12-B11))-B11)^2+(L37-C11)^2),SQRT((B12-(B11+((L37-C11)/((L37-C11)-(L37-C12)))*(B12-B11)))^2+(L37-C12)^2)))))+(IF(AND((L37-C12)&lt;=0,(L37-C13)&lt;=0),0,IF(AND((L37-C12)&gt;=0,(L37-C13)&gt;=0),SQRT((B13-B12)^2+(C13-C12)^2),IF((L37-C12)&gt;0,SQRT(((B12+((L37-C12)/((L37-C12)-(L37-C13)))*(B13-B12))-B12)^2+(L37-C12)^2),SQRT((B13-(B12+((L37-C12)/((L37-C12)-(L37-C13)))*(B13-B12)))^2+(L37-C13)^2)))))+(IF(AND((L37-C13)&lt;=0,(L37-C14)&lt;=0),0,IF(AND((L37-C13)&gt;=0,(L37-C14)&gt;=0),SQRT((B14-B13)^2+(C14-C13)^2),IF((L37-C13)&gt;0,SQRT(((B13+((L37-C13)/((L37-C13)-(L37-C14)))*(B14-B13))-B13)^2+(L37-C13)^2),SQRT((B14-(B13+((L37-C13)/((L37-C13)-(L37-C14)))*(B14-B13)))^2+(L37-C14)^2)))))+(IF(AND((L37-C14)&lt;=0,(L37-C15)&lt;=0),0,IF(AND((L37-C14)&gt;=0,(L37-C15)&gt;=0),SQRT((B15-B14)^2+(C15-C14)^2),IF((L37-C14)&gt;0,SQRT(((B14+((L37-C14)/((L37-C14)-(L37-C15)))*(B15-B14))-B14)^2+(L37-C14)^2),SQRT((B15-(B14+((L37-C14)/((L37-C14)-(L37-C15)))*(B15-B14)))^2+(L37-C15)^2)))))+(IF(AND((L37-C15)&lt;=0,(L37-C16)&lt;=0),0,IF(AND((L37-C15)&gt;=0,(L37-C16)&gt;=0),SQRT((B16-B15)^2+(C16-C15)^2),IF((L37-C15)&gt;0,SQRT(((B15+((L37-C15)/((L37-C15)-(L37-C16)))*(B16-B15))-B15)^2+(L37-C15)^2),SQRT((B16-(B15+((L37-C15)/((L37-C15)-(L37-C16)))*(B16-B15)))^2+(L37-C16)^2)))))</f>
        <v/>
      </c>
      <c r="O37">
        <f>IF(OR($B$6&lt;=0,M37&lt;=0,N37&lt;=0,$B$4&lt;=0),0,(1/$B$6)*M37*((M37/N37)^(2/3))*SQRT($B$4))</f>
        <v/>
      </c>
    </row>
    <row r="38">
      <c r="I38" t="n">
        <v>30</v>
      </c>
      <c r="J38">
        <f>IF(O37&lt;$B$5,L37,J37)</f>
        <v/>
      </c>
      <c r="K38">
        <f>IF(O37&lt;$B$5,K37,L37)</f>
        <v/>
      </c>
      <c r="L38">
        <f>(J38+K38)/2</f>
        <v/>
      </c>
      <c r="M38">
        <f>(IF(AND((L38-C9)&lt;=0,(L38-C10)&lt;=0),0,IF(AND((L38-C9)&gt;=0,(L38-C10)&gt;=0),0.5*((L38-C9)+(L38-C10))*ABS(B10-B9),IF((L38-C9)&gt;0,0.5*(L38-C9)*ABS((B9+((L38-C9)/((L38-C9)-(L38-C10)))*(B10-B9))-B9),0.5*(L38-C10)*ABS(B10-(B9+((L38-C9)/((L38-C9)-(L38-C10)))*(B10-B9)))))))+(IF(AND((L38-C10)&lt;=0,(L38-C11)&lt;=0),0,IF(AND((L38-C10)&gt;=0,(L38-C11)&gt;=0),0.5*((L38-C10)+(L38-C11))*ABS(B11-B10),IF((L38-C10)&gt;0,0.5*(L38-C10)*ABS((B10+((L38-C10)/((L38-C10)-(L38-C11)))*(B11-B10))-B10),0.5*(L38-C11)*ABS(B11-(B10+((L38-C10)/((L38-C10)-(L38-C11)))*(B11-B10)))))))+(IF(AND((L38-C11)&lt;=0,(L38-C12)&lt;=0),0,IF(AND((L38-C11)&gt;=0,(L38-C12)&gt;=0),0.5*((L38-C11)+(L38-C12))*ABS(B12-B11),IF((L38-C11)&gt;0,0.5*(L38-C11)*ABS((B11+((L38-C11)/((L38-C11)-(L38-C12)))*(B12-B11))-B11),0.5*(L38-C12)*ABS(B12-(B11+((L38-C11)/((L38-C11)-(L38-C12)))*(B12-B11)))))))+(IF(AND((L38-C12)&lt;=0,(L38-C13)&lt;=0),0,IF(AND((L38-C12)&gt;=0,(L38-C13)&gt;=0),0.5*((L38-C12)+(L38-C13))*ABS(B13-B12),IF((L38-C12)&gt;0,0.5*(L38-C12)*ABS((B12+((L38-C12)/((L38-C12)-(L38-C13)))*(B13-B12))-B12),0.5*(L38-C13)*ABS(B13-(B12+((L38-C12)/((L38-C12)-(L38-C13)))*(B13-B12)))))))+(IF(AND((L38-C13)&lt;=0,(L38-C14)&lt;=0),0,IF(AND((L38-C13)&gt;=0,(L38-C14)&gt;=0),0.5*((L38-C13)+(L38-C14))*ABS(B14-B13),IF((L38-C13)&gt;0,0.5*(L38-C13)*ABS((B13+((L38-C13)/((L38-C13)-(L38-C14)))*(B14-B13))-B13),0.5*(L38-C14)*ABS(B14-(B13+((L38-C13)/((L38-C13)-(L38-C14)))*(B14-B13)))))))+(IF(AND((L38-C14)&lt;=0,(L38-C15)&lt;=0),0,IF(AND((L38-C14)&gt;=0,(L38-C15)&gt;=0),0.5*((L38-C14)+(L38-C15))*ABS(B15-B14),IF((L38-C14)&gt;0,0.5*(L38-C14)*ABS((B14+((L38-C14)/((L38-C14)-(L38-C15)))*(B15-B14))-B14),0.5*(L38-C15)*ABS(B15-(B14+((L38-C14)/((L38-C14)-(L38-C15)))*(B15-B14)))))))+(IF(AND((L38-C15)&lt;=0,(L38-C16)&lt;=0),0,IF(AND((L38-C15)&gt;=0,(L38-C16)&gt;=0),0.5*((L38-C15)+(L38-C16))*ABS(B16-B15),IF((L38-C15)&gt;0,0.5*(L38-C15)*ABS((B15+((L38-C15)/((L38-C15)-(L38-C16)))*(B16-B15))-B15),0.5*(L38-C16)*ABS(B16-(B15+((L38-C15)/((L38-C15)-(L38-C16)))*(B16-B15)))))))</f>
        <v/>
      </c>
      <c r="N38">
        <f>(IF(AND((L38-C9)&lt;=0,(L38-C10)&lt;=0),0,IF(AND((L38-C9)&gt;=0,(L38-C10)&gt;=0),SQRT((B10-B9)^2+(C10-C9)^2),IF((L38-C9)&gt;0,SQRT(((B9+((L38-C9)/((L38-C9)-(L38-C10)))*(B10-B9))-B9)^2+(L38-C9)^2),SQRT((B10-(B9+((L38-C9)/((L38-C9)-(L38-C10)))*(B10-B9)))^2+(L38-C10)^2)))))+(IF(AND((L38-C10)&lt;=0,(L38-C11)&lt;=0),0,IF(AND((L38-C10)&gt;=0,(L38-C11)&gt;=0),SQRT((B11-B10)^2+(C11-C10)^2),IF((L38-C10)&gt;0,SQRT(((B10+((L38-C10)/((L38-C10)-(L38-C11)))*(B11-B10))-B10)^2+(L38-C10)^2),SQRT((B11-(B10+((L38-C10)/((L38-C10)-(L38-C11)))*(B11-B10)))^2+(L38-C11)^2)))))+(IF(AND((L38-C11)&lt;=0,(L38-C12)&lt;=0),0,IF(AND((L38-C11)&gt;=0,(L38-C12)&gt;=0),SQRT((B12-B11)^2+(C12-C11)^2),IF((L38-C11)&gt;0,SQRT(((B11+((L38-C11)/((L38-C11)-(L38-C12)))*(B12-B11))-B11)^2+(L38-C11)^2),SQRT((B12-(B11+((L38-C11)/((L38-C11)-(L38-C12)))*(B12-B11)))^2+(L38-C12)^2)))))+(IF(AND((L38-C12)&lt;=0,(L38-C13)&lt;=0),0,IF(AND((L38-C12)&gt;=0,(L38-C13)&gt;=0),SQRT((B13-B12)^2+(C13-C12)^2),IF((L38-C12)&gt;0,SQRT(((B12+((L38-C12)/((L38-C12)-(L38-C13)))*(B13-B12))-B12)^2+(L38-C12)^2),SQRT((B13-(B12+((L38-C12)/((L38-C12)-(L38-C13)))*(B13-B12)))^2+(L38-C13)^2)))))+(IF(AND((L38-C13)&lt;=0,(L38-C14)&lt;=0),0,IF(AND((L38-C13)&gt;=0,(L38-C14)&gt;=0),SQRT((B14-B13)^2+(C14-C13)^2),IF((L38-C13)&gt;0,SQRT(((B13+((L38-C13)/((L38-C13)-(L38-C14)))*(B14-B13))-B13)^2+(L38-C13)^2),SQRT((B14-(B13+((L38-C13)/((L38-C13)-(L38-C14)))*(B14-B13)))^2+(L38-C14)^2)))))+(IF(AND((L38-C14)&lt;=0,(L38-C15)&lt;=0),0,IF(AND((L38-C14)&gt;=0,(L38-C15)&gt;=0),SQRT((B15-B14)^2+(C15-C14)^2),IF((L38-C14)&gt;0,SQRT(((B14+((L38-C14)/((L38-C14)-(L38-C15)))*(B15-B14))-B14)^2+(L38-C14)^2),SQRT((B15-(B14+((L38-C14)/((L38-C14)-(L38-C15)))*(B15-B14)))^2+(L38-C15)^2)))))+(IF(AND((L38-C15)&lt;=0,(L38-C16)&lt;=0),0,IF(AND((L38-C15)&gt;=0,(L38-C16)&gt;=0),SQRT((B16-B15)^2+(C16-C15)^2),IF((L38-C15)&gt;0,SQRT(((B15+((L38-C15)/((L38-C15)-(L38-C16)))*(B16-B15))-B15)^2+(L38-C15)^2),SQRT((B16-(B15+((L38-C15)/((L38-C15)-(L38-C16)))*(B16-B15)))^2+(L38-C16)^2)))))</f>
        <v/>
      </c>
      <c r="O38">
        <f>IF(OR($B$6&lt;=0,M38&lt;=0,N38&lt;=0,$B$4&lt;=0),0,(1/$B$6)*M38*((M38/N38)^(2/3))*SQRT($B$4))</f>
        <v/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0" customWidth="1" min="4" max="4"/>
    <col width="12" customWidth="1" min="5" max="5"/>
    <col width="16" customWidth="1" min="6" max="6"/>
    <col width="16" customWidth="1" min="7" max="7"/>
    <col width="6" customWidth="1" min="9" max="9"/>
    <col width="11" customWidth="1" min="10" max="10"/>
    <col width="11" customWidth="1" min="11" max="11"/>
    <col width="14" customWidth="1" min="12" max="12"/>
    <col width="11" customWidth="1" min="13" max="13"/>
    <col width="11" customWidth="1" min="14" max="14"/>
    <col width="16" customWidth="1" min="15" max="15"/>
  </cols>
  <sheetData>
    <row r="1">
      <c r="A1" s="13" t="inlineStr">
        <is>
          <t>Section 6+000 — profondeur normale + aire (formules Excel)</t>
        </is>
      </c>
    </row>
    <row r="2">
      <c r="A2" t="inlineStr">
        <is>
          <t>WSE = yn (m)</t>
        </is>
      </c>
      <c r="B2" s="18">
        <f>L38</f>
        <v/>
      </c>
      <c r="C2" s="2" t="inlineStr">
        <is>
          <t>← calculé par dichotomie (colonne L) pour Q_manning = Q ; pas une saisie</t>
        </is>
      </c>
    </row>
    <row r="3">
      <c r="A3" t="inlineStr">
        <is>
          <t>Station cum. (m)</t>
        </is>
      </c>
      <c r="B3" t="n">
        <v>59.435</v>
      </c>
    </row>
    <row r="4">
      <c r="A4" t="inlineStr">
        <is>
          <t>S0 réel</t>
        </is>
      </c>
      <c r="B4" t="n">
        <v>0.00535</v>
      </c>
    </row>
    <row r="5">
      <c r="A5" t="inlineStr">
        <is>
          <t>Q (m³/s)</t>
        </is>
      </c>
      <c r="B5" s="14" t="n">
        <v>7.36</v>
      </c>
    </row>
    <row r="6">
      <c r="A6" t="inlineStr">
        <is>
          <t>n Manning</t>
        </is>
      </c>
      <c r="B6" s="14" t="n">
        <v>0.035</v>
      </c>
      <c r="I6" s="16" t="inlineStr">
        <is>
          <t>Dichotomie yn (formules) — ne pas éditer</t>
        </is>
      </c>
    </row>
    <row r="8">
      <c r="A8" s="4" t="inlineStr">
        <is>
          <t>#</t>
        </is>
      </c>
      <c r="B8" s="4" t="inlineStr">
        <is>
          <t>Distance x (m)</t>
        </is>
      </c>
      <c r="C8" s="4" t="inlineStr">
        <is>
          <t>Elev z (m)</t>
        </is>
      </c>
      <c r="D8" s="4" t="inlineStr">
        <is>
          <t>Desc</t>
        </is>
      </c>
      <c r="E8" s="4" t="inlineStr">
        <is>
          <t>d=WSE−z</t>
        </is>
      </c>
      <c r="F8" s="4" t="inlineStr">
        <is>
          <t>Ai segment (m²)</t>
        </is>
      </c>
      <c r="G8" s="4" t="inlineStr">
        <is>
          <t>Pi segment (m)</t>
        </is>
      </c>
      <c r="I8" s="4" t="inlineStr">
        <is>
          <t>iter</t>
        </is>
      </c>
      <c r="J8" s="4" t="inlineStr">
        <is>
          <t>lo</t>
        </is>
      </c>
      <c r="K8" s="4" t="inlineStr">
        <is>
          <t>hi</t>
        </is>
      </c>
      <c r="L8" s="4" t="inlineStr">
        <is>
          <t>mid=WSE essai</t>
        </is>
      </c>
      <c r="M8" s="4" t="inlineStr">
        <is>
          <t>A(mid)</t>
        </is>
      </c>
      <c r="N8" s="4" t="inlineStr">
        <is>
          <t>P(mid)</t>
        </is>
      </c>
      <c r="O8" s="4" t="inlineStr">
        <is>
          <t>Q_manning(mid)</t>
        </is>
      </c>
    </row>
    <row r="9">
      <c r="A9" s="5" t="n">
        <v>1</v>
      </c>
      <c r="B9" s="5" t="n">
        <v>0</v>
      </c>
      <c r="C9" s="5" t="n">
        <v>39.414</v>
      </c>
      <c r="D9" s="5" t="inlineStr">
        <is>
          <t>BOR</t>
        </is>
      </c>
      <c r="E9" s="5">
        <f>$B$2-C9</f>
        <v/>
      </c>
      <c r="F9" s="5">
        <f>IF(AND(($B$2-C9)&lt;=0,($B$2-C10)&lt;=0),0,IF(AND(($B$2-C9)&gt;=0,($B$2-C10)&gt;=0),0.5*(($B$2-C9)+($B$2-C10))*ABS(B10-B9),IF(($B$2-C9)&gt;0,0.5*($B$2-C9)*ABS((B9+(($B$2-C9)/(($B$2-C9)-($B$2-C10)))*(B10-B9))-B9),0.5*($B$2-C10)*ABS(B10-(B9+(($B$2-C9)/(($B$2-C9)-($B$2-C10)))*(B10-B9))))))</f>
        <v/>
      </c>
      <c r="G9" s="5">
        <f>IF(AND(($B$2-C9)&lt;=0,($B$2-C10)&lt;=0),0,IF(AND(($B$2-C9)&gt;=0,($B$2-C10)&gt;=0),SQRT((B10-B9)^2+(C10-C9)^2),IF(($B$2-C9)&gt;0,SQRT(((B9+(($B$2-C9)/(($B$2-C9)-($B$2-C10)))*(B10-B9))-B9)^2+($B$2-C9)^2),SQRT((B10-(B9+(($B$2-C9)/(($B$2-C9)-($B$2-C10)))*(B10-B9)))^2+($B$2-C10)^2))))</f>
        <v/>
      </c>
      <c r="I9" t="n">
        <v>1</v>
      </c>
      <c r="J9">
        <f>B21+0.0001</f>
        <v/>
      </c>
      <c r="K9">
        <f>MAX(C9:C17)-0.0001</f>
        <v/>
      </c>
      <c r="L9">
        <f>(J9+K9)/2</f>
        <v/>
      </c>
      <c r="M9">
        <f>(IF(AND((L9-C9)&lt;=0,(L9-C10)&lt;=0),0,IF(AND((L9-C9)&gt;=0,(L9-C10)&gt;=0),0.5*((L9-C9)+(L9-C10))*ABS(B10-B9),IF((L9-C9)&gt;0,0.5*(L9-C9)*ABS((B9+((L9-C9)/((L9-C9)-(L9-C10)))*(B10-B9))-B9),0.5*(L9-C10)*ABS(B10-(B9+((L9-C9)/((L9-C9)-(L9-C10)))*(B10-B9)))))))+(IF(AND((L9-C10)&lt;=0,(L9-C11)&lt;=0),0,IF(AND((L9-C10)&gt;=0,(L9-C11)&gt;=0),0.5*((L9-C10)+(L9-C11))*ABS(B11-B10),IF((L9-C10)&gt;0,0.5*(L9-C10)*ABS((B10+((L9-C10)/((L9-C10)-(L9-C11)))*(B11-B10))-B10),0.5*(L9-C11)*ABS(B11-(B10+((L9-C10)/((L9-C10)-(L9-C11)))*(B11-B10)))))))+(IF(AND((L9-C11)&lt;=0,(L9-C12)&lt;=0),0,IF(AND((L9-C11)&gt;=0,(L9-C12)&gt;=0),0.5*((L9-C11)+(L9-C12))*ABS(B12-B11),IF((L9-C11)&gt;0,0.5*(L9-C11)*ABS((B11+((L9-C11)/((L9-C11)-(L9-C12)))*(B12-B11))-B11),0.5*(L9-C12)*ABS(B12-(B11+((L9-C11)/((L9-C11)-(L9-C12)))*(B12-B11)))))))+(IF(AND((L9-C12)&lt;=0,(L9-C13)&lt;=0),0,IF(AND((L9-C12)&gt;=0,(L9-C13)&gt;=0),0.5*((L9-C12)+(L9-C13))*ABS(B13-B12),IF((L9-C12)&gt;0,0.5*(L9-C12)*ABS((B12+((L9-C12)/((L9-C12)-(L9-C13)))*(B13-B12))-B12),0.5*(L9-C13)*ABS(B13-(B12+((L9-C12)/((L9-C12)-(L9-C13)))*(B13-B12)))))))+(IF(AND((L9-C13)&lt;=0,(L9-C14)&lt;=0),0,IF(AND((L9-C13)&gt;=0,(L9-C14)&gt;=0),0.5*((L9-C13)+(L9-C14))*ABS(B14-B13),IF((L9-C13)&gt;0,0.5*(L9-C13)*ABS((B13+((L9-C13)/((L9-C13)-(L9-C14)))*(B14-B13))-B13),0.5*(L9-C14)*ABS(B14-(B13+((L9-C13)/((L9-C13)-(L9-C14)))*(B14-B13)))))))+(IF(AND((L9-C14)&lt;=0,(L9-C15)&lt;=0),0,IF(AND((L9-C14)&gt;=0,(L9-C15)&gt;=0),0.5*((L9-C14)+(L9-C15))*ABS(B15-B14),IF((L9-C14)&gt;0,0.5*(L9-C14)*ABS((B14+((L9-C14)/((L9-C14)-(L9-C15)))*(B15-B14))-B14),0.5*(L9-C15)*ABS(B15-(B14+((L9-C14)/((L9-C14)-(L9-C15)))*(B15-B14)))))))+(IF(AND((L9-C15)&lt;=0,(L9-C16)&lt;=0),0,IF(AND((L9-C15)&gt;=0,(L9-C16)&gt;=0),0.5*((L9-C15)+(L9-C16))*ABS(B16-B15),IF((L9-C15)&gt;0,0.5*(L9-C15)*ABS((B15+((L9-C15)/((L9-C15)-(L9-C16)))*(B16-B15))-B15),0.5*(L9-C16)*ABS(B16-(B15+((L9-C15)/((L9-C15)-(L9-C16)))*(B16-B15)))))))+(IF(AND((L9-C16)&lt;=0,(L9-C17)&lt;=0),0,IF(AND((L9-C16)&gt;=0,(L9-C17)&gt;=0),0.5*((L9-C16)+(L9-C17))*ABS(B17-B16),IF((L9-C16)&gt;0,0.5*(L9-C16)*ABS((B16+((L9-C16)/((L9-C16)-(L9-C17)))*(B17-B16))-B16),0.5*(L9-C17)*ABS(B17-(B16+((L9-C16)/((L9-C16)-(L9-C17)))*(B17-B16)))))))</f>
        <v/>
      </c>
      <c r="N9">
        <f>(IF(AND((L9-C9)&lt;=0,(L9-C10)&lt;=0),0,IF(AND((L9-C9)&gt;=0,(L9-C10)&gt;=0),SQRT((B10-B9)^2+(C10-C9)^2),IF((L9-C9)&gt;0,SQRT(((B9+((L9-C9)/((L9-C9)-(L9-C10)))*(B10-B9))-B9)^2+(L9-C9)^2),SQRT((B10-(B9+((L9-C9)/((L9-C9)-(L9-C10)))*(B10-B9)))^2+(L9-C10)^2)))))+(IF(AND((L9-C10)&lt;=0,(L9-C11)&lt;=0),0,IF(AND((L9-C10)&gt;=0,(L9-C11)&gt;=0),SQRT((B11-B10)^2+(C11-C10)^2),IF((L9-C10)&gt;0,SQRT(((B10+((L9-C10)/((L9-C10)-(L9-C11)))*(B11-B10))-B10)^2+(L9-C10)^2),SQRT((B11-(B10+((L9-C10)/((L9-C10)-(L9-C11)))*(B11-B10)))^2+(L9-C11)^2)))))+(IF(AND((L9-C11)&lt;=0,(L9-C12)&lt;=0),0,IF(AND((L9-C11)&gt;=0,(L9-C12)&gt;=0),SQRT((B12-B11)^2+(C12-C11)^2),IF((L9-C11)&gt;0,SQRT(((B11+((L9-C11)/((L9-C11)-(L9-C12)))*(B12-B11))-B11)^2+(L9-C11)^2),SQRT((B12-(B11+((L9-C11)/((L9-C11)-(L9-C12)))*(B12-B11)))^2+(L9-C12)^2)))))+(IF(AND((L9-C12)&lt;=0,(L9-C13)&lt;=0),0,IF(AND((L9-C12)&gt;=0,(L9-C13)&gt;=0),SQRT((B13-B12)^2+(C13-C12)^2),IF((L9-C12)&gt;0,SQRT(((B12+((L9-C12)/((L9-C12)-(L9-C13)))*(B13-B12))-B12)^2+(L9-C12)^2),SQRT((B13-(B12+((L9-C12)/((L9-C12)-(L9-C13)))*(B13-B12)))^2+(L9-C13)^2)))))+(IF(AND((L9-C13)&lt;=0,(L9-C14)&lt;=0),0,IF(AND((L9-C13)&gt;=0,(L9-C14)&gt;=0),SQRT((B14-B13)^2+(C14-C13)^2),IF((L9-C13)&gt;0,SQRT(((B13+((L9-C13)/((L9-C13)-(L9-C14)))*(B14-B13))-B13)^2+(L9-C13)^2),SQRT((B14-(B13+((L9-C13)/((L9-C13)-(L9-C14)))*(B14-B13)))^2+(L9-C14)^2)))))+(IF(AND((L9-C14)&lt;=0,(L9-C15)&lt;=0),0,IF(AND((L9-C14)&gt;=0,(L9-C15)&gt;=0),SQRT((B15-B14)^2+(C15-C14)^2),IF((L9-C14)&gt;0,SQRT(((B14+((L9-C14)/((L9-C14)-(L9-C15)))*(B15-B14))-B14)^2+(L9-C14)^2),SQRT((B15-(B14+((L9-C14)/((L9-C14)-(L9-C15)))*(B15-B14)))^2+(L9-C15)^2)))))+(IF(AND((L9-C15)&lt;=0,(L9-C16)&lt;=0),0,IF(AND((L9-C15)&gt;=0,(L9-C16)&gt;=0),SQRT((B16-B15)^2+(C16-C15)^2),IF((L9-C15)&gt;0,SQRT(((B15+((L9-C15)/((L9-C15)-(L9-C16)))*(B16-B15))-B15)^2+(L9-C15)^2),SQRT((B16-(B15+((L9-C15)/((L9-C15)-(L9-C16)))*(B16-B15)))^2+(L9-C16)^2)))))+(IF(AND((L9-C16)&lt;=0,(L9-C17)&lt;=0),0,IF(AND((L9-C16)&gt;=0,(L9-C17)&gt;=0),SQRT((B17-B16)^2+(C17-C16)^2),IF((L9-C16)&gt;0,SQRT(((B16+((L9-C16)/((L9-C16)-(L9-C17)))*(B17-B16))-B16)^2+(L9-C16)^2),SQRT((B17-(B16+((L9-C16)/((L9-C16)-(L9-C17)))*(B17-B16)))^2+(L9-C17)^2)))))</f>
        <v/>
      </c>
      <c r="O9">
        <f>IF(OR($B$6&lt;=0,M9&lt;=0,N9&lt;=0,$B$4&lt;=0),0,(1/$B$6)*M9*((M9/N9)^(2/3))*SQRT($B$4))</f>
        <v/>
      </c>
    </row>
    <row r="10">
      <c r="A10" s="5" t="n">
        <v>2</v>
      </c>
      <c r="B10" s="5" t="n">
        <v>12.29</v>
      </c>
      <c r="C10" s="5" t="n">
        <v>38.58</v>
      </c>
      <c r="D10" s="5" t="inlineStr">
        <is>
          <t>THA</t>
        </is>
      </c>
      <c r="E10" s="5">
        <f>$B$2-C10</f>
        <v/>
      </c>
      <c r="F10" s="5">
        <f>IF(AND(($B$2-C10)&lt;=0,($B$2-C11)&lt;=0),0,IF(AND(($B$2-C10)&gt;=0,($B$2-C11)&gt;=0),0.5*(($B$2-C10)+($B$2-C11))*ABS(B11-B10),IF(($B$2-C10)&gt;0,0.5*($B$2-C10)*ABS((B10+(($B$2-C10)/(($B$2-C10)-($B$2-C11)))*(B11-B10))-B10),0.5*($B$2-C11)*ABS(B11-(B10+(($B$2-C10)/(($B$2-C10)-($B$2-C11)))*(B11-B10))))))</f>
        <v/>
      </c>
      <c r="G10" s="5">
        <f>IF(AND(($B$2-C10)&lt;=0,($B$2-C11)&lt;=0),0,IF(AND(($B$2-C10)&gt;=0,($B$2-C11)&gt;=0),SQRT((B11-B10)^2+(C11-C10)^2),IF(($B$2-C10)&gt;0,SQRT(((B10+(($B$2-C10)/(($B$2-C10)-($B$2-C11)))*(B11-B10))-B10)^2+($B$2-C10)^2),SQRT((B11-(B10+(($B$2-C10)/(($B$2-C10)-($B$2-C11)))*(B11-B10)))^2+($B$2-C11)^2))))</f>
        <v/>
      </c>
      <c r="I10" t="n">
        <v>2</v>
      </c>
      <c r="J10">
        <f>IF(O9&lt;$B$5,L9,J9)</f>
        <v/>
      </c>
      <c r="K10">
        <f>IF(O9&lt;$B$5,K9,L9)</f>
        <v/>
      </c>
      <c r="L10">
        <f>(J10+K10)/2</f>
        <v/>
      </c>
      <c r="M10">
        <f>(IF(AND((L10-C9)&lt;=0,(L10-C10)&lt;=0),0,IF(AND((L10-C9)&gt;=0,(L10-C10)&gt;=0),0.5*((L10-C9)+(L10-C10))*ABS(B10-B9),IF((L10-C9)&gt;0,0.5*(L10-C9)*ABS((B9+((L10-C9)/((L10-C9)-(L10-C10)))*(B10-B9))-B9),0.5*(L10-C10)*ABS(B10-(B9+((L10-C9)/((L10-C9)-(L10-C10)))*(B10-B9)))))))+(IF(AND((L10-C10)&lt;=0,(L10-C11)&lt;=0),0,IF(AND((L10-C10)&gt;=0,(L10-C11)&gt;=0),0.5*((L10-C10)+(L10-C11))*ABS(B11-B10),IF((L10-C10)&gt;0,0.5*(L10-C10)*ABS((B10+((L10-C10)/((L10-C10)-(L10-C11)))*(B11-B10))-B10),0.5*(L10-C11)*ABS(B11-(B10+((L10-C10)/((L10-C10)-(L10-C11)))*(B11-B10)))))))+(IF(AND((L10-C11)&lt;=0,(L10-C12)&lt;=0),0,IF(AND((L10-C11)&gt;=0,(L10-C12)&gt;=0),0.5*((L10-C11)+(L10-C12))*ABS(B12-B11),IF((L10-C11)&gt;0,0.5*(L10-C11)*ABS((B11+((L10-C11)/((L10-C11)-(L10-C12)))*(B12-B11))-B11),0.5*(L10-C12)*ABS(B12-(B11+((L10-C11)/((L10-C11)-(L10-C12)))*(B12-B11)))))))+(IF(AND((L10-C12)&lt;=0,(L10-C13)&lt;=0),0,IF(AND((L10-C12)&gt;=0,(L10-C13)&gt;=0),0.5*((L10-C12)+(L10-C13))*ABS(B13-B12),IF((L10-C12)&gt;0,0.5*(L10-C12)*ABS((B12+((L10-C12)/((L10-C12)-(L10-C13)))*(B13-B12))-B12),0.5*(L10-C13)*ABS(B13-(B12+((L10-C12)/((L10-C12)-(L10-C13)))*(B13-B12)))))))+(IF(AND((L10-C13)&lt;=0,(L10-C14)&lt;=0),0,IF(AND((L10-C13)&gt;=0,(L10-C14)&gt;=0),0.5*((L10-C13)+(L10-C14))*ABS(B14-B13),IF((L10-C13)&gt;0,0.5*(L10-C13)*ABS((B13+((L10-C13)/((L10-C13)-(L10-C14)))*(B14-B13))-B13),0.5*(L10-C14)*ABS(B14-(B13+((L10-C13)/((L10-C13)-(L10-C14)))*(B14-B13)))))))+(IF(AND((L10-C14)&lt;=0,(L10-C15)&lt;=0),0,IF(AND((L10-C14)&gt;=0,(L10-C15)&gt;=0),0.5*((L10-C14)+(L10-C15))*ABS(B15-B14),IF((L10-C14)&gt;0,0.5*(L10-C14)*ABS((B14+((L10-C14)/((L10-C14)-(L10-C15)))*(B15-B14))-B14),0.5*(L10-C15)*ABS(B15-(B14+((L10-C14)/((L10-C14)-(L10-C15)))*(B15-B14)))))))+(IF(AND((L10-C15)&lt;=0,(L10-C16)&lt;=0),0,IF(AND((L10-C15)&gt;=0,(L10-C16)&gt;=0),0.5*((L10-C15)+(L10-C16))*ABS(B16-B15),IF((L10-C15)&gt;0,0.5*(L10-C15)*ABS((B15+((L10-C15)/((L10-C15)-(L10-C16)))*(B16-B15))-B15),0.5*(L10-C16)*ABS(B16-(B15+((L10-C15)/((L10-C15)-(L10-C16)))*(B16-B15)))))))+(IF(AND((L10-C16)&lt;=0,(L10-C17)&lt;=0),0,IF(AND((L10-C16)&gt;=0,(L10-C17)&gt;=0),0.5*((L10-C16)+(L10-C17))*ABS(B17-B16),IF((L10-C16)&gt;0,0.5*(L10-C16)*ABS((B16+((L10-C16)/((L10-C16)-(L10-C17)))*(B17-B16))-B16),0.5*(L10-C17)*ABS(B17-(B16+((L10-C16)/((L10-C16)-(L10-C17)))*(B17-B16)))))))</f>
        <v/>
      </c>
      <c r="N10">
        <f>(IF(AND((L10-C9)&lt;=0,(L10-C10)&lt;=0),0,IF(AND((L10-C9)&gt;=0,(L10-C10)&gt;=0),SQRT((B10-B9)^2+(C10-C9)^2),IF((L10-C9)&gt;0,SQRT(((B9+((L10-C9)/((L10-C9)-(L10-C10)))*(B10-B9))-B9)^2+(L10-C9)^2),SQRT((B10-(B9+((L10-C9)/((L10-C9)-(L10-C10)))*(B10-B9)))^2+(L10-C10)^2)))))+(IF(AND((L10-C10)&lt;=0,(L10-C11)&lt;=0),0,IF(AND((L10-C10)&gt;=0,(L10-C11)&gt;=0),SQRT((B11-B10)^2+(C11-C10)^2),IF((L10-C10)&gt;0,SQRT(((B10+((L10-C10)/((L10-C10)-(L10-C11)))*(B11-B10))-B10)^2+(L10-C10)^2),SQRT((B11-(B10+((L10-C10)/((L10-C10)-(L10-C11)))*(B11-B10)))^2+(L10-C11)^2)))))+(IF(AND((L10-C11)&lt;=0,(L10-C12)&lt;=0),0,IF(AND((L10-C11)&gt;=0,(L10-C12)&gt;=0),SQRT((B12-B11)^2+(C12-C11)^2),IF((L10-C11)&gt;0,SQRT(((B11+((L10-C11)/((L10-C11)-(L10-C12)))*(B12-B11))-B11)^2+(L10-C11)^2),SQRT((B12-(B11+((L10-C11)/((L10-C11)-(L10-C12)))*(B12-B11)))^2+(L10-C12)^2)))))+(IF(AND((L10-C12)&lt;=0,(L10-C13)&lt;=0),0,IF(AND((L10-C12)&gt;=0,(L10-C13)&gt;=0),SQRT((B13-B12)^2+(C13-C12)^2),IF((L10-C12)&gt;0,SQRT(((B12+((L10-C12)/((L10-C12)-(L10-C13)))*(B13-B12))-B12)^2+(L10-C12)^2),SQRT((B13-(B12+((L10-C12)/((L10-C12)-(L10-C13)))*(B13-B12)))^2+(L10-C13)^2)))))+(IF(AND((L10-C13)&lt;=0,(L10-C14)&lt;=0),0,IF(AND((L10-C13)&gt;=0,(L10-C14)&gt;=0),SQRT((B14-B13)^2+(C14-C13)^2),IF((L10-C13)&gt;0,SQRT(((B13+((L10-C13)/((L10-C13)-(L10-C14)))*(B14-B13))-B13)^2+(L10-C13)^2),SQRT((B14-(B13+((L10-C13)/((L10-C13)-(L10-C14)))*(B14-B13)))^2+(L10-C14)^2)))))+(IF(AND((L10-C14)&lt;=0,(L10-C15)&lt;=0),0,IF(AND((L10-C14)&gt;=0,(L10-C15)&gt;=0),SQRT((B15-B14)^2+(C15-C14)^2),IF((L10-C14)&gt;0,SQRT(((B14+((L10-C14)/((L10-C14)-(L10-C15)))*(B15-B14))-B14)^2+(L10-C14)^2),SQRT((B15-(B14+((L10-C14)/((L10-C14)-(L10-C15)))*(B15-B14)))^2+(L10-C15)^2)))))+(IF(AND((L10-C15)&lt;=0,(L10-C16)&lt;=0),0,IF(AND((L10-C15)&gt;=0,(L10-C16)&gt;=0),SQRT((B16-B15)^2+(C16-C15)^2),IF((L10-C15)&gt;0,SQRT(((B15+((L10-C15)/((L10-C15)-(L10-C16)))*(B16-B15))-B15)^2+(L10-C15)^2),SQRT((B16-(B15+((L10-C15)/((L10-C15)-(L10-C16)))*(B16-B15)))^2+(L10-C16)^2)))))+(IF(AND((L10-C16)&lt;=0,(L10-C17)&lt;=0),0,IF(AND((L10-C16)&gt;=0,(L10-C17)&gt;=0),SQRT((B17-B16)^2+(C17-C16)^2),IF((L10-C16)&gt;0,SQRT(((B16+((L10-C16)/((L10-C16)-(L10-C17)))*(B17-B16))-B16)^2+(L10-C16)^2),SQRT((B17-(B16+((L10-C16)/((L10-C16)-(L10-C17)))*(B17-B16)))^2+(L10-C17)^2)))))</f>
        <v/>
      </c>
      <c r="O10">
        <f>IF(OR($B$6&lt;=0,M10&lt;=0,N10&lt;=0,$B$4&lt;=0),0,(1/$B$6)*M10*((M10/N10)^(2/3))*SQRT($B$4))</f>
        <v/>
      </c>
    </row>
    <row r="11">
      <c r="A11" s="5" t="n">
        <v>3</v>
      </c>
      <c r="B11" s="5" t="n">
        <v>19.598</v>
      </c>
      <c r="C11" s="5" t="n">
        <v>34.92</v>
      </c>
      <c r="D11" s="5" t="inlineStr">
        <is>
          <t>TBA</t>
        </is>
      </c>
      <c r="E11" s="5">
        <f>$B$2-C11</f>
        <v/>
      </c>
      <c r="F11" s="5">
        <f>IF(AND(($B$2-C11)&lt;=0,($B$2-C12)&lt;=0),0,IF(AND(($B$2-C11)&gt;=0,($B$2-C12)&gt;=0),0.5*(($B$2-C11)+($B$2-C12))*ABS(B12-B11),IF(($B$2-C11)&gt;0,0.5*($B$2-C11)*ABS((B11+(($B$2-C11)/(($B$2-C11)-($B$2-C12)))*(B12-B11))-B11),0.5*($B$2-C12)*ABS(B12-(B11+(($B$2-C11)/(($B$2-C11)-($B$2-C12)))*(B12-B11))))))</f>
        <v/>
      </c>
      <c r="G11" s="5">
        <f>IF(AND(($B$2-C11)&lt;=0,($B$2-C12)&lt;=0),0,IF(AND(($B$2-C11)&gt;=0,($B$2-C12)&gt;=0),SQRT((B12-B11)^2+(C12-C11)^2),IF(($B$2-C11)&gt;0,SQRT(((B11+(($B$2-C11)/(($B$2-C11)-($B$2-C12)))*(B12-B11))-B11)^2+($B$2-C11)^2),SQRT((B12-(B11+(($B$2-C11)/(($B$2-C11)-($B$2-C12)))*(B12-B11)))^2+($B$2-C12)^2))))</f>
        <v/>
      </c>
      <c r="I11" t="n">
        <v>3</v>
      </c>
      <c r="J11">
        <f>IF(O10&lt;$B$5,L10,J10)</f>
        <v/>
      </c>
      <c r="K11">
        <f>IF(O10&lt;$B$5,K10,L10)</f>
        <v/>
      </c>
      <c r="L11">
        <f>(J11+K11)/2</f>
        <v/>
      </c>
      <c r="M11">
        <f>(IF(AND((L11-C9)&lt;=0,(L11-C10)&lt;=0),0,IF(AND((L11-C9)&gt;=0,(L11-C10)&gt;=0),0.5*((L11-C9)+(L11-C10))*ABS(B10-B9),IF((L11-C9)&gt;0,0.5*(L11-C9)*ABS((B9+((L11-C9)/((L11-C9)-(L11-C10)))*(B10-B9))-B9),0.5*(L11-C10)*ABS(B10-(B9+((L11-C9)/((L11-C9)-(L11-C10)))*(B10-B9)))))))+(IF(AND((L11-C10)&lt;=0,(L11-C11)&lt;=0),0,IF(AND((L11-C10)&gt;=0,(L11-C11)&gt;=0),0.5*((L11-C10)+(L11-C11))*ABS(B11-B10),IF((L11-C10)&gt;0,0.5*(L11-C10)*ABS((B10+((L11-C10)/((L11-C10)-(L11-C11)))*(B11-B10))-B10),0.5*(L11-C11)*ABS(B11-(B10+((L11-C10)/((L11-C10)-(L11-C11)))*(B11-B10)))))))+(IF(AND((L11-C11)&lt;=0,(L11-C12)&lt;=0),0,IF(AND((L11-C11)&gt;=0,(L11-C12)&gt;=0),0.5*((L11-C11)+(L11-C12))*ABS(B12-B11),IF((L11-C11)&gt;0,0.5*(L11-C11)*ABS((B11+((L11-C11)/((L11-C11)-(L11-C12)))*(B12-B11))-B11),0.5*(L11-C12)*ABS(B12-(B11+((L11-C11)/((L11-C11)-(L11-C12)))*(B12-B11)))))))+(IF(AND((L11-C12)&lt;=0,(L11-C13)&lt;=0),0,IF(AND((L11-C12)&gt;=0,(L11-C13)&gt;=0),0.5*((L11-C12)+(L11-C13))*ABS(B13-B12),IF((L11-C12)&gt;0,0.5*(L11-C12)*ABS((B12+((L11-C12)/((L11-C12)-(L11-C13)))*(B13-B12))-B12),0.5*(L11-C13)*ABS(B13-(B12+((L11-C12)/((L11-C12)-(L11-C13)))*(B13-B12)))))))+(IF(AND((L11-C13)&lt;=0,(L11-C14)&lt;=0),0,IF(AND((L11-C13)&gt;=0,(L11-C14)&gt;=0),0.5*((L11-C13)+(L11-C14))*ABS(B14-B13),IF((L11-C13)&gt;0,0.5*(L11-C13)*ABS((B13+((L11-C13)/((L11-C13)-(L11-C14)))*(B14-B13))-B13),0.5*(L11-C14)*ABS(B14-(B13+((L11-C13)/((L11-C13)-(L11-C14)))*(B14-B13)))))))+(IF(AND((L11-C14)&lt;=0,(L11-C15)&lt;=0),0,IF(AND((L11-C14)&gt;=0,(L11-C15)&gt;=0),0.5*((L11-C14)+(L11-C15))*ABS(B15-B14),IF((L11-C14)&gt;0,0.5*(L11-C14)*ABS((B14+((L11-C14)/((L11-C14)-(L11-C15)))*(B15-B14))-B14),0.5*(L11-C15)*ABS(B15-(B14+((L11-C14)/((L11-C14)-(L11-C15)))*(B15-B14)))))))+(IF(AND((L11-C15)&lt;=0,(L11-C16)&lt;=0),0,IF(AND((L11-C15)&gt;=0,(L11-C16)&gt;=0),0.5*((L11-C15)+(L11-C16))*ABS(B16-B15),IF((L11-C15)&gt;0,0.5*(L11-C15)*ABS((B15+((L11-C15)/((L11-C15)-(L11-C16)))*(B16-B15))-B15),0.5*(L11-C16)*ABS(B16-(B15+((L11-C15)/((L11-C15)-(L11-C16)))*(B16-B15)))))))+(IF(AND((L11-C16)&lt;=0,(L11-C17)&lt;=0),0,IF(AND((L11-C16)&gt;=0,(L11-C17)&gt;=0),0.5*((L11-C16)+(L11-C17))*ABS(B17-B16),IF((L11-C16)&gt;0,0.5*(L11-C16)*ABS((B16+((L11-C16)/((L11-C16)-(L11-C17)))*(B17-B16))-B16),0.5*(L11-C17)*ABS(B17-(B16+((L11-C16)/((L11-C16)-(L11-C17)))*(B17-B16)))))))</f>
        <v/>
      </c>
      <c r="N11">
        <f>(IF(AND((L11-C9)&lt;=0,(L11-C10)&lt;=0),0,IF(AND((L11-C9)&gt;=0,(L11-C10)&gt;=0),SQRT((B10-B9)^2+(C10-C9)^2),IF((L11-C9)&gt;0,SQRT(((B9+((L11-C9)/((L11-C9)-(L11-C10)))*(B10-B9))-B9)^2+(L11-C9)^2),SQRT((B10-(B9+((L11-C9)/((L11-C9)-(L11-C10)))*(B10-B9)))^2+(L11-C10)^2)))))+(IF(AND((L11-C10)&lt;=0,(L11-C11)&lt;=0),0,IF(AND((L11-C10)&gt;=0,(L11-C11)&gt;=0),SQRT((B11-B10)^2+(C11-C10)^2),IF((L11-C10)&gt;0,SQRT(((B10+((L11-C10)/((L11-C10)-(L11-C11)))*(B11-B10))-B10)^2+(L11-C10)^2),SQRT((B11-(B10+((L11-C10)/((L11-C10)-(L11-C11)))*(B11-B10)))^2+(L11-C11)^2)))))+(IF(AND((L11-C11)&lt;=0,(L11-C12)&lt;=0),0,IF(AND((L11-C11)&gt;=0,(L11-C12)&gt;=0),SQRT((B12-B11)^2+(C12-C11)^2),IF((L11-C11)&gt;0,SQRT(((B11+((L11-C11)/((L11-C11)-(L11-C12)))*(B12-B11))-B11)^2+(L11-C11)^2),SQRT((B12-(B11+((L11-C11)/((L11-C11)-(L11-C12)))*(B12-B11)))^2+(L11-C12)^2)))))+(IF(AND((L11-C12)&lt;=0,(L11-C13)&lt;=0),0,IF(AND((L11-C12)&gt;=0,(L11-C13)&gt;=0),SQRT((B13-B12)^2+(C13-C12)^2),IF((L11-C12)&gt;0,SQRT(((B12+((L11-C12)/((L11-C12)-(L11-C13)))*(B13-B12))-B12)^2+(L11-C12)^2),SQRT((B13-(B12+((L11-C12)/((L11-C12)-(L11-C13)))*(B13-B12)))^2+(L11-C13)^2)))))+(IF(AND((L11-C13)&lt;=0,(L11-C14)&lt;=0),0,IF(AND((L11-C13)&gt;=0,(L11-C14)&gt;=0),SQRT((B14-B13)^2+(C14-C13)^2),IF((L11-C13)&gt;0,SQRT(((B13+((L11-C13)/((L11-C13)-(L11-C14)))*(B14-B13))-B13)^2+(L11-C13)^2),SQRT((B14-(B13+((L11-C13)/((L11-C13)-(L11-C14)))*(B14-B13)))^2+(L11-C14)^2)))))+(IF(AND((L11-C14)&lt;=0,(L11-C15)&lt;=0),0,IF(AND((L11-C14)&gt;=0,(L11-C15)&gt;=0),SQRT((B15-B14)^2+(C15-C14)^2),IF((L11-C14)&gt;0,SQRT(((B14+((L11-C14)/((L11-C14)-(L11-C15)))*(B15-B14))-B14)^2+(L11-C14)^2),SQRT((B15-(B14+((L11-C14)/((L11-C14)-(L11-C15)))*(B15-B14)))^2+(L11-C15)^2)))))+(IF(AND((L11-C15)&lt;=0,(L11-C16)&lt;=0),0,IF(AND((L11-C15)&gt;=0,(L11-C16)&gt;=0),SQRT((B16-B15)^2+(C16-C15)^2),IF((L11-C15)&gt;0,SQRT(((B15+((L11-C15)/((L11-C15)-(L11-C16)))*(B16-B15))-B15)^2+(L11-C15)^2),SQRT((B16-(B15+((L11-C15)/((L11-C15)-(L11-C16)))*(B16-B15)))^2+(L11-C16)^2)))))+(IF(AND((L11-C16)&lt;=0,(L11-C17)&lt;=0),0,IF(AND((L11-C16)&gt;=0,(L11-C17)&gt;=0),SQRT((B17-B16)^2+(C17-C16)^2),IF((L11-C16)&gt;0,SQRT(((B16+((L11-C16)/((L11-C16)-(L11-C17)))*(B17-B16))-B16)^2+(L11-C16)^2),SQRT((B17-(B16+((L11-C16)/((L11-C16)-(L11-C17)))*(B17-B16)))^2+(L11-C17)^2)))))</f>
        <v/>
      </c>
      <c r="O11">
        <f>IF(OR($B$6&lt;=0,M11&lt;=0,N11&lt;=0,$B$4&lt;=0),0,(1/$B$6)*M11*((M11/N11)^(2/3))*SQRT($B$4))</f>
        <v/>
      </c>
    </row>
    <row r="12">
      <c r="A12" s="5" t="n">
        <v>4</v>
      </c>
      <c r="B12" s="5" t="n">
        <v>31.09</v>
      </c>
      <c r="C12" s="5" t="n">
        <v>34.21</v>
      </c>
      <c r="D12" s="5" t="inlineStr">
        <is>
          <t>FOND</t>
        </is>
      </c>
      <c r="E12" s="5">
        <f>$B$2-C12</f>
        <v/>
      </c>
      <c r="F12" s="5">
        <f>IF(AND(($B$2-C12)&lt;=0,($B$2-C13)&lt;=0),0,IF(AND(($B$2-C12)&gt;=0,($B$2-C13)&gt;=0),0.5*(($B$2-C12)+($B$2-C13))*ABS(B13-B12),IF(($B$2-C12)&gt;0,0.5*($B$2-C12)*ABS((B12+(($B$2-C12)/(($B$2-C12)-($B$2-C13)))*(B13-B12))-B12),0.5*($B$2-C13)*ABS(B13-(B12+(($B$2-C12)/(($B$2-C12)-($B$2-C13)))*(B13-B12))))))</f>
        <v/>
      </c>
      <c r="G12" s="5">
        <f>IF(AND(($B$2-C12)&lt;=0,($B$2-C13)&lt;=0),0,IF(AND(($B$2-C12)&gt;=0,($B$2-C13)&gt;=0),SQRT((B13-B12)^2+(C13-C12)^2),IF(($B$2-C12)&gt;0,SQRT(((B12+(($B$2-C12)/(($B$2-C12)-($B$2-C13)))*(B13-B12))-B12)^2+($B$2-C12)^2),SQRT((B13-(B12+(($B$2-C12)/(($B$2-C12)-($B$2-C13)))*(B13-B12)))^2+($B$2-C13)^2))))</f>
        <v/>
      </c>
      <c r="I12" t="n">
        <v>4</v>
      </c>
      <c r="J12">
        <f>IF(O11&lt;$B$5,L11,J11)</f>
        <v/>
      </c>
      <c r="K12">
        <f>IF(O11&lt;$B$5,K11,L11)</f>
        <v/>
      </c>
      <c r="L12">
        <f>(J12+K12)/2</f>
        <v/>
      </c>
      <c r="M12">
        <f>(IF(AND((L12-C9)&lt;=0,(L12-C10)&lt;=0),0,IF(AND((L12-C9)&gt;=0,(L12-C10)&gt;=0),0.5*((L12-C9)+(L12-C10))*ABS(B10-B9),IF((L12-C9)&gt;0,0.5*(L12-C9)*ABS((B9+((L12-C9)/((L12-C9)-(L12-C10)))*(B10-B9))-B9),0.5*(L12-C10)*ABS(B10-(B9+((L12-C9)/((L12-C9)-(L12-C10)))*(B10-B9)))))))+(IF(AND((L12-C10)&lt;=0,(L12-C11)&lt;=0),0,IF(AND((L12-C10)&gt;=0,(L12-C11)&gt;=0),0.5*((L12-C10)+(L12-C11))*ABS(B11-B10),IF((L12-C10)&gt;0,0.5*(L12-C10)*ABS((B10+((L12-C10)/((L12-C10)-(L12-C11)))*(B11-B10))-B10),0.5*(L12-C11)*ABS(B11-(B10+((L12-C10)/((L12-C10)-(L12-C11)))*(B11-B10)))))))+(IF(AND((L12-C11)&lt;=0,(L12-C12)&lt;=0),0,IF(AND((L12-C11)&gt;=0,(L12-C12)&gt;=0),0.5*((L12-C11)+(L12-C12))*ABS(B12-B11),IF((L12-C11)&gt;0,0.5*(L12-C11)*ABS((B11+((L12-C11)/((L12-C11)-(L12-C12)))*(B12-B11))-B11),0.5*(L12-C12)*ABS(B12-(B11+((L12-C11)/((L12-C11)-(L12-C12)))*(B12-B11)))))))+(IF(AND((L12-C12)&lt;=0,(L12-C13)&lt;=0),0,IF(AND((L12-C12)&gt;=0,(L12-C13)&gt;=0),0.5*((L12-C12)+(L12-C13))*ABS(B13-B12),IF((L12-C12)&gt;0,0.5*(L12-C12)*ABS((B12+((L12-C12)/((L12-C12)-(L12-C13)))*(B13-B12))-B12),0.5*(L12-C13)*ABS(B13-(B12+((L12-C12)/((L12-C12)-(L12-C13)))*(B13-B12)))))))+(IF(AND((L12-C13)&lt;=0,(L12-C14)&lt;=0),0,IF(AND((L12-C13)&gt;=0,(L12-C14)&gt;=0),0.5*((L12-C13)+(L12-C14))*ABS(B14-B13),IF((L12-C13)&gt;0,0.5*(L12-C13)*ABS((B13+((L12-C13)/((L12-C13)-(L12-C14)))*(B14-B13))-B13),0.5*(L12-C14)*ABS(B14-(B13+((L12-C13)/((L12-C13)-(L12-C14)))*(B14-B13)))))))+(IF(AND((L12-C14)&lt;=0,(L12-C15)&lt;=0),0,IF(AND((L12-C14)&gt;=0,(L12-C15)&gt;=0),0.5*((L12-C14)+(L12-C15))*ABS(B15-B14),IF((L12-C14)&gt;0,0.5*(L12-C14)*ABS((B14+((L12-C14)/((L12-C14)-(L12-C15)))*(B15-B14))-B14),0.5*(L12-C15)*ABS(B15-(B14+((L12-C14)/((L12-C14)-(L12-C15)))*(B15-B14)))))))+(IF(AND((L12-C15)&lt;=0,(L12-C16)&lt;=0),0,IF(AND((L12-C15)&gt;=0,(L12-C16)&gt;=0),0.5*((L12-C15)+(L12-C16))*ABS(B16-B15),IF((L12-C15)&gt;0,0.5*(L12-C15)*ABS((B15+((L12-C15)/((L12-C15)-(L12-C16)))*(B16-B15))-B15),0.5*(L12-C16)*ABS(B16-(B15+((L12-C15)/((L12-C15)-(L12-C16)))*(B16-B15)))))))+(IF(AND((L12-C16)&lt;=0,(L12-C17)&lt;=0),0,IF(AND((L12-C16)&gt;=0,(L12-C17)&gt;=0),0.5*((L12-C16)+(L12-C17))*ABS(B17-B16),IF((L12-C16)&gt;0,0.5*(L12-C16)*ABS((B16+((L12-C16)/((L12-C16)-(L12-C17)))*(B17-B16))-B16),0.5*(L12-C17)*ABS(B17-(B16+((L12-C16)/((L12-C16)-(L12-C17)))*(B17-B16)))))))</f>
        <v/>
      </c>
      <c r="N12">
        <f>(IF(AND((L12-C9)&lt;=0,(L12-C10)&lt;=0),0,IF(AND((L12-C9)&gt;=0,(L12-C10)&gt;=0),SQRT((B10-B9)^2+(C10-C9)^2),IF((L12-C9)&gt;0,SQRT(((B9+((L12-C9)/((L12-C9)-(L12-C10)))*(B10-B9))-B9)^2+(L12-C9)^2),SQRT((B10-(B9+((L12-C9)/((L12-C9)-(L12-C10)))*(B10-B9)))^2+(L12-C10)^2)))))+(IF(AND((L12-C10)&lt;=0,(L12-C11)&lt;=0),0,IF(AND((L12-C10)&gt;=0,(L12-C11)&gt;=0),SQRT((B11-B10)^2+(C11-C10)^2),IF((L12-C10)&gt;0,SQRT(((B10+((L12-C10)/((L12-C10)-(L12-C11)))*(B11-B10))-B10)^2+(L12-C10)^2),SQRT((B11-(B10+((L12-C10)/((L12-C10)-(L12-C11)))*(B11-B10)))^2+(L12-C11)^2)))))+(IF(AND((L12-C11)&lt;=0,(L12-C12)&lt;=0),0,IF(AND((L12-C11)&gt;=0,(L12-C12)&gt;=0),SQRT((B12-B11)^2+(C12-C11)^2),IF((L12-C11)&gt;0,SQRT(((B11+((L12-C11)/((L12-C11)-(L12-C12)))*(B12-B11))-B11)^2+(L12-C11)^2),SQRT((B12-(B11+((L12-C11)/((L12-C11)-(L12-C12)))*(B12-B11)))^2+(L12-C12)^2)))))+(IF(AND((L12-C12)&lt;=0,(L12-C13)&lt;=0),0,IF(AND((L12-C12)&gt;=0,(L12-C13)&gt;=0),SQRT((B13-B12)^2+(C13-C12)^2),IF((L12-C12)&gt;0,SQRT(((B12+((L12-C12)/((L12-C12)-(L12-C13)))*(B13-B12))-B12)^2+(L12-C12)^2),SQRT((B13-(B12+((L12-C12)/((L12-C12)-(L12-C13)))*(B13-B12)))^2+(L12-C13)^2)))))+(IF(AND((L12-C13)&lt;=0,(L12-C14)&lt;=0),0,IF(AND((L12-C13)&gt;=0,(L12-C14)&gt;=0),SQRT((B14-B13)^2+(C14-C13)^2),IF((L12-C13)&gt;0,SQRT(((B13+((L12-C13)/((L12-C13)-(L12-C14)))*(B14-B13))-B13)^2+(L12-C13)^2),SQRT((B14-(B13+((L12-C13)/((L12-C13)-(L12-C14)))*(B14-B13)))^2+(L12-C14)^2)))))+(IF(AND((L12-C14)&lt;=0,(L12-C15)&lt;=0),0,IF(AND((L12-C14)&gt;=0,(L12-C15)&gt;=0),SQRT((B15-B14)^2+(C15-C14)^2),IF((L12-C14)&gt;0,SQRT(((B14+((L12-C14)/((L12-C14)-(L12-C15)))*(B15-B14))-B14)^2+(L12-C14)^2),SQRT((B15-(B14+((L12-C14)/((L12-C14)-(L12-C15)))*(B15-B14)))^2+(L12-C15)^2)))))+(IF(AND((L12-C15)&lt;=0,(L12-C16)&lt;=0),0,IF(AND((L12-C15)&gt;=0,(L12-C16)&gt;=0),SQRT((B16-B15)^2+(C16-C15)^2),IF((L12-C15)&gt;0,SQRT(((B15+((L12-C15)/((L12-C15)-(L12-C16)))*(B16-B15))-B15)^2+(L12-C15)^2),SQRT((B16-(B15+((L12-C15)/((L12-C15)-(L12-C16)))*(B16-B15)))^2+(L12-C16)^2)))))+(IF(AND((L12-C16)&lt;=0,(L12-C17)&lt;=0),0,IF(AND((L12-C16)&gt;=0,(L12-C17)&gt;=0),SQRT((B17-B16)^2+(C17-C16)^2),IF((L12-C16)&gt;0,SQRT(((B16+((L12-C16)/((L12-C16)-(L12-C17)))*(B17-B16))-B16)^2+(L12-C16)^2),SQRT((B17-(B16+((L12-C16)/((L12-C16)-(L12-C17)))*(B17-B16)))^2+(L12-C17)^2)))))</f>
        <v/>
      </c>
      <c r="O12">
        <f>IF(OR($B$6&lt;=0,M12&lt;=0,N12&lt;=0,$B$4&lt;=0),0,(1/$B$6)*M12*((M12/N12)^(2/3))*SQRT($B$4))</f>
        <v/>
      </c>
    </row>
    <row r="13">
      <c r="A13" s="5" t="n">
        <v>5</v>
      </c>
      <c r="B13" s="5" t="n">
        <v>32.472</v>
      </c>
      <c r="C13" s="5" t="n">
        <v>34.28</v>
      </c>
      <c r="D13" s="5" t="inlineStr">
        <is>
          <t>FOND</t>
        </is>
      </c>
      <c r="E13" s="5">
        <f>$B$2-C13</f>
        <v/>
      </c>
      <c r="F13" s="5">
        <f>IF(AND(($B$2-C13)&lt;=0,($B$2-C14)&lt;=0),0,IF(AND(($B$2-C13)&gt;=0,($B$2-C14)&gt;=0),0.5*(($B$2-C13)+($B$2-C14))*ABS(B14-B13),IF(($B$2-C13)&gt;0,0.5*($B$2-C13)*ABS((B13+(($B$2-C13)/(($B$2-C13)-($B$2-C14)))*(B14-B13))-B13),0.5*($B$2-C14)*ABS(B14-(B13+(($B$2-C13)/(($B$2-C13)-($B$2-C14)))*(B14-B13))))))</f>
        <v/>
      </c>
      <c r="G13" s="5">
        <f>IF(AND(($B$2-C13)&lt;=0,($B$2-C14)&lt;=0),0,IF(AND(($B$2-C13)&gt;=0,($B$2-C14)&gt;=0),SQRT((B14-B13)^2+(C14-C13)^2),IF(($B$2-C13)&gt;0,SQRT(((B13+(($B$2-C13)/(($B$2-C13)-($B$2-C14)))*(B14-B13))-B13)^2+($B$2-C13)^2),SQRT((B14-(B13+(($B$2-C13)/(($B$2-C13)-($B$2-C14)))*(B14-B13)))^2+($B$2-C14)^2))))</f>
        <v/>
      </c>
      <c r="I13" t="n">
        <v>5</v>
      </c>
      <c r="J13">
        <f>IF(O12&lt;$B$5,L12,J12)</f>
        <v/>
      </c>
      <c r="K13">
        <f>IF(O12&lt;$B$5,K12,L12)</f>
        <v/>
      </c>
      <c r="L13">
        <f>(J13+K13)/2</f>
        <v/>
      </c>
      <c r="M13">
        <f>(IF(AND((L13-C9)&lt;=0,(L13-C10)&lt;=0),0,IF(AND((L13-C9)&gt;=0,(L13-C10)&gt;=0),0.5*((L13-C9)+(L13-C10))*ABS(B10-B9),IF((L13-C9)&gt;0,0.5*(L13-C9)*ABS((B9+((L13-C9)/((L13-C9)-(L13-C10)))*(B10-B9))-B9),0.5*(L13-C10)*ABS(B10-(B9+((L13-C9)/((L13-C9)-(L13-C10)))*(B10-B9)))))))+(IF(AND((L13-C10)&lt;=0,(L13-C11)&lt;=0),0,IF(AND((L13-C10)&gt;=0,(L13-C11)&gt;=0),0.5*((L13-C10)+(L13-C11))*ABS(B11-B10),IF((L13-C10)&gt;0,0.5*(L13-C10)*ABS((B10+((L13-C10)/((L13-C10)-(L13-C11)))*(B11-B10))-B10),0.5*(L13-C11)*ABS(B11-(B10+((L13-C10)/((L13-C10)-(L13-C11)))*(B11-B10)))))))+(IF(AND((L13-C11)&lt;=0,(L13-C12)&lt;=0),0,IF(AND((L13-C11)&gt;=0,(L13-C12)&gt;=0),0.5*((L13-C11)+(L13-C12))*ABS(B12-B11),IF((L13-C11)&gt;0,0.5*(L13-C11)*ABS((B11+((L13-C11)/((L13-C11)-(L13-C12)))*(B12-B11))-B11),0.5*(L13-C12)*ABS(B12-(B11+((L13-C11)/((L13-C11)-(L13-C12)))*(B12-B11)))))))+(IF(AND((L13-C12)&lt;=0,(L13-C13)&lt;=0),0,IF(AND((L13-C12)&gt;=0,(L13-C13)&gt;=0),0.5*((L13-C12)+(L13-C13))*ABS(B13-B12),IF((L13-C12)&gt;0,0.5*(L13-C12)*ABS((B12+((L13-C12)/((L13-C12)-(L13-C13)))*(B13-B12))-B12),0.5*(L13-C13)*ABS(B13-(B12+((L13-C12)/((L13-C12)-(L13-C13)))*(B13-B12)))))))+(IF(AND((L13-C13)&lt;=0,(L13-C14)&lt;=0),0,IF(AND((L13-C13)&gt;=0,(L13-C14)&gt;=0),0.5*((L13-C13)+(L13-C14))*ABS(B14-B13),IF((L13-C13)&gt;0,0.5*(L13-C13)*ABS((B13+((L13-C13)/((L13-C13)-(L13-C14)))*(B14-B13))-B13),0.5*(L13-C14)*ABS(B14-(B13+((L13-C13)/((L13-C13)-(L13-C14)))*(B14-B13)))))))+(IF(AND((L13-C14)&lt;=0,(L13-C15)&lt;=0),0,IF(AND((L13-C14)&gt;=0,(L13-C15)&gt;=0),0.5*((L13-C14)+(L13-C15))*ABS(B15-B14),IF((L13-C14)&gt;0,0.5*(L13-C14)*ABS((B14+((L13-C14)/((L13-C14)-(L13-C15)))*(B15-B14))-B14),0.5*(L13-C15)*ABS(B15-(B14+((L13-C14)/((L13-C14)-(L13-C15)))*(B15-B14)))))))+(IF(AND((L13-C15)&lt;=0,(L13-C16)&lt;=0),0,IF(AND((L13-C15)&gt;=0,(L13-C16)&gt;=0),0.5*((L13-C15)+(L13-C16))*ABS(B16-B15),IF((L13-C15)&gt;0,0.5*(L13-C15)*ABS((B15+((L13-C15)/((L13-C15)-(L13-C16)))*(B16-B15))-B15),0.5*(L13-C16)*ABS(B16-(B15+((L13-C15)/((L13-C15)-(L13-C16)))*(B16-B15)))))))+(IF(AND((L13-C16)&lt;=0,(L13-C17)&lt;=0),0,IF(AND((L13-C16)&gt;=0,(L13-C17)&gt;=0),0.5*((L13-C16)+(L13-C17))*ABS(B17-B16),IF((L13-C16)&gt;0,0.5*(L13-C16)*ABS((B16+((L13-C16)/((L13-C16)-(L13-C17)))*(B17-B16))-B16),0.5*(L13-C17)*ABS(B17-(B16+((L13-C16)/((L13-C16)-(L13-C17)))*(B17-B16)))))))</f>
        <v/>
      </c>
      <c r="N13">
        <f>(IF(AND((L13-C9)&lt;=0,(L13-C10)&lt;=0),0,IF(AND((L13-C9)&gt;=0,(L13-C10)&gt;=0),SQRT((B10-B9)^2+(C10-C9)^2),IF((L13-C9)&gt;0,SQRT(((B9+((L13-C9)/((L13-C9)-(L13-C10)))*(B10-B9))-B9)^2+(L13-C9)^2),SQRT((B10-(B9+((L13-C9)/((L13-C9)-(L13-C10)))*(B10-B9)))^2+(L13-C10)^2)))))+(IF(AND((L13-C10)&lt;=0,(L13-C11)&lt;=0),0,IF(AND((L13-C10)&gt;=0,(L13-C11)&gt;=0),SQRT((B11-B10)^2+(C11-C10)^2),IF((L13-C10)&gt;0,SQRT(((B10+((L13-C10)/((L13-C10)-(L13-C11)))*(B11-B10))-B10)^2+(L13-C10)^2),SQRT((B11-(B10+((L13-C10)/((L13-C10)-(L13-C11)))*(B11-B10)))^2+(L13-C11)^2)))))+(IF(AND((L13-C11)&lt;=0,(L13-C12)&lt;=0),0,IF(AND((L13-C11)&gt;=0,(L13-C12)&gt;=0),SQRT((B12-B11)^2+(C12-C11)^2),IF((L13-C11)&gt;0,SQRT(((B11+((L13-C11)/((L13-C11)-(L13-C12)))*(B12-B11))-B11)^2+(L13-C11)^2),SQRT((B12-(B11+((L13-C11)/((L13-C11)-(L13-C12)))*(B12-B11)))^2+(L13-C12)^2)))))+(IF(AND((L13-C12)&lt;=0,(L13-C13)&lt;=0),0,IF(AND((L13-C12)&gt;=0,(L13-C13)&gt;=0),SQRT((B13-B12)^2+(C13-C12)^2),IF((L13-C12)&gt;0,SQRT(((B12+((L13-C12)/((L13-C12)-(L13-C13)))*(B13-B12))-B12)^2+(L13-C12)^2),SQRT((B13-(B12+((L13-C12)/((L13-C12)-(L13-C13)))*(B13-B12)))^2+(L13-C13)^2)))))+(IF(AND((L13-C13)&lt;=0,(L13-C14)&lt;=0),0,IF(AND((L13-C13)&gt;=0,(L13-C14)&gt;=0),SQRT((B14-B13)^2+(C14-C13)^2),IF((L13-C13)&gt;0,SQRT(((B13+((L13-C13)/((L13-C13)-(L13-C14)))*(B14-B13))-B13)^2+(L13-C13)^2),SQRT((B14-(B13+((L13-C13)/((L13-C13)-(L13-C14)))*(B14-B13)))^2+(L13-C14)^2)))))+(IF(AND((L13-C14)&lt;=0,(L13-C15)&lt;=0),0,IF(AND((L13-C14)&gt;=0,(L13-C15)&gt;=0),SQRT((B15-B14)^2+(C15-C14)^2),IF((L13-C14)&gt;0,SQRT(((B14+((L13-C14)/((L13-C14)-(L13-C15)))*(B15-B14))-B14)^2+(L13-C14)^2),SQRT((B15-(B14+((L13-C14)/((L13-C14)-(L13-C15)))*(B15-B14)))^2+(L13-C15)^2)))))+(IF(AND((L13-C15)&lt;=0,(L13-C16)&lt;=0),0,IF(AND((L13-C15)&gt;=0,(L13-C16)&gt;=0),SQRT((B16-B15)^2+(C16-C15)^2),IF((L13-C15)&gt;0,SQRT(((B15+((L13-C15)/((L13-C15)-(L13-C16)))*(B16-B15))-B15)^2+(L13-C15)^2),SQRT((B16-(B15+((L13-C15)/((L13-C15)-(L13-C16)))*(B16-B15)))^2+(L13-C16)^2)))))+(IF(AND((L13-C16)&lt;=0,(L13-C17)&lt;=0),0,IF(AND((L13-C16)&gt;=0,(L13-C17)&gt;=0),SQRT((B17-B16)^2+(C17-C16)^2),IF((L13-C16)&gt;0,SQRT(((B16+((L13-C16)/((L13-C16)-(L13-C17)))*(B17-B16))-B16)^2+(L13-C16)^2),SQRT((B17-(B16+((L13-C16)/((L13-C16)-(L13-C17)))*(B17-B16)))^2+(L13-C17)^2)))))</f>
        <v/>
      </c>
      <c r="O13">
        <f>IF(OR($B$6&lt;=0,M13&lt;=0,N13&lt;=0,$B$4&lt;=0),0,(1/$B$6)*M13*((M13/N13)^(2/3))*SQRT($B$4))</f>
        <v/>
      </c>
    </row>
    <row r="14">
      <c r="A14" s="5" t="n">
        <v>6</v>
      </c>
      <c r="B14" s="5" t="n">
        <v>33.532</v>
      </c>
      <c r="C14" s="5" t="n">
        <v>34.78</v>
      </c>
      <c r="D14" s="5" t="inlineStr">
        <is>
          <t>LHE</t>
        </is>
      </c>
      <c r="E14" s="5">
        <f>$B$2-C14</f>
        <v/>
      </c>
      <c r="F14" s="5">
        <f>IF(AND(($B$2-C14)&lt;=0,($B$2-C15)&lt;=0),0,IF(AND(($B$2-C14)&gt;=0,($B$2-C15)&gt;=0),0.5*(($B$2-C14)+($B$2-C15))*ABS(B15-B14),IF(($B$2-C14)&gt;0,0.5*($B$2-C14)*ABS((B14+(($B$2-C14)/(($B$2-C14)-($B$2-C15)))*(B15-B14))-B14),0.5*($B$2-C15)*ABS(B15-(B14+(($B$2-C14)/(($B$2-C14)-($B$2-C15)))*(B15-B14))))))</f>
        <v/>
      </c>
      <c r="G14" s="5">
        <f>IF(AND(($B$2-C14)&lt;=0,($B$2-C15)&lt;=0),0,IF(AND(($B$2-C14)&gt;=0,($B$2-C15)&gt;=0),SQRT((B15-B14)^2+(C15-C14)^2),IF(($B$2-C14)&gt;0,SQRT(((B14+(($B$2-C14)/(($B$2-C14)-($B$2-C15)))*(B15-B14))-B14)^2+($B$2-C14)^2),SQRT((B15-(B14+(($B$2-C14)/(($B$2-C14)-($B$2-C15)))*(B15-B14)))^2+($B$2-C15)^2))))</f>
        <v/>
      </c>
      <c r="I14" t="n">
        <v>6</v>
      </c>
      <c r="J14">
        <f>IF(O13&lt;$B$5,L13,J13)</f>
        <v/>
      </c>
      <c r="K14">
        <f>IF(O13&lt;$B$5,K13,L13)</f>
        <v/>
      </c>
      <c r="L14">
        <f>(J14+K14)/2</f>
        <v/>
      </c>
      <c r="M14">
        <f>(IF(AND((L14-C9)&lt;=0,(L14-C10)&lt;=0),0,IF(AND((L14-C9)&gt;=0,(L14-C10)&gt;=0),0.5*((L14-C9)+(L14-C10))*ABS(B10-B9),IF((L14-C9)&gt;0,0.5*(L14-C9)*ABS((B9+((L14-C9)/((L14-C9)-(L14-C10)))*(B10-B9))-B9),0.5*(L14-C10)*ABS(B10-(B9+((L14-C9)/((L14-C9)-(L14-C10)))*(B10-B9)))))))+(IF(AND((L14-C10)&lt;=0,(L14-C11)&lt;=0),0,IF(AND((L14-C10)&gt;=0,(L14-C11)&gt;=0),0.5*((L14-C10)+(L14-C11))*ABS(B11-B10),IF((L14-C10)&gt;0,0.5*(L14-C10)*ABS((B10+((L14-C10)/((L14-C10)-(L14-C11)))*(B11-B10))-B10),0.5*(L14-C11)*ABS(B11-(B10+((L14-C10)/((L14-C10)-(L14-C11)))*(B11-B10)))))))+(IF(AND((L14-C11)&lt;=0,(L14-C12)&lt;=0),0,IF(AND((L14-C11)&gt;=0,(L14-C12)&gt;=0),0.5*((L14-C11)+(L14-C12))*ABS(B12-B11),IF((L14-C11)&gt;0,0.5*(L14-C11)*ABS((B11+((L14-C11)/((L14-C11)-(L14-C12)))*(B12-B11))-B11),0.5*(L14-C12)*ABS(B12-(B11+((L14-C11)/((L14-C11)-(L14-C12)))*(B12-B11)))))))+(IF(AND((L14-C12)&lt;=0,(L14-C13)&lt;=0),0,IF(AND((L14-C12)&gt;=0,(L14-C13)&gt;=0),0.5*((L14-C12)+(L14-C13))*ABS(B13-B12),IF((L14-C12)&gt;0,0.5*(L14-C12)*ABS((B12+((L14-C12)/((L14-C12)-(L14-C13)))*(B13-B12))-B12),0.5*(L14-C13)*ABS(B13-(B12+((L14-C12)/((L14-C12)-(L14-C13)))*(B13-B12)))))))+(IF(AND((L14-C13)&lt;=0,(L14-C14)&lt;=0),0,IF(AND((L14-C13)&gt;=0,(L14-C14)&gt;=0),0.5*((L14-C13)+(L14-C14))*ABS(B14-B13),IF((L14-C13)&gt;0,0.5*(L14-C13)*ABS((B13+((L14-C13)/((L14-C13)-(L14-C14)))*(B14-B13))-B13),0.5*(L14-C14)*ABS(B14-(B13+((L14-C13)/((L14-C13)-(L14-C14)))*(B14-B13)))))))+(IF(AND((L14-C14)&lt;=0,(L14-C15)&lt;=0),0,IF(AND((L14-C14)&gt;=0,(L14-C15)&gt;=0),0.5*((L14-C14)+(L14-C15))*ABS(B15-B14),IF((L14-C14)&gt;0,0.5*(L14-C14)*ABS((B14+((L14-C14)/((L14-C14)-(L14-C15)))*(B15-B14))-B14),0.5*(L14-C15)*ABS(B15-(B14+((L14-C14)/((L14-C14)-(L14-C15)))*(B15-B14)))))))+(IF(AND((L14-C15)&lt;=0,(L14-C16)&lt;=0),0,IF(AND((L14-C15)&gt;=0,(L14-C16)&gt;=0),0.5*((L14-C15)+(L14-C16))*ABS(B16-B15),IF((L14-C15)&gt;0,0.5*(L14-C15)*ABS((B15+((L14-C15)/((L14-C15)-(L14-C16)))*(B16-B15))-B15),0.5*(L14-C16)*ABS(B16-(B15+((L14-C15)/((L14-C15)-(L14-C16)))*(B16-B15)))))))+(IF(AND((L14-C16)&lt;=0,(L14-C17)&lt;=0),0,IF(AND((L14-C16)&gt;=0,(L14-C17)&gt;=0),0.5*((L14-C16)+(L14-C17))*ABS(B17-B16),IF((L14-C16)&gt;0,0.5*(L14-C16)*ABS((B16+((L14-C16)/((L14-C16)-(L14-C17)))*(B17-B16))-B16),0.5*(L14-C17)*ABS(B17-(B16+((L14-C16)/((L14-C16)-(L14-C17)))*(B17-B16)))))))</f>
        <v/>
      </c>
      <c r="N14">
        <f>(IF(AND((L14-C9)&lt;=0,(L14-C10)&lt;=0),0,IF(AND((L14-C9)&gt;=0,(L14-C10)&gt;=0),SQRT((B10-B9)^2+(C10-C9)^2),IF((L14-C9)&gt;0,SQRT(((B9+((L14-C9)/((L14-C9)-(L14-C10)))*(B10-B9))-B9)^2+(L14-C9)^2),SQRT((B10-(B9+((L14-C9)/((L14-C9)-(L14-C10)))*(B10-B9)))^2+(L14-C10)^2)))))+(IF(AND((L14-C10)&lt;=0,(L14-C11)&lt;=0),0,IF(AND((L14-C10)&gt;=0,(L14-C11)&gt;=0),SQRT((B11-B10)^2+(C11-C10)^2),IF((L14-C10)&gt;0,SQRT(((B10+((L14-C10)/((L14-C10)-(L14-C11)))*(B11-B10))-B10)^2+(L14-C10)^2),SQRT((B11-(B10+((L14-C10)/((L14-C10)-(L14-C11)))*(B11-B10)))^2+(L14-C11)^2)))))+(IF(AND((L14-C11)&lt;=0,(L14-C12)&lt;=0),0,IF(AND((L14-C11)&gt;=0,(L14-C12)&gt;=0),SQRT((B12-B11)^2+(C12-C11)^2),IF((L14-C11)&gt;0,SQRT(((B11+((L14-C11)/((L14-C11)-(L14-C12)))*(B12-B11))-B11)^2+(L14-C11)^2),SQRT((B12-(B11+((L14-C11)/((L14-C11)-(L14-C12)))*(B12-B11)))^2+(L14-C12)^2)))))+(IF(AND((L14-C12)&lt;=0,(L14-C13)&lt;=0),0,IF(AND((L14-C12)&gt;=0,(L14-C13)&gt;=0),SQRT((B13-B12)^2+(C13-C12)^2),IF((L14-C12)&gt;0,SQRT(((B12+((L14-C12)/((L14-C12)-(L14-C13)))*(B13-B12))-B12)^2+(L14-C12)^2),SQRT((B13-(B12+((L14-C12)/((L14-C12)-(L14-C13)))*(B13-B12)))^2+(L14-C13)^2)))))+(IF(AND((L14-C13)&lt;=0,(L14-C14)&lt;=0),0,IF(AND((L14-C13)&gt;=0,(L14-C14)&gt;=0),SQRT((B14-B13)^2+(C14-C13)^2),IF((L14-C13)&gt;0,SQRT(((B13+((L14-C13)/((L14-C13)-(L14-C14)))*(B14-B13))-B13)^2+(L14-C13)^2),SQRT((B14-(B13+((L14-C13)/((L14-C13)-(L14-C14)))*(B14-B13)))^2+(L14-C14)^2)))))+(IF(AND((L14-C14)&lt;=0,(L14-C15)&lt;=0),0,IF(AND((L14-C14)&gt;=0,(L14-C15)&gt;=0),SQRT((B15-B14)^2+(C15-C14)^2),IF((L14-C14)&gt;0,SQRT(((B14+((L14-C14)/((L14-C14)-(L14-C15)))*(B15-B14))-B14)^2+(L14-C14)^2),SQRT((B15-(B14+((L14-C14)/((L14-C14)-(L14-C15)))*(B15-B14)))^2+(L14-C15)^2)))))+(IF(AND((L14-C15)&lt;=0,(L14-C16)&lt;=0),0,IF(AND((L14-C15)&gt;=0,(L14-C16)&gt;=0),SQRT((B16-B15)^2+(C16-C15)^2),IF((L14-C15)&gt;0,SQRT(((B15+((L14-C15)/((L14-C15)-(L14-C16)))*(B16-B15))-B15)^2+(L14-C15)^2),SQRT((B16-(B15+((L14-C15)/((L14-C15)-(L14-C16)))*(B16-B15)))^2+(L14-C16)^2)))))+(IF(AND((L14-C16)&lt;=0,(L14-C17)&lt;=0),0,IF(AND((L14-C16)&gt;=0,(L14-C17)&gt;=0),SQRT((B17-B16)^2+(C17-C16)^2),IF((L14-C16)&gt;0,SQRT(((B16+((L14-C16)/((L14-C16)-(L14-C17)))*(B17-B16))-B16)^2+(L14-C16)^2),SQRT((B17-(B16+((L14-C16)/((L14-C16)-(L14-C17)))*(B17-B16)))^2+(L14-C17)^2)))))</f>
        <v/>
      </c>
      <c r="O14">
        <f>IF(OR($B$6&lt;=0,M14&lt;=0,N14&lt;=0,$B$4&lt;=0),0,(1/$B$6)*M14*((M14/N14)^(2/3))*SQRT($B$4))</f>
        <v/>
      </c>
    </row>
    <row r="15">
      <c r="A15" s="5" t="n">
        <v>7</v>
      </c>
      <c r="B15" s="5" t="n">
        <v>36.689</v>
      </c>
      <c r="C15" s="5" t="n">
        <v>34.96</v>
      </c>
      <c r="D15" s="5" t="inlineStr">
        <is>
          <t>LHE</t>
        </is>
      </c>
      <c r="E15" s="5">
        <f>$B$2-C15</f>
        <v/>
      </c>
      <c r="F15" s="5">
        <f>IF(AND(($B$2-C15)&lt;=0,($B$2-C16)&lt;=0),0,IF(AND(($B$2-C15)&gt;=0,($B$2-C16)&gt;=0),0.5*(($B$2-C15)+($B$2-C16))*ABS(B16-B15),IF(($B$2-C15)&gt;0,0.5*($B$2-C15)*ABS((B15+(($B$2-C15)/(($B$2-C15)-($B$2-C16)))*(B16-B15))-B15),0.5*($B$2-C16)*ABS(B16-(B15+(($B$2-C15)/(($B$2-C15)-($B$2-C16)))*(B16-B15))))))</f>
        <v/>
      </c>
      <c r="G15" s="5">
        <f>IF(AND(($B$2-C15)&lt;=0,($B$2-C16)&lt;=0),0,IF(AND(($B$2-C15)&gt;=0,($B$2-C16)&gt;=0),SQRT((B16-B15)^2+(C16-C15)^2),IF(($B$2-C15)&gt;0,SQRT(((B15+(($B$2-C15)/(($B$2-C15)-($B$2-C16)))*(B16-B15))-B15)^2+($B$2-C15)^2),SQRT((B16-(B15+(($B$2-C15)/(($B$2-C15)-($B$2-C16)))*(B16-B15)))^2+($B$2-C16)^2))))</f>
        <v/>
      </c>
      <c r="I15" t="n">
        <v>7</v>
      </c>
      <c r="J15">
        <f>IF(O14&lt;$B$5,L14,J14)</f>
        <v/>
      </c>
      <c r="K15">
        <f>IF(O14&lt;$B$5,K14,L14)</f>
        <v/>
      </c>
      <c r="L15">
        <f>(J15+K15)/2</f>
        <v/>
      </c>
      <c r="M15">
        <f>(IF(AND((L15-C9)&lt;=0,(L15-C10)&lt;=0),0,IF(AND((L15-C9)&gt;=0,(L15-C10)&gt;=0),0.5*((L15-C9)+(L15-C10))*ABS(B10-B9),IF((L15-C9)&gt;0,0.5*(L15-C9)*ABS((B9+((L15-C9)/((L15-C9)-(L15-C10)))*(B10-B9))-B9),0.5*(L15-C10)*ABS(B10-(B9+((L15-C9)/((L15-C9)-(L15-C10)))*(B10-B9)))))))+(IF(AND((L15-C10)&lt;=0,(L15-C11)&lt;=0),0,IF(AND((L15-C10)&gt;=0,(L15-C11)&gt;=0),0.5*((L15-C10)+(L15-C11))*ABS(B11-B10),IF((L15-C10)&gt;0,0.5*(L15-C10)*ABS((B10+((L15-C10)/((L15-C10)-(L15-C11)))*(B11-B10))-B10),0.5*(L15-C11)*ABS(B11-(B10+((L15-C10)/((L15-C10)-(L15-C11)))*(B11-B10)))))))+(IF(AND((L15-C11)&lt;=0,(L15-C12)&lt;=0),0,IF(AND((L15-C11)&gt;=0,(L15-C12)&gt;=0),0.5*((L15-C11)+(L15-C12))*ABS(B12-B11),IF((L15-C11)&gt;0,0.5*(L15-C11)*ABS((B11+((L15-C11)/((L15-C11)-(L15-C12)))*(B12-B11))-B11),0.5*(L15-C12)*ABS(B12-(B11+((L15-C11)/((L15-C11)-(L15-C12)))*(B12-B11)))))))+(IF(AND((L15-C12)&lt;=0,(L15-C13)&lt;=0),0,IF(AND((L15-C12)&gt;=0,(L15-C13)&gt;=0),0.5*((L15-C12)+(L15-C13))*ABS(B13-B12),IF((L15-C12)&gt;0,0.5*(L15-C12)*ABS((B12+((L15-C12)/((L15-C12)-(L15-C13)))*(B13-B12))-B12),0.5*(L15-C13)*ABS(B13-(B12+((L15-C12)/((L15-C12)-(L15-C13)))*(B13-B12)))))))+(IF(AND((L15-C13)&lt;=0,(L15-C14)&lt;=0),0,IF(AND((L15-C13)&gt;=0,(L15-C14)&gt;=0),0.5*((L15-C13)+(L15-C14))*ABS(B14-B13),IF((L15-C13)&gt;0,0.5*(L15-C13)*ABS((B13+((L15-C13)/((L15-C13)-(L15-C14)))*(B14-B13))-B13),0.5*(L15-C14)*ABS(B14-(B13+((L15-C13)/((L15-C13)-(L15-C14)))*(B14-B13)))))))+(IF(AND((L15-C14)&lt;=0,(L15-C15)&lt;=0),0,IF(AND((L15-C14)&gt;=0,(L15-C15)&gt;=0),0.5*((L15-C14)+(L15-C15))*ABS(B15-B14),IF((L15-C14)&gt;0,0.5*(L15-C14)*ABS((B14+((L15-C14)/((L15-C14)-(L15-C15)))*(B15-B14))-B14),0.5*(L15-C15)*ABS(B15-(B14+((L15-C14)/((L15-C14)-(L15-C15)))*(B15-B14)))))))+(IF(AND((L15-C15)&lt;=0,(L15-C16)&lt;=0),0,IF(AND((L15-C15)&gt;=0,(L15-C16)&gt;=0),0.5*((L15-C15)+(L15-C16))*ABS(B16-B15),IF((L15-C15)&gt;0,0.5*(L15-C15)*ABS((B15+((L15-C15)/((L15-C15)-(L15-C16)))*(B16-B15))-B15),0.5*(L15-C16)*ABS(B16-(B15+((L15-C15)/((L15-C15)-(L15-C16)))*(B16-B15)))))))+(IF(AND((L15-C16)&lt;=0,(L15-C17)&lt;=0),0,IF(AND((L15-C16)&gt;=0,(L15-C17)&gt;=0),0.5*((L15-C16)+(L15-C17))*ABS(B17-B16),IF((L15-C16)&gt;0,0.5*(L15-C16)*ABS((B16+((L15-C16)/((L15-C16)-(L15-C17)))*(B17-B16))-B16),0.5*(L15-C17)*ABS(B17-(B16+((L15-C16)/((L15-C16)-(L15-C17)))*(B17-B16)))))))</f>
        <v/>
      </c>
      <c r="N15">
        <f>(IF(AND((L15-C9)&lt;=0,(L15-C10)&lt;=0),0,IF(AND((L15-C9)&gt;=0,(L15-C10)&gt;=0),SQRT((B10-B9)^2+(C10-C9)^2),IF((L15-C9)&gt;0,SQRT(((B9+((L15-C9)/((L15-C9)-(L15-C10)))*(B10-B9))-B9)^2+(L15-C9)^2),SQRT((B10-(B9+((L15-C9)/((L15-C9)-(L15-C10)))*(B10-B9)))^2+(L15-C10)^2)))))+(IF(AND((L15-C10)&lt;=0,(L15-C11)&lt;=0),0,IF(AND((L15-C10)&gt;=0,(L15-C11)&gt;=0),SQRT((B11-B10)^2+(C11-C10)^2),IF((L15-C10)&gt;0,SQRT(((B10+((L15-C10)/((L15-C10)-(L15-C11)))*(B11-B10))-B10)^2+(L15-C10)^2),SQRT((B11-(B10+((L15-C10)/((L15-C10)-(L15-C11)))*(B11-B10)))^2+(L15-C11)^2)))))+(IF(AND((L15-C11)&lt;=0,(L15-C12)&lt;=0),0,IF(AND((L15-C11)&gt;=0,(L15-C12)&gt;=0),SQRT((B12-B11)^2+(C12-C11)^2),IF((L15-C11)&gt;0,SQRT(((B11+((L15-C11)/((L15-C11)-(L15-C12)))*(B12-B11))-B11)^2+(L15-C11)^2),SQRT((B12-(B11+((L15-C11)/((L15-C11)-(L15-C12)))*(B12-B11)))^2+(L15-C12)^2)))))+(IF(AND((L15-C12)&lt;=0,(L15-C13)&lt;=0),0,IF(AND((L15-C12)&gt;=0,(L15-C13)&gt;=0),SQRT((B13-B12)^2+(C13-C12)^2),IF((L15-C12)&gt;0,SQRT(((B12+((L15-C12)/((L15-C12)-(L15-C13)))*(B13-B12))-B12)^2+(L15-C12)^2),SQRT((B13-(B12+((L15-C12)/((L15-C12)-(L15-C13)))*(B13-B12)))^2+(L15-C13)^2)))))+(IF(AND((L15-C13)&lt;=0,(L15-C14)&lt;=0),0,IF(AND((L15-C13)&gt;=0,(L15-C14)&gt;=0),SQRT((B14-B13)^2+(C14-C13)^2),IF((L15-C13)&gt;0,SQRT(((B13+((L15-C13)/((L15-C13)-(L15-C14)))*(B14-B13))-B13)^2+(L15-C13)^2),SQRT((B14-(B13+((L15-C13)/((L15-C13)-(L15-C14)))*(B14-B13)))^2+(L15-C14)^2)))))+(IF(AND((L15-C14)&lt;=0,(L15-C15)&lt;=0),0,IF(AND((L15-C14)&gt;=0,(L15-C15)&gt;=0),SQRT((B15-B14)^2+(C15-C14)^2),IF((L15-C14)&gt;0,SQRT(((B14+((L15-C14)/((L15-C14)-(L15-C15)))*(B15-B14))-B14)^2+(L15-C14)^2),SQRT((B15-(B14+((L15-C14)/((L15-C14)-(L15-C15)))*(B15-B14)))^2+(L15-C15)^2)))))+(IF(AND((L15-C15)&lt;=0,(L15-C16)&lt;=0),0,IF(AND((L15-C15)&gt;=0,(L15-C16)&gt;=0),SQRT((B16-B15)^2+(C16-C15)^2),IF((L15-C15)&gt;0,SQRT(((B15+((L15-C15)/((L15-C15)-(L15-C16)))*(B16-B15))-B15)^2+(L15-C15)^2),SQRT((B16-(B15+((L15-C15)/((L15-C15)-(L15-C16)))*(B16-B15)))^2+(L15-C16)^2)))))+(IF(AND((L15-C16)&lt;=0,(L15-C17)&lt;=0),0,IF(AND((L15-C16)&gt;=0,(L15-C17)&gt;=0),SQRT((B17-B16)^2+(C17-C16)^2),IF((L15-C16)&gt;0,SQRT(((B16+((L15-C16)/((L15-C16)-(L15-C17)))*(B17-B16))-B16)^2+(L15-C16)^2),SQRT((B17-(B16+((L15-C16)/((L15-C16)-(L15-C17)))*(B17-B16)))^2+(L15-C17)^2)))))</f>
        <v/>
      </c>
      <c r="O15">
        <f>IF(OR($B$6&lt;=0,M15&lt;=0,N15&lt;=0,$B$4&lt;=0),0,(1/$B$6)*M15*((M15/N15)^(2/3))*SQRT($B$4))</f>
        <v/>
      </c>
    </row>
    <row r="16">
      <c r="A16" s="5" t="n">
        <v>8</v>
      </c>
      <c r="B16" s="5" t="n">
        <v>42.646</v>
      </c>
      <c r="C16" s="5" t="n">
        <v>36.57</v>
      </c>
      <c r="D16" s="5" t="inlineStr">
        <is>
          <t>TN</t>
        </is>
      </c>
      <c r="E16" s="5">
        <f>$B$2-C16</f>
        <v/>
      </c>
      <c r="F16" s="5">
        <f>IF(AND(($B$2-C16)&lt;=0,($B$2-C17)&lt;=0),0,IF(AND(($B$2-C16)&gt;=0,($B$2-C17)&gt;=0),0.5*(($B$2-C16)+($B$2-C17))*ABS(B17-B16),IF(($B$2-C16)&gt;0,0.5*($B$2-C16)*ABS((B16+(($B$2-C16)/(($B$2-C16)-($B$2-C17)))*(B17-B16))-B16),0.5*($B$2-C17)*ABS(B17-(B16+(($B$2-C16)/(($B$2-C16)-($B$2-C17)))*(B17-B16))))))</f>
        <v/>
      </c>
      <c r="G16" s="5">
        <f>IF(AND(($B$2-C16)&lt;=0,($B$2-C17)&lt;=0),0,IF(AND(($B$2-C16)&gt;=0,($B$2-C17)&gt;=0),SQRT((B17-B16)^2+(C17-C16)^2),IF(($B$2-C16)&gt;0,SQRT(((B16+(($B$2-C16)/(($B$2-C16)-($B$2-C17)))*(B17-B16))-B16)^2+($B$2-C16)^2),SQRT((B17-(B16+(($B$2-C16)/(($B$2-C16)-($B$2-C17)))*(B17-B16)))^2+($B$2-C17)^2))))</f>
        <v/>
      </c>
      <c r="I16" t="n">
        <v>8</v>
      </c>
      <c r="J16">
        <f>IF(O15&lt;$B$5,L15,J15)</f>
        <v/>
      </c>
      <c r="K16">
        <f>IF(O15&lt;$B$5,K15,L15)</f>
        <v/>
      </c>
      <c r="L16">
        <f>(J16+K16)/2</f>
        <v/>
      </c>
      <c r="M16">
        <f>(IF(AND((L16-C9)&lt;=0,(L16-C10)&lt;=0),0,IF(AND((L16-C9)&gt;=0,(L16-C10)&gt;=0),0.5*((L16-C9)+(L16-C10))*ABS(B10-B9),IF((L16-C9)&gt;0,0.5*(L16-C9)*ABS((B9+((L16-C9)/((L16-C9)-(L16-C10)))*(B10-B9))-B9),0.5*(L16-C10)*ABS(B10-(B9+((L16-C9)/((L16-C9)-(L16-C10)))*(B10-B9)))))))+(IF(AND((L16-C10)&lt;=0,(L16-C11)&lt;=0),0,IF(AND((L16-C10)&gt;=0,(L16-C11)&gt;=0),0.5*((L16-C10)+(L16-C11))*ABS(B11-B10),IF((L16-C10)&gt;0,0.5*(L16-C10)*ABS((B10+((L16-C10)/((L16-C10)-(L16-C11)))*(B11-B10))-B10),0.5*(L16-C11)*ABS(B11-(B10+((L16-C10)/((L16-C10)-(L16-C11)))*(B11-B10)))))))+(IF(AND((L16-C11)&lt;=0,(L16-C12)&lt;=0),0,IF(AND((L16-C11)&gt;=0,(L16-C12)&gt;=0),0.5*((L16-C11)+(L16-C12))*ABS(B12-B11),IF((L16-C11)&gt;0,0.5*(L16-C11)*ABS((B11+((L16-C11)/((L16-C11)-(L16-C12)))*(B12-B11))-B11),0.5*(L16-C12)*ABS(B12-(B11+((L16-C11)/((L16-C11)-(L16-C12)))*(B12-B11)))))))+(IF(AND((L16-C12)&lt;=0,(L16-C13)&lt;=0),0,IF(AND((L16-C12)&gt;=0,(L16-C13)&gt;=0),0.5*((L16-C12)+(L16-C13))*ABS(B13-B12),IF((L16-C12)&gt;0,0.5*(L16-C12)*ABS((B12+((L16-C12)/((L16-C12)-(L16-C13)))*(B13-B12))-B12),0.5*(L16-C13)*ABS(B13-(B12+((L16-C12)/((L16-C12)-(L16-C13)))*(B13-B12)))))))+(IF(AND((L16-C13)&lt;=0,(L16-C14)&lt;=0),0,IF(AND((L16-C13)&gt;=0,(L16-C14)&gt;=0),0.5*((L16-C13)+(L16-C14))*ABS(B14-B13),IF((L16-C13)&gt;0,0.5*(L16-C13)*ABS((B13+((L16-C13)/((L16-C13)-(L16-C14)))*(B14-B13))-B13),0.5*(L16-C14)*ABS(B14-(B13+((L16-C13)/((L16-C13)-(L16-C14)))*(B14-B13)))))))+(IF(AND((L16-C14)&lt;=0,(L16-C15)&lt;=0),0,IF(AND((L16-C14)&gt;=0,(L16-C15)&gt;=0),0.5*((L16-C14)+(L16-C15))*ABS(B15-B14),IF((L16-C14)&gt;0,0.5*(L16-C14)*ABS((B14+((L16-C14)/((L16-C14)-(L16-C15)))*(B15-B14))-B14),0.5*(L16-C15)*ABS(B15-(B14+((L16-C14)/((L16-C14)-(L16-C15)))*(B15-B14)))))))+(IF(AND((L16-C15)&lt;=0,(L16-C16)&lt;=0),0,IF(AND((L16-C15)&gt;=0,(L16-C16)&gt;=0),0.5*((L16-C15)+(L16-C16))*ABS(B16-B15),IF((L16-C15)&gt;0,0.5*(L16-C15)*ABS((B15+((L16-C15)/((L16-C15)-(L16-C16)))*(B16-B15))-B15),0.5*(L16-C16)*ABS(B16-(B15+((L16-C15)/((L16-C15)-(L16-C16)))*(B16-B15)))))))+(IF(AND((L16-C16)&lt;=0,(L16-C17)&lt;=0),0,IF(AND((L16-C16)&gt;=0,(L16-C17)&gt;=0),0.5*((L16-C16)+(L16-C17))*ABS(B17-B16),IF((L16-C16)&gt;0,0.5*(L16-C16)*ABS((B16+((L16-C16)/((L16-C16)-(L16-C17)))*(B17-B16))-B16),0.5*(L16-C17)*ABS(B17-(B16+((L16-C16)/((L16-C16)-(L16-C17)))*(B17-B16)))))))</f>
        <v/>
      </c>
      <c r="N16">
        <f>(IF(AND((L16-C9)&lt;=0,(L16-C10)&lt;=0),0,IF(AND((L16-C9)&gt;=0,(L16-C10)&gt;=0),SQRT((B10-B9)^2+(C10-C9)^2),IF((L16-C9)&gt;0,SQRT(((B9+((L16-C9)/((L16-C9)-(L16-C10)))*(B10-B9))-B9)^2+(L16-C9)^2),SQRT((B10-(B9+((L16-C9)/((L16-C9)-(L16-C10)))*(B10-B9)))^2+(L16-C10)^2)))))+(IF(AND((L16-C10)&lt;=0,(L16-C11)&lt;=0),0,IF(AND((L16-C10)&gt;=0,(L16-C11)&gt;=0),SQRT((B11-B10)^2+(C11-C10)^2),IF((L16-C10)&gt;0,SQRT(((B10+((L16-C10)/((L16-C10)-(L16-C11)))*(B11-B10))-B10)^2+(L16-C10)^2),SQRT((B11-(B10+((L16-C10)/((L16-C10)-(L16-C11)))*(B11-B10)))^2+(L16-C11)^2)))))+(IF(AND((L16-C11)&lt;=0,(L16-C12)&lt;=0),0,IF(AND((L16-C11)&gt;=0,(L16-C12)&gt;=0),SQRT((B12-B11)^2+(C12-C11)^2),IF((L16-C11)&gt;0,SQRT(((B11+((L16-C11)/((L16-C11)-(L16-C12)))*(B12-B11))-B11)^2+(L16-C11)^2),SQRT((B12-(B11+((L16-C11)/((L16-C11)-(L16-C12)))*(B12-B11)))^2+(L16-C12)^2)))))+(IF(AND((L16-C12)&lt;=0,(L16-C13)&lt;=0),0,IF(AND((L16-C12)&gt;=0,(L16-C13)&gt;=0),SQRT((B13-B12)^2+(C13-C12)^2),IF((L16-C12)&gt;0,SQRT(((B12+((L16-C12)/((L16-C12)-(L16-C13)))*(B13-B12))-B12)^2+(L16-C12)^2),SQRT((B13-(B12+((L16-C12)/((L16-C12)-(L16-C13)))*(B13-B12)))^2+(L16-C13)^2)))))+(IF(AND((L16-C13)&lt;=0,(L16-C14)&lt;=0),0,IF(AND((L16-C13)&gt;=0,(L16-C14)&gt;=0),SQRT((B14-B13)^2+(C14-C13)^2),IF((L16-C13)&gt;0,SQRT(((B13+((L16-C13)/((L16-C13)-(L16-C14)))*(B14-B13))-B13)^2+(L16-C13)^2),SQRT((B14-(B13+((L16-C13)/((L16-C13)-(L16-C14)))*(B14-B13)))^2+(L16-C14)^2)))))+(IF(AND((L16-C14)&lt;=0,(L16-C15)&lt;=0),0,IF(AND((L16-C14)&gt;=0,(L16-C15)&gt;=0),SQRT((B15-B14)^2+(C15-C14)^2),IF((L16-C14)&gt;0,SQRT(((B14+((L16-C14)/((L16-C14)-(L16-C15)))*(B15-B14))-B14)^2+(L16-C14)^2),SQRT((B15-(B14+((L16-C14)/((L16-C14)-(L16-C15)))*(B15-B14)))^2+(L16-C15)^2)))))+(IF(AND((L16-C15)&lt;=0,(L16-C16)&lt;=0),0,IF(AND((L16-C15)&gt;=0,(L16-C16)&gt;=0),SQRT((B16-B15)^2+(C16-C15)^2),IF((L16-C15)&gt;0,SQRT(((B15+((L16-C15)/((L16-C15)-(L16-C16)))*(B16-B15))-B15)^2+(L16-C15)^2),SQRT((B16-(B15+((L16-C15)/((L16-C15)-(L16-C16)))*(B16-B15)))^2+(L16-C16)^2)))))+(IF(AND((L16-C16)&lt;=0,(L16-C17)&lt;=0),0,IF(AND((L16-C16)&gt;=0,(L16-C17)&gt;=0),SQRT((B17-B16)^2+(C17-C16)^2),IF((L16-C16)&gt;0,SQRT(((B16+((L16-C16)/((L16-C16)-(L16-C17)))*(B17-B16))-B16)^2+(L16-C16)^2),SQRT((B17-(B16+((L16-C16)/((L16-C16)-(L16-C17)))*(B17-B16)))^2+(L16-C17)^2)))))</f>
        <v/>
      </c>
      <c r="O16">
        <f>IF(OR($B$6&lt;=0,M16&lt;=0,N16&lt;=0,$B$4&lt;=0),0,(1/$B$6)*M16*((M16/N16)^(2/3))*SQRT($B$4))</f>
        <v/>
      </c>
    </row>
    <row r="17">
      <c r="A17" s="5" t="n">
        <v>9</v>
      </c>
      <c r="B17" s="5" t="n">
        <v>51.106</v>
      </c>
      <c r="C17" s="5" t="n">
        <v>39.77</v>
      </c>
      <c r="D17" s="5" t="inlineStr">
        <is>
          <t>THA</t>
        </is>
      </c>
      <c r="E17" s="5">
        <f>$B$2-C17</f>
        <v/>
      </c>
      <c r="F17" s="5" t="n"/>
      <c r="G17" s="5" t="n"/>
      <c r="I17" t="n">
        <v>9</v>
      </c>
      <c r="J17">
        <f>IF(O16&lt;$B$5,L16,J16)</f>
        <v/>
      </c>
      <c r="K17">
        <f>IF(O16&lt;$B$5,K16,L16)</f>
        <v/>
      </c>
      <c r="L17">
        <f>(J17+K17)/2</f>
        <v/>
      </c>
      <c r="M17">
        <f>(IF(AND((L17-C9)&lt;=0,(L17-C10)&lt;=0),0,IF(AND((L17-C9)&gt;=0,(L17-C10)&gt;=0),0.5*((L17-C9)+(L17-C10))*ABS(B10-B9),IF((L17-C9)&gt;0,0.5*(L17-C9)*ABS((B9+((L17-C9)/((L17-C9)-(L17-C10)))*(B10-B9))-B9),0.5*(L17-C10)*ABS(B10-(B9+((L17-C9)/((L17-C9)-(L17-C10)))*(B10-B9)))))))+(IF(AND((L17-C10)&lt;=0,(L17-C11)&lt;=0),0,IF(AND((L17-C10)&gt;=0,(L17-C11)&gt;=0),0.5*((L17-C10)+(L17-C11))*ABS(B11-B10),IF((L17-C10)&gt;0,0.5*(L17-C10)*ABS((B10+((L17-C10)/((L17-C10)-(L17-C11)))*(B11-B10))-B10),0.5*(L17-C11)*ABS(B11-(B10+((L17-C10)/((L17-C10)-(L17-C11)))*(B11-B10)))))))+(IF(AND((L17-C11)&lt;=0,(L17-C12)&lt;=0),0,IF(AND((L17-C11)&gt;=0,(L17-C12)&gt;=0),0.5*((L17-C11)+(L17-C12))*ABS(B12-B11),IF((L17-C11)&gt;0,0.5*(L17-C11)*ABS((B11+((L17-C11)/((L17-C11)-(L17-C12)))*(B12-B11))-B11),0.5*(L17-C12)*ABS(B12-(B11+((L17-C11)/((L17-C11)-(L17-C12)))*(B12-B11)))))))+(IF(AND((L17-C12)&lt;=0,(L17-C13)&lt;=0),0,IF(AND((L17-C12)&gt;=0,(L17-C13)&gt;=0),0.5*((L17-C12)+(L17-C13))*ABS(B13-B12),IF((L17-C12)&gt;0,0.5*(L17-C12)*ABS((B12+((L17-C12)/((L17-C12)-(L17-C13)))*(B13-B12))-B12),0.5*(L17-C13)*ABS(B13-(B12+((L17-C12)/((L17-C12)-(L17-C13)))*(B13-B12)))))))+(IF(AND((L17-C13)&lt;=0,(L17-C14)&lt;=0),0,IF(AND((L17-C13)&gt;=0,(L17-C14)&gt;=0),0.5*((L17-C13)+(L17-C14))*ABS(B14-B13),IF((L17-C13)&gt;0,0.5*(L17-C13)*ABS((B13+((L17-C13)/((L17-C13)-(L17-C14)))*(B14-B13))-B13),0.5*(L17-C14)*ABS(B14-(B13+((L17-C13)/((L17-C13)-(L17-C14)))*(B14-B13)))))))+(IF(AND((L17-C14)&lt;=0,(L17-C15)&lt;=0),0,IF(AND((L17-C14)&gt;=0,(L17-C15)&gt;=0),0.5*((L17-C14)+(L17-C15))*ABS(B15-B14),IF((L17-C14)&gt;0,0.5*(L17-C14)*ABS((B14+((L17-C14)/((L17-C14)-(L17-C15)))*(B15-B14))-B14),0.5*(L17-C15)*ABS(B15-(B14+((L17-C14)/((L17-C14)-(L17-C15)))*(B15-B14)))))))+(IF(AND((L17-C15)&lt;=0,(L17-C16)&lt;=0),0,IF(AND((L17-C15)&gt;=0,(L17-C16)&gt;=0),0.5*((L17-C15)+(L17-C16))*ABS(B16-B15),IF((L17-C15)&gt;0,0.5*(L17-C15)*ABS((B15+((L17-C15)/((L17-C15)-(L17-C16)))*(B16-B15))-B15),0.5*(L17-C16)*ABS(B16-(B15+((L17-C15)/((L17-C15)-(L17-C16)))*(B16-B15)))))))+(IF(AND((L17-C16)&lt;=0,(L17-C17)&lt;=0),0,IF(AND((L17-C16)&gt;=0,(L17-C17)&gt;=0),0.5*((L17-C16)+(L17-C17))*ABS(B17-B16),IF((L17-C16)&gt;0,0.5*(L17-C16)*ABS((B16+((L17-C16)/((L17-C16)-(L17-C17)))*(B17-B16))-B16),0.5*(L17-C17)*ABS(B17-(B16+((L17-C16)/((L17-C16)-(L17-C17)))*(B17-B16)))))))</f>
        <v/>
      </c>
      <c r="N17">
        <f>(IF(AND((L17-C9)&lt;=0,(L17-C10)&lt;=0),0,IF(AND((L17-C9)&gt;=0,(L17-C10)&gt;=0),SQRT((B10-B9)^2+(C10-C9)^2),IF((L17-C9)&gt;0,SQRT(((B9+((L17-C9)/((L17-C9)-(L17-C10)))*(B10-B9))-B9)^2+(L17-C9)^2),SQRT((B10-(B9+((L17-C9)/((L17-C9)-(L17-C10)))*(B10-B9)))^2+(L17-C10)^2)))))+(IF(AND((L17-C10)&lt;=0,(L17-C11)&lt;=0),0,IF(AND((L17-C10)&gt;=0,(L17-C11)&gt;=0),SQRT((B11-B10)^2+(C11-C10)^2),IF((L17-C10)&gt;0,SQRT(((B10+((L17-C10)/((L17-C10)-(L17-C11)))*(B11-B10))-B10)^2+(L17-C10)^2),SQRT((B11-(B10+((L17-C10)/((L17-C10)-(L17-C11)))*(B11-B10)))^2+(L17-C11)^2)))))+(IF(AND((L17-C11)&lt;=0,(L17-C12)&lt;=0),0,IF(AND((L17-C11)&gt;=0,(L17-C12)&gt;=0),SQRT((B12-B11)^2+(C12-C11)^2),IF((L17-C11)&gt;0,SQRT(((B11+((L17-C11)/((L17-C11)-(L17-C12)))*(B12-B11))-B11)^2+(L17-C11)^2),SQRT((B12-(B11+((L17-C11)/((L17-C11)-(L17-C12)))*(B12-B11)))^2+(L17-C12)^2)))))+(IF(AND((L17-C12)&lt;=0,(L17-C13)&lt;=0),0,IF(AND((L17-C12)&gt;=0,(L17-C13)&gt;=0),SQRT((B13-B12)^2+(C13-C12)^2),IF((L17-C12)&gt;0,SQRT(((B12+((L17-C12)/((L17-C12)-(L17-C13)))*(B13-B12))-B12)^2+(L17-C12)^2),SQRT((B13-(B12+((L17-C12)/((L17-C12)-(L17-C13)))*(B13-B12)))^2+(L17-C13)^2)))))+(IF(AND((L17-C13)&lt;=0,(L17-C14)&lt;=0),0,IF(AND((L17-C13)&gt;=0,(L17-C14)&gt;=0),SQRT((B14-B13)^2+(C14-C13)^2),IF((L17-C13)&gt;0,SQRT(((B13+((L17-C13)/((L17-C13)-(L17-C14)))*(B14-B13))-B13)^2+(L17-C13)^2),SQRT((B14-(B13+((L17-C13)/((L17-C13)-(L17-C14)))*(B14-B13)))^2+(L17-C14)^2)))))+(IF(AND((L17-C14)&lt;=0,(L17-C15)&lt;=0),0,IF(AND((L17-C14)&gt;=0,(L17-C15)&gt;=0),SQRT((B15-B14)^2+(C15-C14)^2),IF((L17-C14)&gt;0,SQRT(((B14+((L17-C14)/((L17-C14)-(L17-C15)))*(B15-B14))-B14)^2+(L17-C14)^2),SQRT((B15-(B14+((L17-C14)/((L17-C14)-(L17-C15)))*(B15-B14)))^2+(L17-C15)^2)))))+(IF(AND((L17-C15)&lt;=0,(L17-C16)&lt;=0),0,IF(AND((L17-C15)&gt;=0,(L17-C16)&gt;=0),SQRT((B16-B15)^2+(C16-C15)^2),IF((L17-C15)&gt;0,SQRT(((B15+((L17-C15)/((L17-C15)-(L17-C16)))*(B16-B15))-B15)^2+(L17-C15)^2),SQRT((B16-(B15+((L17-C15)/((L17-C15)-(L17-C16)))*(B16-B15)))^2+(L17-C16)^2)))))+(IF(AND((L17-C16)&lt;=0,(L17-C17)&lt;=0),0,IF(AND((L17-C16)&gt;=0,(L17-C17)&gt;=0),SQRT((B17-B16)^2+(C17-C16)^2),IF((L17-C16)&gt;0,SQRT(((B16+((L17-C16)/((L17-C16)-(L17-C17)))*(B17-B16))-B16)^2+(L17-C16)^2),SQRT((B17-(B16+((L17-C16)/((L17-C16)-(L17-C17)))*(B17-B16)))^2+(L17-C17)^2)))))</f>
        <v/>
      </c>
      <c r="O17">
        <f>IF(OR($B$6&lt;=0,M17&lt;=0,N17&lt;=0,$B$4&lt;=0),0,(1/$B$6)*M17*((M17/N17)^(2/3))*SQRT($B$4))</f>
        <v/>
      </c>
    </row>
    <row r="18">
      <c r="G18" t="inlineStr">
        <is>
          <t>P = Σ Pi</t>
        </is>
      </c>
      <c r="I18" t="n">
        <v>10</v>
      </c>
      <c r="J18">
        <f>IF(O17&lt;$B$5,L17,J17)</f>
        <v/>
      </c>
      <c r="K18">
        <f>IF(O17&lt;$B$5,K17,L17)</f>
        <v/>
      </c>
      <c r="L18">
        <f>(J18+K18)/2</f>
        <v/>
      </c>
      <c r="M18">
        <f>(IF(AND((L18-C9)&lt;=0,(L18-C10)&lt;=0),0,IF(AND((L18-C9)&gt;=0,(L18-C10)&gt;=0),0.5*((L18-C9)+(L18-C10))*ABS(B10-B9),IF((L18-C9)&gt;0,0.5*(L18-C9)*ABS((B9+((L18-C9)/((L18-C9)-(L18-C10)))*(B10-B9))-B9),0.5*(L18-C10)*ABS(B10-(B9+((L18-C9)/((L18-C9)-(L18-C10)))*(B10-B9)))))))+(IF(AND((L18-C10)&lt;=0,(L18-C11)&lt;=0),0,IF(AND((L18-C10)&gt;=0,(L18-C11)&gt;=0),0.5*((L18-C10)+(L18-C11))*ABS(B11-B10),IF((L18-C10)&gt;0,0.5*(L18-C10)*ABS((B10+((L18-C10)/((L18-C10)-(L18-C11)))*(B11-B10))-B10),0.5*(L18-C11)*ABS(B11-(B10+((L18-C10)/((L18-C10)-(L18-C11)))*(B11-B10)))))))+(IF(AND((L18-C11)&lt;=0,(L18-C12)&lt;=0),0,IF(AND((L18-C11)&gt;=0,(L18-C12)&gt;=0),0.5*((L18-C11)+(L18-C12))*ABS(B12-B11),IF((L18-C11)&gt;0,0.5*(L18-C11)*ABS((B11+((L18-C11)/((L18-C11)-(L18-C12)))*(B12-B11))-B11),0.5*(L18-C12)*ABS(B12-(B11+((L18-C11)/((L18-C11)-(L18-C12)))*(B12-B11)))))))+(IF(AND((L18-C12)&lt;=0,(L18-C13)&lt;=0),0,IF(AND((L18-C12)&gt;=0,(L18-C13)&gt;=0),0.5*((L18-C12)+(L18-C13))*ABS(B13-B12),IF((L18-C12)&gt;0,0.5*(L18-C12)*ABS((B12+((L18-C12)/((L18-C12)-(L18-C13)))*(B13-B12))-B12),0.5*(L18-C13)*ABS(B13-(B12+((L18-C12)/((L18-C12)-(L18-C13)))*(B13-B12)))))))+(IF(AND((L18-C13)&lt;=0,(L18-C14)&lt;=0),0,IF(AND((L18-C13)&gt;=0,(L18-C14)&gt;=0),0.5*((L18-C13)+(L18-C14))*ABS(B14-B13),IF((L18-C13)&gt;0,0.5*(L18-C13)*ABS((B13+((L18-C13)/((L18-C13)-(L18-C14)))*(B14-B13))-B13),0.5*(L18-C14)*ABS(B14-(B13+((L18-C13)/((L18-C13)-(L18-C14)))*(B14-B13)))))))+(IF(AND((L18-C14)&lt;=0,(L18-C15)&lt;=0),0,IF(AND((L18-C14)&gt;=0,(L18-C15)&gt;=0),0.5*((L18-C14)+(L18-C15))*ABS(B15-B14),IF((L18-C14)&gt;0,0.5*(L18-C14)*ABS((B14+((L18-C14)/((L18-C14)-(L18-C15)))*(B15-B14))-B14),0.5*(L18-C15)*ABS(B15-(B14+((L18-C14)/((L18-C14)-(L18-C15)))*(B15-B14)))))))+(IF(AND((L18-C15)&lt;=0,(L18-C16)&lt;=0),0,IF(AND((L18-C15)&gt;=0,(L18-C16)&gt;=0),0.5*((L18-C15)+(L18-C16))*ABS(B16-B15),IF((L18-C15)&gt;0,0.5*(L18-C15)*ABS((B15+((L18-C15)/((L18-C15)-(L18-C16)))*(B16-B15))-B15),0.5*(L18-C16)*ABS(B16-(B15+((L18-C15)/((L18-C15)-(L18-C16)))*(B16-B15)))))))+(IF(AND((L18-C16)&lt;=0,(L18-C17)&lt;=0),0,IF(AND((L18-C16)&gt;=0,(L18-C17)&gt;=0),0.5*((L18-C16)+(L18-C17))*ABS(B17-B16),IF((L18-C16)&gt;0,0.5*(L18-C16)*ABS((B16+((L18-C16)/((L18-C16)-(L18-C17)))*(B17-B16))-B16),0.5*(L18-C17)*ABS(B17-(B16+((L18-C16)/((L18-C16)-(L18-C17)))*(B17-B16)))))))</f>
        <v/>
      </c>
      <c r="N18">
        <f>(IF(AND((L18-C9)&lt;=0,(L18-C10)&lt;=0),0,IF(AND((L18-C9)&gt;=0,(L18-C10)&gt;=0),SQRT((B10-B9)^2+(C10-C9)^2),IF((L18-C9)&gt;0,SQRT(((B9+((L18-C9)/((L18-C9)-(L18-C10)))*(B10-B9))-B9)^2+(L18-C9)^2),SQRT((B10-(B9+((L18-C9)/((L18-C9)-(L18-C10)))*(B10-B9)))^2+(L18-C10)^2)))))+(IF(AND((L18-C10)&lt;=0,(L18-C11)&lt;=0),0,IF(AND((L18-C10)&gt;=0,(L18-C11)&gt;=0),SQRT((B11-B10)^2+(C11-C10)^2),IF((L18-C10)&gt;0,SQRT(((B10+((L18-C10)/((L18-C10)-(L18-C11)))*(B11-B10))-B10)^2+(L18-C10)^2),SQRT((B11-(B10+((L18-C10)/((L18-C10)-(L18-C11)))*(B11-B10)))^2+(L18-C11)^2)))))+(IF(AND((L18-C11)&lt;=0,(L18-C12)&lt;=0),0,IF(AND((L18-C11)&gt;=0,(L18-C12)&gt;=0),SQRT((B12-B11)^2+(C12-C11)^2),IF((L18-C11)&gt;0,SQRT(((B11+((L18-C11)/((L18-C11)-(L18-C12)))*(B12-B11))-B11)^2+(L18-C11)^2),SQRT((B12-(B11+((L18-C11)/((L18-C11)-(L18-C12)))*(B12-B11)))^2+(L18-C12)^2)))))+(IF(AND((L18-C12)&lt;=0,(L18-C13)&lt;=0),0,IF(AND((L18-C12)&gt;=0,(L18-C13)&gt;=0),SQRT((B13-B12)^2+(C13-C12)^2),IF((L18-C12)&gt;0,SQRT(((B12+((L18-C12)/((L18-C12)-(L18-C13)))*(B13-B12))-B12)^2+(L18-C12)^2),SQRT((B13-(B12+((L18-C12)/((L18-C12)-(L18-C13)))*(B13-B12)))^2+(L18-C13)^2)))))+(IF(AND((L18-C13)&lt;=0,(L18-C14)&lt;=0),0,IF(AND((L18-C13)&gt;=0,(L18-C14)&gt;=0),SQRT((B14-B13)^2+(C14-C13)^2),IF((L18-C13)&gt;0,SQRT(((B13+((L18-C13)/((L18-C13)-(L18-C14)))*(B14-B13))-B13)^2+(L18-C13)^2),SQRT((B14-(B13+((L18-C13)/((L18-C13)-(L18-C14)))*(B14-B13)))^2+(L18-C14)^2)))))+(IF(AND((L18-C14)&lt;=0,(L18-C15)&lt;=0),0,IF(AND((L18-C14)&gt;=0,(L18-C15)&gt;=0),SQRT((B15-B14)^2+(C15-C14)^2),IF((L18-C14)&gt;0,SQRT(((B14+((L18-C14)/((L18-C14)-(L18-C15)))*(B15-B14))-B14)^2+(L18-C14)^2),SQRT((B15-(B14+((L18-C14)/((L18-C14)-(L18-C15)))*(B15-B14)))^2+(L18-C15)^2)))))+(IF(AND((L18-C15)&lt;=0,(L18-C16)&lt;=0),0,IF(AND((L18-C15)&gt;=0,(L18-C16)&gt;=0),SQRT((B16-B15)^2+(C16-C15)^2),IF((L18-C15)&gt;0,SQRT(((B15+((L18-C15)/((L18-C15)-(L18-C16)))*(B16-B15))-B15)^2+(L18-C15)^2),SQRT((B16-(B15+((L18-C15)/((L18-C15)-(L18-C16)))*(B16-B15)))^2+(L18-C16)^2)))))+(IF(AND((L18-C16)&lt;=0,(L18-C17)&lt;=0),0,IF(AND((L18-C16)&gt;=0,(L18-C17)&gt;=0),SQRT((B17-B16)^2+(C17-C16)^2),IF((L18-C16)&gt;0,SQRT(((B16+((L18-C16)/((L18-C16)-(L18-C17)))*(B17-B16))-B16)^2+(L18-C16)^2),SQRT((B17-(B16+((L18-C16)/((L18-C16)-(L18-C17)))*(B17-B16)))^2+(L18-C17)^2)))))</f>
        <v/>
      </c>
      <c r="O18">
        <f>IF(OR($B$6&lt;=0,M18&lt;=0,N18&lt;=0,$B$4&lt;=0),0,(1/$B$6)*M18*((M18/N18)^(2/3))*SQRT($B$4))</f>
        <v/>
      </c>
    </row>
    <row r="19">
      <c r="A19" s="10" t="inlineStr">
        <is>
          <t>Totaux</t>
        </is>
      </c>
      <c r="E19" t="inlineStr">
        <is>
          <t>A = Σ Ai</t>
        </is>
      </c>
      <c r="F19" s="17">
        <f>SUM(F9:F16)</f>
        <v/>
      </c>
      <c r="G19" s="17">
        <f>SUM(G9:G16)</f>
        <v/>
      </c>
      <c r="I19" t="n">
        <v>11</v>
      </c>
      <c r="J19">
        <f>IF(O18&lt;$B$5,L18,J18)</f>
        <v/>
      </c>
      <c r="K19">
        <f>IF(O18&lt;$B$5,K18,L18)</f>
        <v/>
      </c>
      <c r="L19">
        <f>(J19+K19)/2</f>
        <v/>
      </c>
      <c r="M19">
        <f>(IF(AND((L19-C9)&lt;=0,(L19-C10)&lt;=0),0,IF(AND((L19-C9)&gt;=0,(L19-C10)&gt;=0),0.5*((L19-C9)+(L19-C10))*ABS(B10-B9),IF((L19-C9)&gt;0,0.5*(L19-C9)*ABS((B9+((L19-C9)/((L19-C9)-(L19-C10)))*(B10-B9))-B9),0.5*(L19-C10)*ABS(B10-(B9+((L19-C9)/((L19-C9)-(L19-C10)))*(B10-B9)))))))+(IF(AND((L19-C10)&lt;=0,(L19-C11)&lt;=0),0,IF(AND((L19-C10)&gt;=0,(L19-C11)&gt;=0),0.5*((L19-C10)+(L19-C11))*ABS(B11-B10),IF((L19-C10)&gt;0,0.5*(L19-C10)*ABS((B10+((L19-C10)/((L19-C10)-(L19-C11)))*(B11-B10))-B10),0.5*(L19-C11)*ABS(B11-(B10+((L19-C10)/((L19-C10)-(L19-C11)))*(B11-B10)))))))+(IF(AND((L19-C11)&lt;=0,(L19-C12)&lt;=0),0,IF(AND((L19-C11)&gt;=0,(L19-C12)&gt;=0),0.5*((L19-C11)+(L19-C12))*ABS(B12-B11),IF((L19-C11)&gt;0,0.5*(L19-C11)*ABS((B11+((L19-C11)/((L19-C11)-(L19-C12)))*(B12-B11))-B11),0.5*(L19-C12)*ABS(B12-(B11+((L19-C11)/((L19-C11)-(L19-C12)))*(B12-B11)))))))+(IF(AND((L19-C12)&lt;=0,(L19-C13)&lt;=0),0,IF(AND((L19-C12)&gt;=0,(L19-C13)&gt;=0),0.5*((L19-C12)+(L19-C13))*ABS(B13-B12),IF((L19-C12)&gt;0,0.5*(L19-C12)*ABS((B12+((L19-C12)/((L19-C12)-(L19-C13)))*(B13-B12))-B12),0.5*(L19-C13)*ABS(B13-(B12+((L19-C12)/((L19-C12)-(L19-C13)))*(B13-B12)))))))+(IF(AND((L19-C13)&lt;=0,(L19-C14)&lt;=0),0,IF(AND((L19-C13)&gt;=0,(L19-C14)&gt;=0),0.5*((L19-C13)+(L19-C14))*ABS(B14-B13),IF((L19-C13)&gt;0,0.5*(L19-C13)*ABS((B13+((L19-C13)/((L19-C13)-(L19-C14)))*(B14-B13))-B13),0.5*(L19-C14)*ABS(B14-(B13+((L19-C13)/((L19-C13)-(L19-C14)))*(B14-B13)))))))+(IF(AND((L19-C14)&lt;=0,(L19-C15)&lt;=0),0,IF(AND((L19-C14)&gt;=0,(L19-C15)&gt;=0),0.5*((L19-C14)+(L19-C15))*ABS(B15-B14),IF((L19-C14)&gt;0,0.5*(L19-C14)*ABS((B14+((L19-C14)/((L19-C14)-(L19-C15)))*(B15-B14))-B14),0.5*(L19-C15)*ABS(B15-(B14+((L19-C14)/((L19-C14)-(L19-C15)))*(B15-B14)))))))+(IF(AND((L19-C15)&lt;=0,(L19-C16)&lt;=0),0,IF(AND((L19-C15)&gt;=0,(L19-C16)&gt;=0),0.5*((L19-C15)+(L19-C16))*ABS(B16-B15),IF((L19-C15)&gt;0,0.5*(L19-C15)*ABS((B15+((L19-C15)/((L19-C15)-(L19-C16)))*(B16-B15))-B15),0.5*(L19-C16)*ABS(B16-(B15+((L19-C15)/((L19-C15)-(L19-C16)))*(B16-B15)))))))+(IF(AND((L19-C16)&lt;=0,(L19-C17)&lt;=0),0,IF(AND((L19-C16)&gt;=0,(L19-C17)&gt;=0),0.5*((L19-C16)+(L19-C17))*ABS(B17-B16),IF((L19-C16)&gt;0,0.5*(L19-C16)*ABS((B16+((L19-C16)/((L19-C16)-(L19-C17)))*(B17-B16))-B16),0.5*(L19-C17)*ABS(B17-(B16+((L19-C16)/((L19-C16)-(L19-C17)))*(B17-B16)))))))</f>
        <v/>
      </c>
      <c r="N19">
        <f>(IF(AND((L19-C9)&lt;=0,(L19-C10)&lt;=0),0,IF(AND((L19-C9)&gt;=0,(L19-C10)&gt;=0),SQRT((B10-B9)^2+(C10-C9)^2),IF((L19-C9)&gt;0,SQRT(((B9+((L19-C9)/((L19-C9)-(L19-C10)))*(B10-B9))-B9)^2+(L19-C9)^2),SQRT((B10-(B9+((L19-C9)/((L19-C9)-(L19-C10)))*(B10-B9)))^2+(L19-C10)^2)))))+(IF(AND((L19-C10)&lt;=0,(L19-C11)&lt;=0),0,IF(AND((L19-C10)&gt;=0,(L19-C11)&gt;=0),SQRT((B11-B10)^2+(C11-C10)^2),IF((L19-C10)&gt;0,SQRT(((B10+((L19-C10)/((L19-C10)-(L19-C11)))*(B11-B10))-B10)^2+(L19-C10)^2),SQRT((B11-(B10+((L19-C10)/((L19-C10)-(L19-C11)))*(B11-B10)))^2+(L19-C11)^2)))))+(IF(AND((L19-C11)&lt;=0,(L19-C12)&lt;=0),0,IF(AND((L19-C11)&gt;=0,(L19-C12)&gt;=0),SQRT((B12-B11)^2+(C12-C11)^2),IF((L19-C11)&gt;0,SQRT(((B11+((L19-C11)/((L19-C11)-(L19-C12)))*(B12-B11))-B11)^2+(L19-C11)^2),SQRT((B12-(B11+((L19-C11)/((L19-C11)-(L19-C12)))*(B12-B11)))^2+(L19-C12)^2)))))+(IF(AND((L19-C12)&lt;=0,(L19-C13)&lt;=0),0,IF(AND((L19-C12)&gt;=0,(L19-C13)&gt;=0),SQRT((B13-B12)^2+(C13-C12)^2),IF((L19-C12)&gt;0,SQRT(((B12+((L19-C12)/((L19-C12)-(L19-C13)))*(B13-B12))-B12)^2+(L19-C12)^2),SQRT((B13-(B12+((L19-C12)/((L19-C12)-(L19-C13)))*(B13-B12)))^2+(L19-C13)^2)))))+(IF(AND((L19-C13)&lt;=0,(L19-C14)&lt;=0),0,IF(AND((L19-C13)&gt;=0,(L19-C14)&gt;=0),SQRT((B14-B13)^2+(C14-C13)^2),IF((L19-C13)&gt;0,SQRT(((B13+((L19-C13)/((L19-C13)-(L19-C14)))*(B14-B13))-B13)^2+(L19-C13)^2),SQRT((B14-(B13+((L19-C13)/((L19-C13)-(L19-C14)))*(B14-B13)))^2+(L19-C14)^2)))))+(IF(AND((L19-C14)&lt;=0,(L19-C15)&lt;=0),0,IF(AND((L19-C14)&gt;=0,(L19-C15)&gt;=0),SQRT((B15-B14)^2+(C15-C14)^2),IF((L19-C14)&gt;0,SQRT(((B14+((L19-C14)/((L19-C14)-(L19-C15)))*(B15-B14))-B14)^2+(L19-C14)^2),SQRT((B15-(B14+((L19-C14)/((L19-C14)-(L19-C15)))*(B15-B14)))^2+(L19-C15)^2)))))+(IF(AND((L19-C15)&lt;=0,(L19-C16)&lt;=0),0,IF(AND((L19-C15)&gt;=0,(L19-C16)&gt;=0),SQRT((B16-B15)^2+(C16-C15)^2),IF((L19-C15)&gt;0,SQRT(((B15+((L19-C15)/((L19-C15)-(L19-C16)))*(B16-B15))-B15)^2+(L19-C15)^2),SQRT((B16-(B15+((L19-C15)/((L19-C15)-(L19-C16)))*(B16-B15)))^2+(L19-C16)^2)))))+(IF(AND((L19-C16)&lt;=0,(L19-C17)&lt;=0),0,IF(AND((L19-C16)&gt;=0,(L19-C17)&gt;=0),SQRT((B17-B16)^2+(C17-C16)^2),IF((L19-C16)&gt;0,SQRT(((B16+((L19-C16)/((L19-C16)-(L19-C17)))*(B17-B16))-B16)^2+(L19-C16)^2),SQRT((B17-(B16+((L19-C16)/((L19-C16)-(L19-C17)))*(B17-B16)))^2+(L19-C17)^2)))))</f>
        <v/>
      </c>
      <c r="O19">
        <f>IF(OR($B$6&lt;=0,M19&lt;=0,N19&lt;=0,$B$4&lt;=0),0,(1/$B$6)*M19*((M19/N19)^(2/3))*SQRT($B$4))</f>
        <v/>
      </c>
    </row>
    <row r="20">
      <c r="I20" t="n">
        <v>12</v>
      </c>
      <c r="J20">
        <f>IF(O19&lt;$B$5,L19,J19)</f>
        <v/>
      </c>
      <c r="K20">
        <f>IF(O19&lt;$B$5,K19,L19)</f>
        <v/>
      </c>
      <c r="L20">
        <f>(J20+K20)/2</f>
        <v/>
      </c>
      <c r="M20">
        <f>(IF(AND((L20-C9)&lt;=0,(L20-C10)&lt;=0),0,IF(AND((L20-C9)&gt;=0,(L20-C10)&gt;=0),0.5*((L20-C9)+(L20-C10))*ABS(B10-B9),IF((L20-C9)&gt;0,0.5*(L20-C9)*ABS((B9+((L20-C9)/((L20-C9)-(L20-C10)))*(B10-B9))-B9),0.5*(L20-C10)*ABS(B10-(B9+((L20-C9)/((L20-C9)-(L20-C10)))*(B10-B9)))))))+(IF(AND((L20-C10)&lt;=0,(L20-C11)&lt;=0),0,IF(AND((L20-C10)&gt;=0,(L20-C11)&gt;=0),0.5*((L20-C10)+(L20-C11))*ABS(B11-B10),IF((L20-C10)&gt;0,0.5*(L20-C10)*ABS((B10+((L20-C10)/((L20-C10)-(L20-C11)))*(B11-B10))-B10),0.5*(L20-C11)*ABS(B11-(B10+((L20-C10)/((L20-C10)-(L20-C11)))*(B11-B10)))))))+(IF(AND((L20-C11)&lt;=0,(L20-C12)&lt;=0),0,IF(AND((L20-C11)&gt;=0,(L20-C12)&gt;=0),0.5*((L20-C11)+(L20-C12))*ABS(B12-B11),IF((L20-C11)&gt;0,0.5*(L20-C11)*ABS((B11+((L20-C11)/((L20-C11)-(L20-C12)))*(B12-B11))-B11),0.5*(L20-C12)*ABS(B12-(B11+((L20-C11)/((L20-C11)-(L20-C12)))*(B12-B11)))))))+(IF(AND((L20-C12)&lt;=0,(L20-C13)&lt;=0),0,IF(AND((L20-C12)&gt;=0,(L20-C13)&gt;=0),0.5*((L20-C12)+(L20-C13))*ABS(B13-B12),IF((L20-C12)&gt;0,0.5*(L20-C12)*ABS((B12+((L20-C12)/((L20-C12)-(L20-C13)))*(B13-B12))-B12),0.5*(L20-C13)*ABS(B13-(B12+((L20-C12)/((L20-C12)-(L20-C13)))*(B13-B12)))))))+(IF(AND((L20-C13)&lt;=0,(L20-C14)&lt;=0),0,IF(AND((L20-C13)&gt;=0,(L20-C14)&gt;=0),0.5*((L20-C13)+(L20-C14))*ABS(B14-B13),IF((L20-C13)&gt;0,0.5*(L20-C13)*ABS((B13+((L20-C13)/((L20-C13)-(L20-C14)))*(B14-B13))-B13),0.5*(L20-C14)*ABS(B14-(B13+((L20-C13)/((L20-C13)-(L20-C14)))*(B14-B13)))))))+(IF(AND((L20-C14)&lt;=0,(L20-C15)&lt;=0),0,IF(AND((L20-C14)&gt;=0,(L20-C15)&gt;=0),0.5*((L20-C14)+(L20-C15))*ABS(B15-B14),IF((L20-C14)&gt;0,0.5*(L20-C14)*ABS((B14+((L20-C14)/((L20-C14)-(L20-C15)))*(B15-B14))-B14),0.5*(L20-C15)*ABS(B15-(B14+((L20-C14)/((L20-C14)-(L20-C15)))*(B15-B14)))))))+(IF(AND((L20-C15)&lt;=0,(L20-C16)&lt;=0),0,IF(AND((L20-C15)&gt;=0,(L20-C16)&gt;=0),0.5*((L20-C15)+(L20-C16))*ABS(B16-B15),IF((L20-C15)&gt;0,0.5*(L20-C15)*ABS((B15+((L20-C15)/((L20-C15)-(L20-C16)))*(B16-B15))-B15),0.5*(L20-C16)*ABS(B16-(B15+((L20-C15)/((L20-C15)-(L20-C16)))*(B16-B15)))))))+(IF(AND((L20-C16)&lt;=0,(L20-C17)&lt;=0),0,IF(AND((L20-C16)&gt;=0,(L20-C17)&gt;=0),0.5*((L20-C16)+(L20-C17))*ABS(B17-B16),IF((L20-C16)&gt;0,0.5*(L20-C16)*ABS((B16+((L20-C16)/((L20-C16)-(L20-C17)))*(B17-B16))-B16),0.5*(L20-C17)*ABS(B17-(B16+((L20-C16)/((L20-C16)-(L20-C17)))*(B17-B16)))))))</f>
        <v/>
      </c>
      <c r="N20">
        <f>(IF(AND((L20-C9)&lt;=0,(L20-C10)&lt;=0),0,IF(AND((L20-C9)&gt;=0,(L20-C10)&gt;=0),SQRT((B10-B9)^2+(C10-C9)^2),IF((L20-C9)&gt;0,SQRT(((B9+((L20-C9)/((L20-C9)-(L20-C10)))*(B10-B9))-B9)^2+(L20-C9)^2),SQRT((B10-(B9+((L20-C9)/((L20-C9)-(L20-C10)))*(B10-B9)))^2+(L20-C10)^2)))))+(IF(AND((L20-C10)&lt;=0,(L20-C11)&lt;=0),0,IF(AND((L20-C10)&gt;=0,(L20-C11)&gt;=0),SQRT((B11-B10)^2+(C11-C10)^2),IF((L20-C10)&gt;0,SQRT(((B10+((L20-C10)/((L20-C10)-(L20-C11)))*(B11-B10))-B10)^2+(L20-C10)^2),SQRT((B11-(B10+((L20-C10)/((L20-C10)-(L20-C11)))*(B11-B10)))^2+(L20-C11)^2)))))+(IF(AND((L20-C11)&lt;=0,(L20-C12)&lt;=0),0,IF(AND((L20-C11)&gt;=0,(L20-C12)&gt;=0),SQRT((B12-B11)^2+(C12-C11)^2),IF((L20-C11)&gt;0,SQRT(((B11+((L20-C11)/((L20-C11)-(L20-C12)))*(B12-B11))-B11)^2+(L20-C11)^2),SQRT((B12-(B11+((L20-C11)/((L20-C11)-(L20-C12)))*(B12-B11)))^2+(L20-C12)^2)))))+(IF(AND((L20-C12)&lt;=0,(L20-C13)&lt;=0),0,IF(AND((L20-C12)&gt;=0,(L20-C13)&gt;=0),SQRT((B13-B12)^2+(C13-C12)^2),IF((L20-C12)&gt;0,SQRT(((B12+((L20-C12)/((L20-C12)-(L20-C13)))*(B13-B12))-B12)^2+(L20-C12)^2),SQRT((B13-(B12+((L20-C12)/((L20-C12)-(L20-C13)))*(B13-B12)))^2+(L20-C13)^2)))))+(IF(AND((L20-C13)&lt;=0,(L20-C14)&lt;=0),0,IF(AND((L20-C13)&gt;=0,(L20-C14)&gt;=0),SQRT((B14-B13)^2+(C14-C13)^2),IF((L20-C13)&gt;0,SQRT(((B13+((L20-C13)/((L20-C13)-(L20-C14)))*(B14-B13))-B13)^2+(L20-C13)^2),SQRT((B14-(B13+((L20-C13)/((L20-C13)-(L20-C14)))*(B14-B13)))^2+(L20-C14)^2)))))+(IF(AND((L20-C14)&lt;=0,(L20-C15)&lt;=0),0,IF(AND((L20-C14)&gt;=0,(L20-C15)&gt;=0),SQRT((B15-B14)^2+(C15-C14)^2),IF((L20-C14)&gt;0,SQRT(((B14+((L20-C14)/((L20-C14)-(L20-C15)))*(B15-B14))-B14)^2+(L20-C14)^2),SQRT((B15-(B14+((L20-C14)/((L20-C14)-(L20-C15)))*(B15-B14)))^2+(L20-C15)^2)))))+(IF(AND((L20-C15)&lt;=0,(L20-C16)&lt;=0),0,IF(AND((L20-C15)&gt;=0,(L20-C16)&gt;=0),SQRT((B16-B15)^2+(C16-C15)^2),IF((L20-C15)&gt;0,SQRT(((B15+((L20-C15)/((L20-C15)-(L20-C16)))*(B16-B15))-B15)^2+(L20-C15)^2),SQRT((B16-(B15+((L20-C15)/((L20-C15)-(L20-C16)))*(B16-B15)))^2+(L20-C16)^2)))))+(IF(AND((L20-C16)&lt;=0,(L20-C17)&lt;=0),0,IF(AND((L20-C16)&gt;=0,(L20-C17)&gt;=0),SQRT((B17-B16)^2+(C17-C16)^2),IF((L20-C16)&gt;0,SQRT(((B16+((L20-C16)/((L20-C16)-(L20-C17)))*(B17-B16))-B16)^2+(L20-C16)^2),SQRT((B17-(B16+((L20-C16)/((L20-C16)-(L20-C17)))*(B17-B16)))^2+(L20-C17)^2)))))</f>
        <v/>
      </c>
      <c r="O20">
        <f>IF(OR($B$6&lt;=0,M20&lt;=0,N20&lt;=0,$B$4&lt;=0),0,(1/$B$6)*M20*((M20/N20)^(2/3))*SQRT($B$4))</f>
        <v/>
      </c>
    </row>
    <row r="21">
      <c r="A21" t="inlineStr">
        <is>
          <t>Fond min (m)</t>
        </is>
      </c>
      <c r="B21">
        <f>MIN(C9:C17)</f>
        <v/>
      </c>
      <c r="I21" t="n">
        <v>13</v>
      </c>
      <c r="J21">
        <f>IF(O20&lt;$B$5,L20,J20)</f>
        <v/>
      </c>
      <c r="K21">
        <f>IF(O20&lt;$B$5,K20,L20)</f>
        <v/>
      </c>
      <c r="L21">
        <f>(J21+K21)/2</f>
        <v/>
      </c>
      <c r="M21">
        <f>(IF(AND((L21-C9)&lt;=0,(L21-C10)&lt;=0),0,IF(AND((L21-C9)&gt;=0,(L21-C10)&gt;=0),0.5*((L21-C9)+(L21-C10))*ABS(B10-B9),IF((L21-C9)&gt;0,0.5*(L21-C9)*ABS((B9+((L21-C9)/((L21-C9)-(L21-C10)))*(B10-B9))-B9),0.5*(L21-C10)*ABS(B10-(B9+((L21-C9)/((L21-C9)-(L21-C10)))*(B10-B9)))))))+(IF(AND((L21-C10)&lt;=0,(L21-C11)&lt;=0),0,IF(AND((L21-C10)&gt;=0,(L21-C11)&gt;=0),0.5*((L21-C10)+(L21-C11))*ABS(B11-B10),IF((L21-C10)&gt;0,0.5*(L21-C10)*ABS((B10+((L21-C10)/((L21-C10)-(L21-C11)))*(B11-B10))-B10),0.5*(L21-C11)*ABS(B11-(B10+((L21-C10)/((L21-C10)-(L21-C11)))*(B11-B10)))))))+(IF(AND((L21-C11)&lt;=0,(L21-C12)&lt;=0),0,IF(AND((L21-C11)&gt;=0,(L21-C12)&gt;=0),0.5*((L21-C11)+(L21-C12))*ABS(B12-B11),IF((L21-C11)&gt;0,0.5*(L21-C11)*ABS((B11+((L21-C11)/((L21-C11)-(L21-C12)))*(B12-B11))-B11),0.5*(L21-C12)*ABS(B12-(B11+((L21-C11)/((L21-C11)-(L21-C12)))*(B12-B11)))))))+(IF(AND((L21-C12)&lt;=0,(L21-C13)&lt;=0),0,IF(AND((L21-C12)&gt;=0,(L21-C13)&gt;=0),0.5*((L21-C12)+(L21-C13))*ABS(B13-B12),IF((L21-C12)&gt;0,0.5*(L21-C12)*ABS((B12+((L21-C12)/((L21-C12)-(L21-C13)))*(B13-B12))-B12),0.5*(L21-C13)*ABS(B13-(B12+((L21-C12)/((L21-C12)-(L21-C13)))*(B13-B12)))))))+(IF(AND((L21-C13)&lt;=0,(L21-C14)&lt;=0),0,IF(AND((L21-C13)&gt;=0,(L21-C14)&gt;=0),0.5*((L21-C13)+(L21-C14))*ABS(B14-B13),IF((L21-C13)&gt;0,0.5*(L21-C13)*ABS((B13+((L21-C13)/((L21-C13)-(L21-C14)))*(B14-B13))-B13),0.5*(L21-C14)*ABS(B14-(B13+((L21-C13)/((L21-C13)-(L21-C14)))*(B14-B13)))))))+(IF(AND((L21-C14)&lt;=0,(L21-C15)&lt;=0),0,IF(AND((L21-C14)&gt;=0,(L21-C15)&gt;=0),0.5*((L21-C14)+(L21-C15))*ABS(B15-B14),IF((L21-C14)&gt;0,0.5*(L21-C14)*ABS((B14+((L21-C14)/((L21-C14)-(L21-C15)))*(B15-B14))-B14),0.5*(L21-C15)*ABS(B15-(B14+((L21-C14)/((L21-C14)-(L21-C15)))*(B15-B14)))))))+(IF(AND((L21-C15)&lt;=0,(L21-C16)&lt;=0),0,IF(AND((L21-C15)&gt;=0,(L21-C16)&gt;=0),0.5*((L21-C15)+(L21-C16))*ABS(B16-B15),IF((L21-C15)&gt;0,0.5*(L21-C15)*ABS((B15+((L21-C15)/((L21-C15)-(L21-C16)))*(B16-B15))-B15),0.5*(L21-C16)*ABS(B16-(B15+((L21-C15)/((L21-C15)-(L21-C16)))*(B16-B15)))))))+(IF(AND((L21-C16)&lt;=0,(L21-C17)&lt;=0),0,IF(AND((L21-C16)&gt;=0,(L21-C17)&gt;=0),0.5*((L21-C16)+(L21-C17))*ABS(B17-B16),IF((L21-C16)&gt;0,0.5*(L21-C16)*ABS((B16+((L21-C16)/((L21-C16)-(L21-C17)))*(B17-B16))-B16),0.5*(L21-C17)*ABS(B17-(B16+((L21-C16)/((L21-C16)-(L21-C17)))*(B17-B16)))))))</f>
        <v/>
      </c>
      <c r="N21">
        <f>(IF(AND((L21-C9)&lt;=0,(L21-C10)&lt;=0),0,IF(AND((L21-C9)&gt;=0,(L21-C10)&gt;=0),SQRT((B10-B9)^2+(C10-C9)^2),IF((L21-C9)&gt;0,SQRT(((B9+((L21-C9)/((L21-C9)-(L21-C10)))*(B10-B9))-B9)^2+(L21-C9)^2),SQRT((B10-(B9+((L21-C9)/((L21-C9)-(L21-C10)))*(B10-B9)))^2+(L21-C10)^2)))))+(IF(AND((L21-C10)&lt;=0,(L21-C11)&lt;=0),0,IF(AND((L21-C10)&gt;=0,(L21-C11)&gt;=0),SQRT((B11-B10)^2+(C11-C10)^2),IF((L21-C10)&gt;0,SQRT(((B10+((L21-C10)/((L21-C10)-(L21-C11)))*(B11-B10))-B10)^2+(L21-C10)^2),SQRT((B11-(B10+((L21-C10)/((L21-C10)-(L21-C11)))*(B11-B10)))^2+(L21-C11)^2)))))+(IF(AND((L21-C11)&lt;=0,(L21-C12)&lt;=0),0,IF(AND((L21-C11)&gt;=0,(L21-C12)&gt;=0),SQRT((B12-B11)^2+(C12-C11)^2),IF((L21-C11)&gt;0,SQRT(((B11+((L21-C11)/((L21-C11)-(L21-C12)))*(B12-B11))-B11)^2+(L21-C11)^2),SQRT((B12-(B11+((L21-C11)/((L21-C11)-(L21-C12)))*(B12-B11)))^2+(L21-C12)^2)))))+(IF(AND((L21-C12)&lt;=0,(L21-C13)&lt;=0),0,IF(AND((L21-C12)&gt;=0,(L21-C13)&gt;=0),SQRT((B13-B12)^2+(C13-C12)^2),IF((L21-C12)&gt;0,SQRT(((B12+((L21-C12)/((L21-C12)-(L21-C13)))*(B13-B12))-B12)^2+(L21-C12)^2),SQRT((B13-(B12+((L21-C12)/((L21-C12)-(L21-C13)))*(B13-B12)))^2+(L21-C13)^2)))))+(IF(AND((L21-C13)&lt;=0,(L21-C14)&lt;=0),0,IF(AND((L21-C13)&gt;=0,(L21-C14)&gt;=0),SQRT((B14-B13)^2+(C14-C13)^2),IF((L21-C13)&gt;0,SQRT(((B13+((L21-C13)/((L21-C13)-(L21-C14)))*(B14-B13))-B13)^2+(L21-C13)^2),SQRT((B14-(B13+((L21-C13)/((L21-C13)-(L21-C14)))*(B14-B13)))^2+(L21-C14)^2)))))+(IF(AND((L21-C14)&lt;=0,(L21-C15)&lt;=0),0,IF(AND((L21-C14)&gt;=0,(L21-C15)&gt;=0),SQRT((B15-B14)^2+(C15-C14)^2),IF((L21-C14)&gt;0,SQRT(((B14+((L21-C14)/((L21-C14)-(L21-C15)))*(B15-B14))-B14)^2+(L21-C14)^2),SQRT((B15-(B14+((L21-C14)/((L21-C14)-(L21-C15)))*(B15-B14)))^2+(L21-C15)^2)))))+(IF(AND((L21-C15)&lt;=0,(L21-C16)&lt;=0),0,IF(AND((L21-C15)&gt;=0,(L21-C16)&gt;=0),SQRT((B16-B15)^2+(C16-C15)^2),IF((L21-C15)&gt;0,SQRT(((B15+((L21-C15)/((L21-C15)-(L21-C16)))*(B16-B15))-B15)^2+(L21-C15)^2),SQRT((B16-(B15+((L21-C15)/((L21-C15)-(L21-C16)))*(B16-B15)))^2+(L21-C16)^2)))))+(IF(AND((L21-C16)&lt;=0,(L21-C17)&lt;=0),0,IF(AND((L21-C16)&gt;=0,(L21-C17)&gt;=0),SQRT((B17-B16)^2+(C17-C16)^2),IF((L21-C16)&gt;0,SQRT(((B16+((L21-C16)/((L21-C16)-(L21-C17)))*(B17-B16))-B16)^2+(L21-C16)^2),SQRT((B17-(B16+((L21-C16)/((L21-C16)-(L21-C17)))*(B17-B16)))^2+(L21-C17)^2)))))</f>
        <v/>
      </c>
      <c r="O21">
        <f>IF(OR($B$6&lt;=0,M21&lt;=0,N21&lt;=0,$B$4&lt;=0),0,(1/$B$6)*M21*((M21/N21)^(2/3))*SQRT($B$4))</f>
        <v/>
      </c>
    </row>
    <row r="22">
      <c r="A22" t="inlineStr">
        <is>
          <t>y = WSE − fond (m)</t>
        </is>
      </c>
      <c r="B22">
        <f>IF(ISNUMBER(B2),B2-B21,"")</f>
        <v/>
      </c>
      <c r="I22" t="n">
        <v>14</v>
      </c>
      <c r="J22">
        <f>IF(O21&lt;$B$5,L21,J21)</f>
        <v/>
      </c>
      <c r="K22">
        <f>IF(O21&lt;$B$5,K21,L21)</f>
        <v/>
      </c>
      <c r="L22">
        <f>(J22+K22)/2</f>
        <v/>
      </c>
      <c r="M22">
        <f>(IF(AND((L22-C9)&lt;=0,(L22-C10)&lt;=0),0,IF(AND((L22-C9)&gt;=0,(L22-C10)&gt;=0),0.5*((L22-C9)+(L22-C10))*ABS(B10-B9),IF((L22-C9)&gt;0,0.5*(L22-C9)*ABS((B9+((L22-C9)/((L22-C9)-(L22-C10)))*(B10-B9))-B9),0.5*(L22-C10)*ABS(B10-(B9+((L22-C9)/((L22-C9)-(L22-C10)))*(B10-B9)))))))+(IF(AND((L22-C10)&lt;=0,(L22-C11)&lt;=0),0,IF(AND((L22-C10)&gt;=0,(L22-C11)&gt;=0),0.5*((L22-C10)+(L22-C11))*ABS(B11-B10),IF((L22-C10)&gt;0,0.5*(L22-C10)*ABS((B10+((L22-C10)/((L22-C10)-(L22-C11)))*(B11-B10))-B10),0.5*(L22-C11)*ABS(B11-(B10+((L22-C10)/((L22-C10)-(L22-C11)))*(B11-B10)))))))+(IF(AND((L22-C11)&lt;=0,(L22-C12)&lt;=0),0,IF(AND((L22-C11)&gt;=0,(L22-C12)&gt;=0),0.5*((L22-C11)+(L22-C12))*ABS(B12-B11),IF((L22-C11)&gt;0,0.5*(L22-C11)*ABS((B11+((L22-C11)/((L22-C11)-(L22-C12)))*(B12-B11))-B11),0.5*(L22-C12)*ABS(B12-(B11+((L22-C11)/((L22-C11)-(L22-C12)))*(B12-B11)))))))+(IF(AND((L22-C12)&lt;=0,(L22-C13)&lt;=0),0,IF(AND((L22-C12)&gt;=0,(L22-C13)&gt;=0),0.5*((L22-C12)+(L22-C13))*ABS(B13-B12),IF((L22-C12)&gt;0,0.5*(L22-C12)*ABS((B12+((L22-C12)/((L22-C12)-(L22-C13)))*(B13-B12))-B12),0.5*(L22-C13)*ABS(B13-(B12+((L22-C12)/((L22-C12)-(L22-C13)))*(B13-B12)))))))+(IF(AND((L22-C13)&lt;=0,(L22-C14)&lt;=0),0,IF(AND((L22-C13)&gt;=0,(L22-C14)&gt;=0),0.5*((L22-C13)+(L22-C14))*ABS(B14-B13),IF((L22-C13)&gt;0,0.5*(L22-C13)*ABS((B13+((L22-C13)/((L22-C13)-(L22-C14)))*(B14-B13))-B13),0.5*(L22-C14)*ABS(B14-(B13+((L22-C13)/((L22-C13)-(L22-C14)))*(B14-B13)))))))+(IF(AND((L22-C14)&lt;=0,(L22-C15)&lt;=0),0,IF(AND((L22-C14)&gt;=0,(L22-C15)&gt;=0),0.5*((L22-C14)+(L22-C15))*ABS(B15-B14),IF((L22-C14)&gt;0,0.5*(L22-C14)*ABS((B14+((L22-C14)/((L22-C14)-(L22-C15)))*(B15-B14))-B14),0.5*(L22-C15)*ABS(B15-(B14+((L22-C14)/((L22-C14)-(L22-C15)))*(B15-B14)))))))+(IF(AND((L22-C15)&lt;=0,(L22-C16)&lt;=0),0,IF(AND((L22-C15)&gt;=0,(L22-C16)&gt;=0),0.5*((L22-C15)+(L22-C16))*ABS(B16-B15),IF((L22-C15)&gt;0,0.5*(L22-C15)*ABS((B15+((L22-C15)/((L22-C15)-(L22-C16)))*(B16-B15))-B15),0.5*(L22-C16)*ABS(B16-(B15+((L22-C15)/((L22-C15)-(L22-C16)))*(B16-B15)))))))+(IF(AND((L22-C16)&lt;=0,(L22-C17)&lt;=0),0,IF(AND((L22-C16)&gt;=0,(L22-C17)&gt;=0),0.5*((L22-C16)+(L22-C17))*ABS(B17-B16),IF((L22-C16)&gt;0,0.5*(L22-C16)*ABS((B16+((L22-C16)/((L22-C16)-(L22-C17)))*(B17-B16))-B16),0.5*(L22-C17)*ABS(B17-(B16+((L22-C16)/((L22-C16)-(L22-C17)))*(B17-B16)))))))</f>
        <v/>
      </c>
      <c r="N22">
        <f>(IF(AND((L22-C9)&lt;=0,(L22-C10)&lt;=0),0,IF(AND((L22-C9)&gt;=0,(L22-C10)&gt;=0),SQRT((B10-B9)^2+(C10-C9)^2),IF((L22-C9)&gt;0,SQRT(((B9+((L22-C9)/((L22-C9)-(L22-C10)))*(B10-B9))-B9)^2+(L22-C9)^2),SQRT((B10-(B9+((L22-C9)/((L22-C9)-(L22-C10)))*(B10-B9)))^2+(L22-C10)^2)))))+(IF(AND((L22-C10)&lt;=0,(L22-C11)&lt;=0),0,IF(AND((L22-C10)&gt;=0,(L22-C11)&gt;=0),SQRT((B11-B10)^2+(C11-C10)^2),IF((L22-C10)&gt;0,SQRT(((B10+((L22-C10)/((L22-C10)-(L22-C11)))*(B11-B10))-B10)^2+(L22-C10)^2),SQRT((B11-(B10+((L22-C10)/((L22-C10)-(L22-C11)))*(B11-B10)))^2+(L22-C11)^2)))))+(IF(AND((L22-C11)&lt;=0,(L22-C12)&lt;=0),0,IF(AND((L22-C11)&gt;=0,(L22-C12)&gt;=0),SQRT((B12-B11)^2+(C12-C11)^2),IF((L22-C11)&gt;0,SQRT(((B11+((L22-C11)/((L22-C11)-(L22-C12)))*(B12-B11))-B11)^2+(L22-C11)^2),SQRT((B12-(B11+((L22-C11)/((L22-C11)-(L22-C12)))*(B12-B11)))^2+(L22-C12)^2)))))+(IF(AND((L22-C12)&lt;=0,(L22-C13)&lt;=0),0,IF(AND((L22-C12)&gt;=0,(L22-C13)&gt;=0),SQRT((B13-B12)^2+(C13-C12)^2),IF((L22-C12)&gt;0,SQRT(((B12+((L22-C12)/((L22-C12)-(L22-C13)))*(B13-B12))-B12)^2+(L22-C12)^2),SQRT((B13-(B12+((L22-C12)/((L22-C12)-(L22-C13)))*(B13-B12)))^2+(L22-C13)^2)))))+(IF(AND((L22-C13)&lt;=0,(L22-C14)&lt;=0),0,IF(AND((L22-C13)&gt;=0,(L22-C14)&gt;=0),SQRT((B14-B13)^2+(C14-C13)^2),IF((L22-C13)&gt;0,SQRT(((B13+((L22-C13)/((L22-C13)-(L22-C14)))*(B14-B13))-B13)^2+(L22-C13)^2),SQRT((B14-(B13+((L22-C13)/((L22-C13)-(L22-C14)))*(B14-B13)))^2+(L22-C14)^2)))))+(IF(AND((L22-C14)&lt;=0,(L22-C15)&lt;=0),0,IF(AND((L22-C14)&gt;=0,(L22-C15)&gt;=0),SQRT((B15-B14)^2+(C15-C14)^2),IF((L22-C14)&gt;0,SQRT(((B14+((L22-C14)/((L22-C14)-(L22-C15)))*(B15-B14))-B14)^2+(L22-C14)^2),SQRT((B15-(B14+((L22-C14)/((L22-C14)-(L22-C15)))*(B15-B14)))^2+(L22-C15)^2)))))+(IF(AND((L22-C15)&lt;=0,(L22-C16)&lt;=0),0,IF(AND((L22-C15)&gt;=0,(L22-C16)&gt;=0),SQRT((B16-B15)^2+(C16-C15)^2),IF((L22-C15)&gt;0,SQRT(((B15+((L22-C15)/((L22-C15)-(L22-C16)))*(B16-B15))-B15)^2+(L22-C15)^2),SQRT((B16-(B15+((L22-C15)/((L22-C15)-(L22-C16)))*(B16-B15)))^2+(L22-C16)^2)))))+(IF(AND((L22-C16)&lt;=0,(L22-C17)&lt;=0),0,IF(AND((L22-C16)&gt;=0,(L22-C17)&gt;=0),SQRT((B17-B16)^2+(C17-C16)^2),IF((L22-C16)&gt;0,SQRT(((B16+((L22-C16)/((L22-C16)-(L22-C17)))*(B17-B16))-B16)^2+(L22-C16)^2),SQRT((B17-(B16+((L22-C16)/((L22-C16)-(L22-C17)))*(B17-B16)))^2+(L22-C17)^2)))))</f>
        <v/>
      </c>
      <c r="O22">
        <f>IF(OR($B$6&lt;=0,M22&lt;=0,N22&lt;=0,$B$4&lt;=0),0,(1/$B$6)*M22*((M22/N22)^(2/3))*SQRT($B$4))</f>
        <v/>
      </c>
    </row>
    <row r="23">
      <c r="A23" t="inlineStr">
        <is>
          <t>A (m²)</t>
        </is>
      </c>
      <c r="B23" s="9">
        <f>F19</f>
        <v/>
      </c>
      <c r="I23" t="n">
        <v>15</v>
      </c>
      <c r="J23">
        <f>IF(O22&lt;$B$5,L22,J22)</f>
        <v/>
      </c>
      <c r="K23">
        <f>IF(O22&lt;$B$5,K22,L22)</f>
        <v/>
      </c>
      <c r="L23">
        <f>(J23+K23)/2</f>
        <v/>
      </c>
      <c r="M23">
        <f>(IF(AND((L23-C9)&lt;=0,(L23-C10)&lt;=0),0,IF(AND((L23-C9)&gt;=0,(L23-C10)&gt;=0),0.5*((L23-C9)+(L23-C10))*ABS(B10-B9),IF((L23-C9)&gt;0,0.5*(L23-C9)*ABS((B9+((L23-C9)/((L23-C9)-(L23-C10)))*(B10-B9))-B9),0.5*(L23-C10)*ABS(B10-(B9+((L23-C9)/((L23-C9)-(L23-C10)))*(B10-B9)))))))+(IF(AND((L23-C10)&lt;=0,(L23-C11)&lt;=0),0,IF(AND((L23-C10)&gt;=0,(L23-C11)&gt;=0),0.5*((L23-C10)+(L23-C11))*ABS(B11-B10),IF((L23-C10)&gt;0,0.5*(L23-C10)*ABS((B10+((L23-C10)/((L23-C10)-(L23-C11)))*(B11-B10))-B10),0.5*(L23-C11)*ABS(B11-(B10+((L23-C10)/((L23-C10)-(L23-C11)))*(B11-B10)))))))+(IF(AND((L23-C11)&lt;=0,(L23-C12)&lt;=0),0,IF(AND((L23-C11)&gt;=0,(L23-C12)&gt;=0),0.5*((L23-C11)+(L23-C12))*ABS(B12-B11),IF((L23-C11)&gt;0,0.5*(L23-C11)*ABS((B11+((L23-C11)/((L23-C11)-(L23-C12)))*(B12-B11))-B11),0.5*(L23-C12)*ABS(B12-(B11+((L23-C11)/((L23-C11)-(L23-C12)))*(B12-B11)))))))+(IF(AND((L23-C12)&lt;=0,(L23-C13)&lt;=0),0,IF(AND((L23-C12)&gt;=0,(L23-C13)&gt;=0),0.5*((L23-C12)+(L23-C13))*ABS(B13-B12),IF((L23-C12)&gt;0,0.5*(L23-C12)*ABS((B12+((L23-C12)/((L23-C12)-(L23-C13)))*(B13-B12))-B12),0.5*(L23-C13)*ABS(B13-(B12+((L23-C12)/((L23-C12)-(L23-C13)))*(B13-B12)))))))+(IF(AND((L23-C13)&lt;=0,(L23-C14)&lt;=0),0,IF(AND((L23-C13)&gt;=0,(L23-C14)&gt;=0),0.5*((L23-C13)+(L23-C14))*ABS(B14-B13),IF((L23-C13)&gt;0,0.5*(L23-C13)*ABS((B13+((L23-C13)/((L23-C13)-(L23-C14)))*(B14-B13))-B13),0.5*(L23-C14)*ABS(B14-(B13+((L23-C13)/((L23-C13)-(L23-C14)))*(B14-B13)))))))+(IF(AND((L23-C14)&lt;=0,(L23-C15)&lt;=0),0,IF(AND((L23-C14)&gt;=0,(L23-C15)&gt;=0),0.5*((L23-C14)+(L23-C15))*ABS(B15-B14),IF((L23-C14)&gt;0,0.5*(L23-C14)*ABS((B14+((L23-C14)/((L23-C14)-(L23-C15)))*(B15-B14))-B14),0.5*(L23-C15)*ABS(B15-(B14+((L23-C14)/((L23-C14)-(L23-C15)))*(B15-B14)))))))+(IF(AND((L23-C15)&lt;=0,(L23-C16)&lt;=0),0,IF(AND((L23-C15)&gt;=0,(L23-C16)&gt;=0),0.5*((L23-C15)+(L23-C16))*ABS(B16-B15),IF((L23-C15)&gt;0,0.5*(L23-C15)*ABS((B15+((L23-C15)/((L23-C15)-(L23-C16)))*(B16-B15))-B15),0.5*(L23-C16)*ABS(B16-(B15+((L23-C15)/((L23-C15)-(L23-C16)))*(B16-B15)))))))+(IF(AND((L23-C16)&lt;=0,(L23-C17)&lt;=0),0,IF(AND((L23-C16)&gt;=0,(L23-C17)&gt;=0),0.5*((L23-C16)+(L23-C17))*ABS(B17-B16),IF((L23-C16)&gt;0,0.5*(L23-C16)*ABS((B16+((L23-C16)/((L23-C16)-(L23-C17)))*(B17-B16))-B16),0.5*(L23-C17)*ABS(B17-(B16+((L23-C16)/((L23-C16)-(L23-C17)))*(B17-B16)))))))</f>
        <v/>
      </c>
      <c r="N23">
        <f>(IF(AND((L23-C9)&lt;=0,(L23-C10)&lt;=0),0,IF(AND((L23-C9)&gt;=0,(L23-C10)&gt;=0),SQRT((B10-B9)^2+(C10-C9)^2),IF((L23-C9)&gt;0,SQRT(((B9+((L23-C9)/((L23-C9)-(L23-C10)))*(B10-B9))-B9)^2+(L23-C9)^2),SQRT((B10-(B9+((L23-C9)/((L23-C9)-(L23-C10)))*(B10-B9)))^2+(L23-C10)^2)))))+(IF(AND((L23-C10)&lt;=0,(L23-C11)&lt;=0),0,IF(AND((L23-C10)&gt;=0,(L23-C11)&gt;=0),SQRT((B11-B10)^2+(C11-C10)^2),IF((L23-C10)&gt;0,SQRT(((B10+((L23-C10)/((L23-C10)-(L23-C11)))*(B11-B10))-B10)^2+(L23-C10)^2),SQRT((B11-(B10+((L23-C10)/((L23-C10)-(L23-C11)))*(B11-B10)))^2+(L23-C11)^2)))))+(IF(AND((L23-C11)&lt;=0,(L23-C12)&lt;=0),0,IF(AND((L23-C11)&gt;=0,(L23-C12)&gt;=0),SQRT((B12-B11)^2+(C12-C11)^2),IF((L23-C11)&gt;0,SQRT(((B11+((L23-C11)/((L23-C11)-(L23-C12)))*(B12-B11))-B11)^2+(L23-C11)^2),SQRT((B12-(B11+((L23-C11)/((L23-C11)-(L23-C12)))*(B12-B11)))^2+(L23-C12)^2)))))+(IF(AND((L23-C12)&lt;=0,(L23-C13)&lt;=0),0,IF(AND((L23-C12)&gt;=0,(L23-C13)&gt;=0),SQRT((B13-B12)^2+(C13-C12)^2),IF((L23-C12)&gt;0,SQRT(((B12+((L23-C12)/((L23-C12)-(L23-C13)))*(B13-B12))-B12)^2+(L23-C12)^2),SQRT((B13-(B12+((L23-C12)/((L23-C12)-(L23-C13)))*(B13-B12)))^2+(L23-C13)^2)))))+(IF(AND((L23-C13)&lt;=0,(L23-C14)&lt;=0),0,IF(AND((L23-C13)&gt;=0,(L23-C14)&gt;=0),SQRT((B14-B13)^2+(C14-C13)^2),IF((L23-C13)&gt;0,SQRT(((B13+((L23-C13)/((L23-C13)-(L23-C14)))*(B14-B13))-B13)^2+(L23-C13)^2),SQRT((B14-(B13+((L23-C13)/((L23-C13)-(L23-C14)))*(B14-B13)))^2+(L23-C14)^2)))))+(IF(AND((L23-C14)&lt;=0,(L23-C15)&lt;=0),0,IF(AND((L23-C14)&gt;=0,(L23-C15)&gt;=0),SQRT((B15-B14)^2+(C15-C14)^2),IF((L23-C14)&gt;0,SQRT(((B14+((L23-C14)/((L23-C14)-(L23-C15)))*(B15-B14))-B14)^2+(L23-C14)^2),SQRT((B15-(B14+((L23-C14)/((L23-C14)-(L23-C15)))*(B15-B14)))^2+(L23-C15)^2)))))+(IF(AND((L23-C15)&lt;=0,(L23-C16)&lt;=0),0,IF(AND((L23-C15)&gt;=0,(L23-C16)&gt;=0),SQRT((B16-B15)^2+(C16-C15)^2),IF((L23-C15)&gt;0,SQRT(((B15+((L23-C15)/((L23-C15)-(L23-C16)))*(B16-B15))-B15)^2+(L23-C15)^2),SQRT((B16-(B15+((L23-C15)/((L23-C15)-(L23-C16)))*(B16-B15)))^2+(L23-C16)^2)))))+(IF(AND((L23-C16)&lt;=0,(L23-C17)&lt;=0),0,IF(AND((L23-C16)&gt;=0,(L23-C17)&gt;=0),SQRT((B17-B16)^2+(C17-C16)^2),IF((L23-C16)&gt;0,SQRT(((B16+((L23-C16)/((L23-C16)-(L23-C17)))*(B17-B16))-B16)^2+(L23-C16)^2),SQRT((B17-(B16+((L23-C16)/((L23-C16)-(L23-C17)))*(B17-B16)))^2+(L23-C17)^2)))))</f>
        <v/>
      </c>
      <c r="O23">
        <f>IF(OR($B$6&lt;=0,M23&lt;=0,N23&lt;=0,$B$4&lt;=0),0,(1/$B$6)*M23*((M23/N23)^(2/3))*SQRT($B$4))</f>
        <v/>
      </c>
    </row>
    <row r="24">
      <c r="A24" t="inlineStr">
        <is>
          <t>P (m)</t>
        </is>
      </c>
      <c r="B24" s="9">
        <f>G19</f>
        <v/>
      </c>
      <c r="I24" t="n">
        <v>16</v>
      </c>
      <c r="J24">
        <f>IF(O23&lt;$B$5,L23,J23)</f>
        <v/>
      </c>
      <c r="K24">
        <f>IF(O23&lt;$B$5,K23,L23)</f>
        <v/>
      </c>
      <c r="L24">
        <f>(J24+K24)/2</f>
        <v/>
      </c>
      <c r="M24">
        <f>(IF(AND((L24-C9)&lt;=0,(L24-C10)&lt;=0),0,IF(AND((L24-C9)&gt;=0,(L24-C10)&gt;=0),0.5*((L24-C9)+(L24-C10))*ABS(B10-B9),IF((L24-C9)&gt;0,0.5*(L24-C9)*ABS((B9+((L24-C9)/((L24-C9)-(L24-C10)))*(B10-B9))-B9),0.5*(L24-C10)*ABS(B10-(B9+((L24-C9)/((L24-C9)-(L24-C10)))*(B10-B9)))))))+(IF(AND((L24-C10)&lt;=0,(L24-C11)&lt;=0),0,IF(AND((L24-C10)&gt;=0,(L24-C11)&gt;=0),0.5*((L24-C10)+(L24-C11))*ABS(B11-B10),IF((L24-C10)&gt;0,0.5*(L24-C10)*ABS((B10+((L24-C10)/((L24-C10)-(L24-C11)))*(B11-B10))-B10),0.5*(L24-C11)*ABS(B11-(B10+((L24-C10)/((L24-C10)-(L24-C11)))*(B11-B10)))))))+(IF(AND((L24-C11)&lt;=0,(L24-C12)&lt;=0),0,IF(AND((L24-C11)&gt;=0,(L24-C12)&gt;=0),0.5*((L24-C11)+(L24-C12))*ABS(B12-B11),IF((L24-C11)&gt;0,0.5*(L24-C11)*ABS((B11+((L24-C11)/((L24-C11)-(L24-C12)))*(B12-B11))-B11),0.5*(L24-C12)*ABS(B12-(B11+((L24-C11)/((L24-C11)-(L24-C12)))*(B12-B11)))))))+(IF(AND((L24-C12)&lt;=0,(L24-C13)&lt;=0),0,IF(AND((L24-C12)&gt;=0,(L24-C13)&gt;=0),0.5*((L24-C12)+(L24-C13))*ABS(B13-B12),IF((L24-C12)&gt;0,0.5*(L24-C12)*ABS((B12+((L24-C12)/((L24-C12)-(L24-C13)))*(B13-B12))-B12),0.5*(L24-C13)*ABS(B13-(B12+((L24-C12)/((L24-C12)-(L24-C13)))*(B13-B12)))))))+(IF(AND((L24-C13)&lt;=0,(L24-C14)&lt;=0),0,IF(AND((L24-C13)&gt;=0,(L24-C14)&gt;=0),0.5*((L24-C13)+(L24-C14))*ABS(B14-B13),IF((L24-C13)&gt;0,0.5*(L24-C13)*ABS((B13+((L24-C13)/((L24-C13)-(L24-C14)))*(B14-B13))-B13),0.5*(L24-C14)*ABS(B14-(B13+((L24-C13)/((L24-C13)-(L24-C14)))*(B14-B13)))))))+(IF(AND((L24-C14)&lt;=0,(L24-C15)&lt;=0),0,IF(AND((L24-C14)&gt;=0,(L24-C15)&gt;=0),0.5*((L24-C14)+(L24-C15))*ABS(B15-B14),IF((L24-C14)&gt;0,0.5*(L24-C14)*ABS((B14+((L24-C14)/((L24-C14)-(L24-C15)))*(B15-B14))-B14),0.5*(L24-C15)*ABS(B15-(B14+((L24-C14)/((L24-C14)-(L24-C15)))*(B15-B14)))))))+(IF(AND((L24-C15)&lt;=0,(L24-C16)&lt;=0),0,IF(AND((L24-C15)&gt;=0,(L24-C16)&gt;=0),0.5*((L24-C15)+(L24-C16))*ABS(B16-B15),IF((L24-C15)&gt;0,0.5*(L24-C15)*ABS((B15+((L24-C15)/((L24-C15)-(L24-C16)))*(B16-B15))-B15),0.5*(L24-C16)*ABS(B16-(B15+((L24-C15)/((L24-C15)-(L24-C16)))*(B16-B15)))))))+(IF(AND((L24-C16)&lt;=0,(L24-C17)&lt;=0),0,IF(AND((L24-C16)&gt;=0,(L24-C17)&gt;=0),0.5*((L24-C16)+(L24-C17))*ABS(B17-B16),IF((L24-C16)&gt;0,0.5*(L24-C16)*ABS((B16+((L24-C16)/((L24-C16)-(L24-C17)))*(B17-B16))-B16),0.5*(L24-C17)*ABS(B17-(B16+((L24-C16)/((L24-C16)-(L24-C17)))*(B17-B16)))))))</f>
        <v/>
      </c>
      <c r="N24">
        <f>(IF(AND((L24-C9)&lt;=0,(L24-C10)&lt;=0),0,IF(AND((L24-C9)&gt;=0,(L24-C10)&gt;=0),SQRT((B10-B9)^2+(C10-C9)^2),IF((L24-C9)&gt;0,SQRT(((B9+((L24-C9)/((L24-C9)-(L24-C10)))*(B10-B9))-B9)^2+(L24-C9)^2),SQRT((B10-(B9+((L24-C9)/((L24-C9)-(L24-C10)))*(B10-B9)))^2+(L24-C10)^2)))))+(IF(AND((L24-C10)&lt;=0,(L24-C11)&lt;=0),0,IF(AND((L24-C10)&gt;=0,(L24-C11)&gt;=0),SQRT((B11-B10)^2+(C11-C10)^2),IF((L24-C10)&gt;0,SQRT(((B10+((L24-C10)/((L24-C10)-(L24-C11)))*(B11-B10))-B10)^2+(L24-C10)^2),SQRT((B11-(B10+((L24-C10)/((L24-C10)-(L24-C11)))*(B11-B10)))^2+(L24-C11)^2)))))+(IF(AND((L24-C11)&lt;=0,(L24-C12)&lt;=0),0,IF(AND((L24-C11)&gt;=0,(L24-C12)&gt;=0),SQRT((B12-B11)^2+(C12-C11)^2),IF((L24-C11)&gt;0,SQRT(((B11+((L24-C11)/((L24-C11)-(L24-C12)))*(B12-B11))-B11)^2+(L24-C11)^2),SQRT((B12-(B11+((L24-C11)/((L24-C11)-(L24-C12)))*(B12-B11)))^2+(L24-C12)^2)))))+(IF(AND((L24-C12)&lt;=0,(L24-C13)&lt;=0),0,IF(AND((L24-C12)&gt;=0,(L24-C13)&gt;=0),SQRT((B13-B12)^2+(C13-C12)^2),IF((L24-C12)&gt;0,SQRT(((B12+((L24-C12)/((L24-C12)-(L24-C13)))*(B13-B12))-B12)^2+(L24-C12)^2),SQRT((B13-(B12+((L24-C12)/((L24-C12)-(L24-C13)))*(B13-B12)))^2+(L24-C13)^2)))))+(IF(AND((L24-C13)&lt;=0,(L24-C14)&lt;=0),0,IF(AND((L24-C13)&gt;=0,(L24-C14)&gt;=0),SQRT((B14-B13)^2+(C14-C13)^2),IF((L24-C13)&gt;0,SQRT(((B13+((L24-C13)/((L24-C13)-(L24-C14)))*(B14-B13))-B13)^2+(L24-C13)^2),SQRT((B14-(B13+((L24-C13)/((L24-C13)-(L24-C14)))*(B14-B13)))^2+(L24-C14)^2)))))+(IF(AND((L24-C14)&lt;=0,(L24-C15)&lt;=0),0,IF(AND((L24-C14)&gt;=0,(L24-C15)&gt;=0),SQRT((B15-B14)^2+(C15-C14)^2),IF((L24-C14)&gt;0,SQRT(((B14+((L24-C14)/((L24-C14)-(L24-C15)))*(B15-B14))-B14)^2+(L24-C14)^2),SQRT((B15-(B14+((L24-C14)/((L24-C14)-(L24-C15)))*(B15-B14)))^2+(L24-C15)^2)))))+(IF(AND((L24-C15)&lt;=0,(L24-C16)&lt;=0),0,IF(AND((L24-C15)&gt;=0,(L24-C16)&gt;=0),SQRT((B16-B15)^2+(C16-C15)^2),IF((L24-C15)&gt;0,SQRT(((B15+((L24-C15)/((L24-C15)-(L24-C16)))*(B16-B15))-B15)^2+(L24-C15)^2),SQRT((B16-(B15+((L24-C15)/((L24-C15)-(L24-C16)))*(B16-B15)))^2+(L24-C16)^2)))))+(IF(AND((L24-C16)&lt;=0,(L24-C17)&lt;=0),0,IF(AND((L24-C16)&gt;=0,(L24-C17)&gt;=0),SQRT((B17-B16)^2+(C17-C16)^2),IF((L24-C16)&gt;0,SQRT(((B16+((L24-C16)/((L24-C16)-(L24-C17)))*(B17-B16))-B16)^2+(L24-C16)^2),SQRT((B17-(B16+((L24-C16)/((L24-C16)-(L24-C17)))*(B17-B16)))^2+(L24-C17)^2)))))</f>
        <v/>
      </c>
      <c r="O24">
        <f>IF(OR($B$6&lt;=0,M24&lt;=0,N24&lt;=0,$B$4&lt;=0),0,(1/$B$6)*M24*((M24/N24)^(2/3))*SQRT($B$4))</f>
        <v/>
      </c>
    </row>
    <row r="25">
      <c r="A25" t="inlineStr">
        <is>
          <t>R = A/P (m)</t>
        </is>
      </c>
      <c r="B25">
        <f>IF(B24&gt;0,B23/B24,0)</f>
        <v/>
      </c>
      <c r="I25" t="n">
        <v>17</v>
      </c>
      <c r="J25">
        <f>IF(O24&lt;$B$5,L24,J24)</f>
        <v/>
      </c>
      <c r="K25">
        <f>IF(O24&lt;$B$5,K24,L24)</f>
        <v/>
      </c>
      <c r="L25">
        <f>(J25+K25)/2</f>
        <v/>
      </c>
      <c r="M25">
        <f>(IF(AND((L25-C9)&lt;=0,(L25-C10)&lt;=0),0,IF(AND((L25-C9)&gt;=0,(L25-C10)&gt;=0),0.5*((L25-C9)+(L25-C10))*ABS(B10-B9),IF((L25-C9)&gt;0,0.5*(L25-C9)*ABS((B9+((L25-C9)/((L25-C9)-(L25-C10)))*(B10-B9))-B9),0.5*(L25-C10)*ABS(B10-(B9+((L25-C9)/((L25-C9)-(L25-C10)))*(B10-B9)))))))+(IF(AND((L25-C10)&lt;=0,(L25-C11)&lt;=0),0,IF(AND((L25-C10)&gt;=0,(L25-C11)&gt;=0),0.5*((L25-C10)+(L25-C11))*ABS(B11-B10),IF((L25-C10)&gt;0,0.5*(L25-C10)*ABS((B10+((L25-C10)/((L25-C10)-(L25-C11)))*(B11-B10))-B10),0.5*(L25-C11)*ABS(B11-(B10+((L25-C10)/((L25-C10)-(L25-C11)))*(B11-B10)))))))+(IF(AND((L25-C11)&lt;=0,(L25-C12)&lt;=0),0,IF(AND((L25-C11)&gt;=0,(L25-C12)&gt;=0),0.5*((L25-C11)+(L25-C12))*ABS(B12-B11),IF((L25-C11)&gt;0,0.5*(L25-C11)*ABS((B11+((L25-C11)/((L25-C11)-(L25-C12)))*(B12-B11))-B11),0.5*(L25-C12)*ABS(B12-(B11+((L25-C11)/((L25-C11)-(L25-C12)))*(B12-B11)))))))+(IF(AND((L25-C12)&lt;=0,(L25-C13)&lt;=0),0,IF(AND((L25-C12)&gt;=0,(L25-C13)&gt;=0),0.5*((L25-C12)+(L25-C13))*ABS(B13-B12),IF((L25-C12)&gt;0,0.5*(L25-C12)*ABS((B12+((L25-C12)/((L25-C12)-(L25-C13)))*(B13-B12))-B12),0.5*(L25-C13)*ABS(B13-(B12+((L25-C12)/((L25-C12)-(L25-C13)))*(B13-B12)))))))+(IF(AND((L25-C13)&lt;=0,(L25-C14)&lt;=0),0,IF(AND((L25-C13)&gt;=0,(L25-C14)&gt;=0),0.5*((L25-C13)+(L25-C14))*ABS(B14-B13),IF((L25-C13)&gt;0,0.5*(L25-C13)*ABS((B13+((L25-C13)/((L25-C13)-(L25-C14)))*(B14-B13))-B13),0.5*(L25-C14)*ABS(B14-(B13+((L25-C13)/((L25-C13)-(L25-C14)))*(B14-B13)))))))+(IF(AND((L25-C14)&lt;=0,(L25-C15)&lt;=0),0,IF(AND((L25-C14)&gt;=0,(L25-C15)&gt;=0),0.5*((L25-C14)+(L25-C15))*ABS(B15-B14),IF((L25-C14)&gt;0,0.5*(L25-C14)*ABS((B14+((L25-C14)/((L25-C14)-(L25-C15)))*(B15-B14))-B14),0.5*(L25-C15)*ABS(B15-(B14+((L25-C14)/((L25-C14)-(L25-C15)))*(B15-B14)))))))+(IF(AND((L25-C15)&lt;=0,(L25-C16)&lt;=0),0,IF(AND((L25-C15)&gt;=0,(L25-C16)&gt;=0),0.5*((L25-C15)+(L25-C16))*ABS(B16-B15),IF((L25-C15)&gt;0,0.5*(L25-C15)*ABS((B15+((L25-C15)/((L25-C15)-(L25-C16)))*(B16-B15))-B15),0.5*(L25-C16)*ABS(B16-(B15+((L25-C15)/((L25-C15)-(L25-C16)))*(B16-B15)))))))+(IF(AND((L25-C16)&lt;=0,(L25-C17)&lt;=0),0,IF(AND((L25-C16)&gt;=0,(L25-C17)&gt;=0),0.5*((L25-C16)+(L25-C17))*ABS(B17-B16),IF((L25-C16)&gt;0,0.5*(L25-C16)*ABS((B16+((L25-C16)/((L25-C16)-(L25-C17)))*(B17-B16))-B16),0.5*(L25-C17)*ABS(B17-(B16+((L25-C16)/((L25-C16)-(L25-C17)))*(B17-B16)))))))</f>
        <v/>
      </c>
      <c r="N25">
        <f>(IF(AND((L25-C9)&lt;=0,(L25-C10)&lt;=0),0,IF(AND((L25-C9)&gt;=0,(L25-C10)&gt;=0),SQRT((B10-B9)^2+(C10-C9)^2),IF((L25-C9)&gt;0,SQRT(((B9+((L25-C9)/((L25-C9)-(L25-C10)))*(B10-B9))-B9)^2+(L25-C9)^2),SQRT((B10-(B9+((L25-C9)/((L25-C9)-(L25-C10)))*(B10-B9)))^2+(L25-C10)^2)))))+(IF(AND((L25-C10)&lt;=0,(L25-C11)&lt;=0),0,IF(AND((L25-C10)&gt;=0,(L25-C11)&gt;=0),SQRT((B11-B10)^2+(C11-C10)^2),IF((L25-C10)&gt;0,SQRT(((B10+((L25-C10)/((L25-C10)-(L25-C11)))*(B11-B10))-B10)^2+(L25-C10)^2),SQRT((B11-(B10+((L25-C10)/((L25-C10)-(L25-C11)))*(B11-B10)))^2+(L25-C11)^2)))))+(IF(AND((L25-C11)&lt;=0,(L25-C12)&lt;=0),0,IF(AND((L25-C11)&gt;=0,(L25-C12)&gt;=0),SQRT((B12-B11)^2+(C12-C11)^2),IF((L25-C11)&gt;0,SQRT(((B11+((L25-C11)/((L25-C11)-(L25-C12)))*(B12-B11))-B11)^2+(L25-C11)^2),SQRT((B12-(B11+((L25-C11)/((L25-C11)-(L25-C12)))*(B12-B11)))^2+(L25-C12)^2)))))+(IF(AND((L25-C12)&lt;=0,(L25-C13)&lt;=0),0,IF(AND((L25-C12)&gt;=0,(L25-C13)&gt;=0),SQRT((B13-B12)^2+(C13-C12)^2),IF((L25-C12)&gt;0,SQRT(((B12+((L25-C12)/((L25-C12)-(L25-C13)))*(B13-B12))-B12)^2+(L25-C12)^2),SQRT((B13-(B12+((L25-C12)/((L25-C12)-(L25-C13)))*(B13-B12)))^2+(L25-C13)^2)))))+(IF(AND((L25-C13)&lt;=0,(L25-C14)&lt;=0),0,IF(AND((L25-C13)&gt;=0,(L25-C14)&gt;=0),SQRT((B14-B13)^2+(C14-C13)^2),IF((L25-C13)&gt;0,SQRT(((B13+((L25-C13)/((L25-C13)-(L25-C14)))*(B14-B13))-B13)^2+(L25-C13)^2),SQRT((B14-(B13+((L25-C13)/((L25-C13)-(L25-C14)))*(B14-B13)))^2+(L25-C14)^2)))))+(IF(AND((L25-C14)&lt;=0,(L25-C15)&lt;=0),0,IF(AND((L25-C14)&gt;=0,(L25-C15)&gt;=0),SQRT((B15-B14)^2+(C15-C14)^2),IF((L25-C14)&gt;0,SQRT(((B14+((L25-C14)/((L25-C14)-(L25-C15)))*(B15-B14))-B14)^2+(L25-C14)^2),SQRT((B15-(B14+((L25-C14)/((L25-C14)-(L25-C15)))*(B15-B14)))^2+(L25-C15)^2)))))+(IF(AND((L25-C15)&lt;=0,(L25-C16)&lt;=0),0,IF(AND((L25-C15)&gt;=0,(L25-C16)&gt;=0),SQRT((B16-B15)^2+(C16-C15)^2),IF((L25-C15)&gt;0,SQRT(((B15+((L25-C15)/((L25-C15)-(L25-C16)))*(B16-B15))-B15)^2+(L25-C15)^2),SQRT((B16-(B15+((L25-C15)/((L25-C15)-(L25-C16)))*(B16-B15)))^2+(L25-C16)^2)))))+(IF(AND((L25-C16)&lt;=0,(L25-C17)&lt;=0),0,IF(AND((L25-C16)&gt;=0,(L25-C17)&gt;=0),SQRT((B17-B16)^2+(C17-C16)^2),IF((L25-C16)&gt;0,SQRT(((B16+((L25-C16)/((L25-C16)-(L25-C17)))*(B17-B16))-B16)^2+(L25-C16)^2),SQRT((B17-(B16+((L25-C16)/((L25-C16)-(L25-C17)))*(B17-B16)))^2+(L25-C17)^2)))))</f>
        <v/>
      </c>
      <c r="O25">
        <f>IF(OR($B$6&lt;=0,M25&lt;=0,N25&lt;=0,$B$4&lt;=0),0,(1/$B$6)*M25*((M25/N25)^(2/3))*SQRT($B$4))</f>
        <v/>
      </c>
    </row>
    <row r="26">
      <c r="A26" t="inlineStr">
        <is>
          <t>Q_manning à WSE (m³/s)</t>
        </is>
      </c>
      <c r="B26">
        <f>IF(OR(B6&lt;=0,B23&lt;=0,B4&lt;=0),0,(1/B6)*B23*(B25^(2/3))*SQRT(B4))</f>
        <v/>
      </c>
      <c r="I26" t="n">
        <v>18</v>
      </c>
      <c r="J26">
        <f>IF(O25&lt;$B$5,L25,J25)</f>
        <v/>
      </c>
      <c r="K26">
        <f>IF(O25&lt;$B$5,K25,L25)</f>
        <v/>
      </c>
      <c r="L26">
        <f>(J26+K26)/2</f>
        <v/>
      </c>
      <c r="M26">
        <f>(IF(AND((L26-C9)&lt;=0,(L26-C10)&lt;=0),0,IF(AND((L26-C9)&gt;=0,(L26-C10)&gt;=0),0.5*((L26-C9)+(L26-C10))*ABS(B10-B9),IF((L26-C9)&gt;0,0.5*(L26-C9)*ABS((B9+((L26-C9)/((L26-C9)-(L26-C10)))*(B10-B9))-B9),0.5*(L26-C10)*ABS(B10-(B9+((L26-C9)/((L26-C9)-(L26-C10)))*(B10-B9)))))))+(IF(AND((L26-C10)&lt;=0,(L26-C11)&lt;=0),0,IF(AND((L26-C10)&gt;=0,(L26-C11)&gt;=0),0.5*((L26-C10)+(L26-C11))*ABS(B11-B10),IF((L26-C10)&gt;0,0.5*(L26-C10)*ABS((B10+((L26-C10)/((L26-C10)-(L26-C11)))*(B11-B10))-B10),0.5*(L26-C11)*ABS(B11-(B10+((L26-C10)/((L26-C10)-(L26-C11)))*(B11-B10)))))))+(IF(AND((L26-C11)&lt;=0,(L26-C12)&lt;=0),0,IF(AND((L26-C11)&gt;=0,(L26-C12)&gt;=0),0.5*((L26-C11)+(L26-C12))*ABS(B12-B11),IF((L26-C11)&gt;0,0.5*(L26-C11)*ABS((B11+((L26-C11)/((L26-C11)-(L26-C12)))*(B12-B11))-B11),0.5*(L26-C12)*ABS(B12-(B11+((L26-C11)/((L26-C11)-(L26-C12)))*(B12-B11)))))))+(IF(AND((L26-C12)&lt;=0,(L26-C13)&lt;=0),0,IF(AND((L26-C12)&gt;=0,(L26-C13)&gt;=0),0.5*((L26-C12)+(L26-C13))*ABS(B13-B12),IF((L26-C12)&gt;0,0.5*(L26-C12)*ABS((B12+((L26-C12)/((L26-C12)-(L26-C13)))*(B13-B12))-B12),0.5*(L26-C13)*ABS(B13-(B12+((L26-C12)/((L26-C12)-(L26-C13)))*(B13-B12)))))))+(IF(AND((L26-C13)&lt;=0,(L26-C14)&lt;=0),0,IF(AND((L26-C13)&gt;=0,(L26-C14)&gt;=0),0.5*((L26-C13)+(L26-C14))*ABS(B14-B13),IF((L26-C13)&gt;0,0.5*(L26-C13)*ABS((B13+((L26-C13)/((L26-C13)-(L26-C14)))*(B14-B13))-B13),0.5*(L26-C14)*ABS(B14-(B13+((L26-C13)/((L26-C13)-(L26-C14)))*(B14-B13)))))))+(IF(AND((L26-C14)&lt;=0,(L26-C15)&lt;=0),0,IF(AND((L26-C14)&gt;=0,(L26-C15)&gt;=0),0.5*((L26-C14)+(L26-C15))*ABS(B15-B14),IF((L26-C14)&gt;0,0.5*(L26-C14)*ABS((B14+((L26-C14)/((L26-C14)-(L26-C15)))*(B15-B14))-B14),0.5*(L26-C15)*ABS(B15-(B14+((L26-C14)/((L26-C14)-(L26-C15)))*(B15-B14)))))))+(IF(AND((L26-C15)&lt;=0,(L26-C16)&lt;=0),0,IF(AND((L26-C15)&gt;=0,(L26-C16)&gt;=0),0.5*((L26-C15)+(L26-C16))*ABS(B16-B15),IF((L26-C15)&gt;0,0.5*(L26-C15)*ABS((B15+((L26-C15)/((L26-C15)-(L26-C16)))*(B16-B15))-B15),0.5*(L26-C16)*ABS(B16-(B15+((L26-C15)/((L26-C15)-(L26-C16)))*(B16-B15)))))))+(IF(AND((L26-C16)&lt;=0,(L26-C17)&lt;=0),0,IF(AND((L26-C16)&gt;=0,(L26-C17)&gt;=0),0.5*((L26-C16)+(L26-C17))*ABS(B17-B16),IF((L26-C16)&gt;0,0.5*(L26-C16)*ABS((B16+((L26-C16)/((L26-C16)-(L26-C17)))*(B17-B16))-B16),0.5*(L26-C17)*ABS(B17-(B16+((L26-C16)/((L26-C16)-(L26-C17)))*(B17-B16)))))))</f>
        <v/>
      </c>
      <c r="N26">
        <f>(IF(AND((L26-C9)&lt;=0,(L26-C10)&lt;=0),0,IF(AND((L26-C9)&gt;=0,(L26-C10)&gt;=0),SQRT((B10-B9)^2+(C10-C9)^2),IF((L26-C9)&gt;0,SQRT(((B9+((L26-C9)/((L26-C9)-(L26-C10)))*(B10-B9))-B9)^2+(L26-C9)^2),SQRT((B10-(B9+((L26-C9)/((L26-C9)-(L26-C10)))*(B10-B9)))^2+(L26-C10)^2)))))+(IF(AND((L26-C10)&lt;=0,(L26-C11)&lt;=0),0,IF(AND((L26-C10)&gt;=0,(L26-C11)&gt;=0),SQRT((B11-B10)^2+(C11-C10)^2),IF((L26-C10)&gt;0,SQRT(((B10+((L26-C10)/((L26-C10)-(L26-C11)))*(B11-B10))-B10)^2+(L26-C10)^2),SQRT((B11-(B10+((L26-C10)/((L26-C10)-(L26-C11)))*(B11-B10)))^2+(L26-C11)^2)))))+(IF(AND((L26-C11)&lt;=0,(L26-C12)&lt;=0),0,IF(AND((L26-C11)&gt;=0,(L26-C12)&gt;=0),SQRT((B12-B11)^2+(C12-C11)^2),IF((L26-C11)&gt;0,SQRT(((B11+((L26-C11)/((L26-C11)-(L26-C12)))*(B12-B11))-B11)^2+(L26-C11)^2),SQRT((B12-(B11+((L26-C11)/((L26-C11)-(L26-C12)))*(B12-B11)))^2+(L26-C12)^2)))))+(IF(AND((L26-C12)&lt;=0,(L26-C13)&lt;=0),0,IF(AND((L26-C12)&gt;=0,(L26-C13)&gt;=0),SQRT((B13-B12)^2+(C13-C12)^2),IF((L26-C12)&gt;0,SQRT(((B12+((L26-C12)/((L26-C12)-(L26-C13)))*(B13-B12))-B12)^2+(L26-C12)^2),SQRT((B13-(B12+((L26-C12)/((L26-C12)-(L26-C13)))*(B13-B12)))^2+(L26-C13)^2)))))+(IF(AND((L26-C13)&lt;=0,(L26-C14)&lt;=0),0,IF(AND((L26-C13)&gt;=0,(L26-C14)&gt;=0),SQRT((B14-B13)^2+(C14-C13)^2),IF((L26-C13)&gt;0,SQRT(((B13+((L26-C13)/((L26-C13)-(L26-C14)))*(B14-B13))-B13)^2+(L26-C13)^2),SQRT((B14-(B13+((L26-C13)/((L26-C13)-(L26-C14)))*(B14-B13)))^2+(L26-C14)^2)))))+(IF(AND((L26-C14)&lt;=0,(L26-C15)&lt;=0),0,IF(AND((L26-C14)&gt;=0,(L26-C15)&gt;=0),SQRT((B15-B14)^2+(C15-C14)^2),IF((L26-C14)&gt;0,SQRT(((B14+((L26-C14)/((L26-C14)-(L26-C15)))*(B15-B14))-B14)^2+(L26-C14)^2),SQRT((B15-(B14+((L26-C14)/((L26-C14)-(L26-C15)))*(B15-B14)))^2+(L26-C15)^2)))))+(IF(AND((L26-C15)&lt;=0,(L26-C16)&lt;=0),0,IF(AND((L26-C15)&gt;=0,(L26-C16)&gt;=0),SQRT((B16-B15)^2+(C16-C15)^2),IF((L26-C15)&gt;0,SQRT(((B15+((L26-C15)/((L26-C15)-(L26-C16)))*(B16-B15))-B15)^2+(L26-C15)^2),SQRT((B16-(B15+((L26-C15)/((L26-C15)-(L26-C16)))*(B16-B15)))^2+(L26-C16)^2)))))+(IF(AND((L26-C16)&lt;=0,(L26-C17)&lt;=0),0,IF(AND((L26-C16)&gt;=0,(L26-C17)&gt;=0),SQRT((B17-B16)^2+(C17-C16)^2),IF((L26-C16)&gt;0,SQRT(((B16+((L26-C16)/((L26-C16)-(L26-C17)))*(B17-B16))-B16)^2+(L26-C16)^2),SQRT((B17-(B16+((L26-C16)/((L26-C16)-(L26-C17)))*(B17-B16)))^2+(L26-C17)^2)))))</f>
        <v/>
      </c>
      <c r="O26">
        <f>IF(OR($B$6&lt;=0,M26&lt;=0,N26&lt;=0,$B$4&lt;=0),0,(1/$B$6)*M26*((M26/N26)^(2/3))*SQRT($B$4))</f>
        <v/>
      </c>
    </row>
    <row r="27">
      <c r="A27" t="inlineStr">
        <is>
          <t>V = Q/A (m/s)</t>
        </is>
      </c>
      <c r="B27" s="19">
        <f>IF(B23&gt;0,B5/B23,0)</f>
        <v/>
      </c>
      <c r="I27" t="n">
        <v>19</v>
      </c>
      <c r="J27">
        <f>IF(O26&lt;$B$5,L26,J26)</f>
        <v/>
      </c>
      <c r="K27">
        <f>IF(O26&lt;$B$5,K26,L26)</f>
        <v/>
      </c>
      <c r="L27">
        <f>(J27+K27)/2</f>
        <v/>
      </c>
      <c r="M27">
        <f>(IF(AND((L27-C9)&lt;=0,(L27-C10)&lt;=0),0,IF(AND((L27-C9)&gt;=0,(L27-C10)&gt;=0),0.5*((L27-C9)+(L27-C10))*ABS(B10-B9),IF((L27-C9)&gt;0,0.5*(L27-C9)*ABS((B9+((L27-C9)/((L27-C9)-(L27-C10)))*(B10-B9))-B9),0.5*(L27-C10)*ABS(B10-(B9+((L27-C9)/((L27-C9)-(L27-C10)))*(B10-B9)))))))+(IF(AND((L27-C10)&lt;=0,(L27-C11)&lt;=0),0,IF(AND((L27-C10)&gt;=0,(L27-C11)&gt;=0),0.5*((L27-C10)+(L27-C11))*ABS(B11-B10),IF((L27-C10)&gt;0,0.5*(L27-C10)*ABS((B10+((L27-C10)/((L27-C10)-(L27-C11)))*(B11-B10))-B10),0.5*(L27-C11)*ABS(B11-(B10+((L27-C10)/((L27-C10)-(L27-C11)))*(B11-B10)))))))+(IF(AND((L27-C11)&lt;=0,(L27-C12)&lt;=0),0,IF(AND((L27-C11)&gt;=0,(L27-C12)&gt;=0),0.5*((L27-C11)+(L27-C12))*ABS(B12-B11),IF((L27-C11)&gt;0,0.5*(L27-C11)*ABS((B11+((L27-C11)/((L27-C11)-(L27-C12)))*(B12-B11))-B11),0.5*(L27-C12)*ABS(B12-(B11+((L27-C11)/((L27-C11)-(L27-C12)))*(B12-B11)))))))+(IF(AND((L27-C12)&lt;=0,(L27-C13)&lt;=0),0,IF(AND((L27-C12)&gt;=0,(L27-C13)&gt;=0),0.5*((L27-C12)+(L27-C13))*ABS(B13-B12),IF((L27-C12)&gt;0,0.5*(L27-C12)*ABS((B12+((L27-C12)/((L27-C12)-(L27-C13)))*(B13-B12))-B12),0.5*(L27-C13)*ABS(B13-(B12+((L27-C12)/((L27-C12)-(L27-C13)))*(B13-B12)))))))+(IF(AND((L27-C13)&lt;=0,(L27-C14)&lt;=0),0,IF(AND((L27-C13)&gt;=0,(L27-C14)&gt;=0),0.5*((L27-C13)+(L27-C14))*ABS(B14-B13),IF((L27-C13)&gt;0,0.5*(L27-C13)*ABS((B13+((L27-C13)/((L27-C13)-(L27-C14)))*(B14-B13))-B13),0.5*(L27-C14)*ABS(B14-(B13+((L27-C13)/((L27-C13)-(L27-C14)))*(B14-B13)))))))+(IF(AND((L27-C14)&lt;=0,(L27-C15)&lt;=0),0,IF(AND((L27-C14)&gt;=0,(L27-C15)&gt;=0),0.5*((L27-C14)+(L27-C15))*ABS(B15-B14),IF((L27-C14)&gt;0,0.5*(L27-C14)*ABS((B14+((L27-C14)/((L27-C14)-(L27-C15)))*(B15-B14))-B14),0.5*(L27-C15)*ABS(B15-(B14+((L27-C14)/((L27-C14)-(L27-C15)))*(B15-B14)))))))+(IF(AND((L27-C15)&lt;=0,(L27-C16)&lt;=0),0,IF(AND((L27-C15)&gt;=0,(L27-C16)&gt;=0),0.5*((L27-C15)+(L27-C16))*ABS(B16-B15),IF((L27-C15)&gt;0,0.5*(L27-C15)*ABS((B15+((L27-C15)/((L27-C15)-(L27-C16)))*(B16-B15))-B15),0.5*(L27-C16)*ABS(B16-(B15+((L27-C15)/((L27-C15)-(L27-C16)))*(B16-B15)))))))+(IF(AND((L27-C16)&lt;=0,(L27-C17)&lt;=0),0,IF(AND((L27-C16)&gt;=0,(L27-C17)&gt;=0),0.5*((L27-C16)+(L27-C17))*ABS(B17-B16),IF((L27-C16)&gt;0,0.5*(L27-C16)*ABS((B16+((L27-C16)/((L27-C16)-(L27-C17)))*(B17-B16))-B16),0.5*(L27-C17)*ABS(B17-(B16+((L27-C16)/((L27-C16)-(L27-C17)))*(B17-B16)))))))</f>
        <v/>
      </c>
      <c r="N27">
        <f>(IF(AND((L27-C9)&lt;=0,(L27-C10)&lt;=0),0,IF(AND((L27-C9)&gt;=0,(L27-C10)&gt;=0),SQRT((B10-B9)^2+(C10-C9)^2),IF((L27-C9)&gt;0,SQRT(((B9+((L27-C9)/((L27-C9)-(L27-C10)))*(B10-B9))-B9)^2+(L27-C9)^2),SQRT((B10-(B9+((L27-C9)/((L27-C9)-(L27-C10)))*(B10-B9)))^2+(L27-C10)^2)))))+(IF(AND((L27-C10)&lt;=0,(L27-C11)&lt;=0),0,IF(AND((L27-C10)&gt;=0,(L27-C11)&gt;=0),SQRT((B11-B10)^2+(C11-C10)^2),IF((L27-C10)&gt;0,SQRT(((B10+((L27-C10)/((L27-C10)-(L27-C11)))*(B11-B10))-B10)^2+(L27-C10)^2),SQRT((B11-(B10+((L27-C10)/((L27-C10)-(L27-C11)))*(B11-B10)))^2+(L27-C11)^2)))))+(IF(AND((L27-C11)&lt;=0,(L27-C12)&lt;=0),0,IF(AND((L27-C11)&gt;=0,(L27-C12)&gt;=0),SQRT((B12-B11)^2+(C12-C11)^2),IF((L27-C11)&gt;0,SQRT(((B11+((L27-C11)/((L27-C11)-(L27-C12)))*(B12-B11))-B11)^2+(L27-C11)^2),SQRT((B12-(B11+((L27-C11)/((L27-C11)-(L27-C12)))*(B12-B11)))^2+(L27-C12)^2)))))+(IF(AND((L27-C12)&lt;=0,(L27-C13)&lt;=0),0,IF(AND((L27-C12)&gt;=0,(L27-C13)&gt;=0),SQRT((B13-B12)^2+(C13-C12)^2),IF((L27-C12)&gt;0,SQRT(((B12+((L27-C12)/((L27-C12)-(L27-C13)))*(B13-B12))-B12)^2+(L27-C12)^2),SQRT((B13-(B12+((L27-C12)/((L27-C12)-(L27-C13)))*(B13-B12)))^2+(L27-C13)^2)))))+(IF(AND((L27-C13)&lt;=0,(L27-C14)&lt;=0),0,IF(AND((L27-C13)&gt;=0,(L27-C14)&gt;=0),SQRT((B14-B13)^2+(C14-C13)^2),IF((L27-C13)&gt;0,SQRT(((B13+((L27-C13)/((L27-C13)-(L27-C14)))*(B14-B13))-B13)^2+(L27-C13)^2),SQRT((B14-(B13+((L27-C13)/((L27-C13)-(L27-C14)))*(B14-B13)))^2+(L27-C14)^2)))))+(IF(AND((L27-C14)&lt;=0,(L27-C15)&lt;=0),0,IF(AND((L27-C14)&gt;=0,(L27-C15)&gt;=0),SQRT((B15-B14)^2+(C15-C14)^2),IF((L27-C14)&gt;0,SQRT(((B14+((L27-C14)/((L27-C14)-(L27-C15)))*(B15-B14))-B14)^2+(L27-C14)^2),SQRT((B15-(B14+((L27-C14)/((L27-C14)-(L27-C15)))*(B15-B14)))^2+(L27-C15)^2)))))+(IF(AND((L27-C15)&lt;=0,(L27-C16)&lt;=0),0,IF(AND((L27-C15)&gt;=0,(L27-C16)&gt;=0),SQRT((B16-B15)^2+(C16-C15)^2),IF((L27-C15)&gt;0,SQRT(((B15+((L27-C15)/((L27-C15)-(L27-C16)))*(B16-B15))-B15)^2+(L27-C15)^2),SQRT((B16-(B15+((L27-C15)/((L27-C15)-(L27-C16)))*(B16-B15)))^2+(L27-C16)^2)))))+(IF(AND((L27-C16)&lt;=0,(L27-C17)&lt;=0),0,IF(AND((L27-C16)&gt;=0,(L27-C17)&gt;=0),SQRT((B17-B16)^2+(C17-C16)^2),IF((L27-C16)&gt;0,SQRT(((B16+((L27-C16)/((L27-C16)-(L27-C17)))*(B17-B16))-B16)^2+(L27-C16)^2),SQRT((B17-(B16+((L27-C16)/((L27-C16)-(L27-C17)))*(B17-B16)))^2+(L27-C17)^2)))))</f>
        <v/>
      </c>
      <c r="O27">
        <f>IF(OR($B$6&lt;=0,M27&lt;=0,N27&lt;=0,$B$4&lt;=0),0,(1/$B$6)*M27*((M27/N27)^(2/3))*SQRT($B$4))</f>
        <v/>
      </c>
    </row>
    <row r="28">
      <c r="A28" t="inlineStr">
        <is>
          <t>Écart Q_manning − Q</t>
        </is>
      </c>
      <c r="B28" s="20">
        <f>B26-B5</f>
        <v/>
      </c>
      <c r="I28" t="n">
        <v>20</v>
      </c>
      <c r="J28">
        <f>IF(O27&lt;$B$5,L27,J27)</f>
        <v/>
      </c>
      <c r="K28">
        <f>IF(O27&lt;$B$5,K27,L27)</f>
        <v/>
      </c>
      <c r="L28">
        <f>(J28+K28)/2</f>
        <v/>
      </c>
      <c r="M28">
        <f>(IF(AND((L28-C9)&lt;=0,(L28-C10)&lt;=0),0,IF(AND((L28-C9)&gt;=0,(L28-C10)&gt;=0),0.5*((L28-C9)+(L28-C10))*ABS(B10-B9),IF((L28-C9)&gt;0,0.5*(L28-C9)*ABS((B9+((L28-C9)/((L28-C9)-(L28-C10)))*(B10-B9))-B9),0.5*(L28-C10)*ABS(B10-(B9+((L28-C9)/((L28-C9)-(L28-C10)))*(B10-B9)))))))+(IF(AND((L28-C10)&lt;=0,(L28-C11)&lt;=0),0,IF(AND((L28-C10)&gt;=0,(L28-C11)&gt;=0),0.5*((L28-C10)+(L28-C11))*ABS(B11-B10),IF((L28-C10)&gt;0,0.5*(L28-C10)*ABS((B10+((L28-C10)/((L28-C10)-(L28-C11)))*(B11-B10))-B10),0.5*(L28-C11)*ABS(B11-(B10+((L28-C10)/((L28-C10)-(L28-C11)))*(B11-B10)))))))+(IF(AND((L28-C11)&lt;=0,(L28-C12)&lt;=0),0,IF(AND((L28-C11)&gt;=0,(L28-C12)&gt;=0),0.5*((L28-C11)+(L28-C12))*ABS(B12-B11),IF((L28-C11)&gt;0,0.5*(L28-C11)*ABS((B11+((L28-C11)/((L28-C11)-(L28-C12)))*(B12-B11))-B11),0.5*(L28-C12)*ABS(B12-(B11+((L28-C11)/((L28-C11)-(L28-C12)))*(B12-B11)))))))+(IF(AND((L28-C12)&lt;=0,(L28-C13)&lt;=0),0,IF(AND((L28-C12)&gt;=0,(L28-C13)&gt;=0),0.5*((L28-C12)+(L28-C13))*ABS(B13-B12),IF((L28-C12)&gt;0,0.5*(L28-C12)*ABS((B12+((L28-C12)/((L28-C12)-(L28-C13)))*(B13-B12))-B12),0.5*(L28-C13)*ABS(B13-(B12+((L28-C12)/((L28-C12)-(L28-C13)))*(B13-B12)))))))+(IF(AND((L28-C13)&lt;=0,(L28-C14)&lt;=0),0,IF(AND((L28-C13)&gt;=0,(L28-C14)&gt;=0),0.5*((L28-C13)+(L28-C14))*ABS(B14-B13),IF((L28-C13)&gt;0,0.5*(L28-C13)*ABS((B13+((L28-C13)/((L28-C13)-(L28-C14)))*(B14-B13))-B13),0.5*(L28-C14)*ABS(B14-(B13+((L28-C13)/((L28-C13)-(L28-C14)))*(B14-B13)))))))+(IF(AND((L28-C14)&lt;=0,(L28-C15)&lt;=0),0,IF(AND((L28-C14)&gt;=0,(L28-C15)&gt;=0),0.5*((L28-C14)+(L28-C15))*ABS(B15-B14),IF((L28-C14)&gt;0,0.5*(L28-C14)*ABS((B14+((L28-C14)/((L28-C14)-(L28-C15)))*(B15-B14))-B14),0.5*(L28-C15)*ABS(B15-(B14+((L28-C14)/((L28-C14)-(L28-C15)))*(B15-B14)))))))+(IF(AND((L28-C15)&lt;=0,(L28-C16)&lt;=0),0,IF(AND((L28-C15)&gt;=0,(L28-C16)&gt;=0),0.5*((L28-C15)+(L28-C16))*ABS(B16-B15),IF((L28-C15)&gt;0,0.5*(L28-C15)*ABS((B15+((L28-C15)/((L28-C15)-(L28-C16)))*(B16-B15))-B15),0.5*(L28-C16)*ABS(B16-(B15+((L28-C15)/((L28-C15)-(L28-C16)))*(B16-B15)))))))+(IF(AND((L28-C16)&lt;=0,(L28-C17)&lt;=0),0,IF(AND((L28-C16)&gt;=0,(L28-C17)&gt;=0),0.5*((L28-C16)+(L28-C17))*ABS(B17-B16),IF((L28-C16)&gt;0,0.5*(L28-C16)*ABS((B16+((L28-C16)/((L28-C16)-(L28-C17)))*(B17-B16))-B16),0.5*(L28-C17)*ABS(B17-(B16+((L28-C16)/((L28-C16)-(L28-C17)))*(B17-B16)))))))</f>
        <v/>
      </c>
      <c r="N28">
        <f>(IF(AND((L28-C9)&lt;=0,(L28-C10)&lt;=0),0,IF(AND((L28-C9)&gt;=0,(L28-C10)&gt;=0),SQRT((B10-B9)^2+(C10-C9)^2),IF((L28-C9)&gt;0,SQRT(((B9+((L28-C9)/((L28-C9)-(L28-C10)))*(B10-B9))-B9)^2+(L28-C9)^2),SQRT((B10-(B9+((L28-C9)/((L28-C9)-(L28-C10)))*(B10-B9)))^2+(L28-C10)^2)))))+(IF(AND((L28-C10)&lt;=0,(L28-C11)&lt;=0),0,IF(AND((L28-C10)&gt;=0,(L28-C11)&gt;=0),SQRT((B11-B10)^2+(C11-C10)^2),IF((L28-C10)&gt;0,SQRT(((B10+((L28-C10)/((L28-C10)-(L28-C11)))*(B11-B10))-B10)^2+(L28-C10)^2),SQRT((B11-(B10+((L28-C10)/((L28-C10)-(L28-C11)))*(B11-B10)))^2+(L28-C11)^2)))))+(IF(AND((L28-C11)&lt;=0,(L28-C12)&lt;=0),0,IF(AND((L28-C11)&gt;=0,(L28-C12)&gt;=0),SQRT((B12-B11)^2+(C12-C11)^2),IF((L28-C11)&gt;0,SQRT(((B11+((L28-C11)/((L28-C11)-(L28-C12)))*(B12-B11))-B11)^2+(L28-C11)^2),SQRT((B12-(B11+((L28-C11)/((L28-C11)-(L28-C12)))*(B12-B11)))^2+(L28-C12)^2)))))+(IF(AND((L28-C12)&lt;=0,(L28-C13)&lt;=0),0,IF(AND((L28-C12)&gt;=0,(L28-C13)&gt;=0),SQRT((B13-B12)^2+(C13-C12)^2),IF((L28-C12)&gt;0,SQRT(((B12+((L28-C12)/((L28-C12)-(L28-C13)))*(B13-B12))-B12)^2+(L28-C12)^2),SQRT((B13-(B12+((L28-C12)/((L28-C12)-(L28-C13)))*(B13-B12)))^2+(L28-C13)^2)))))+(IF(AND((L28-C13)&lt;=0,(L28-C14)&lt;=0),0,IF(AND((L28-C13)&gt;=0,(L28-C14)&gt;=0),SQRT((B14-B13)^2+(C14-C13)^2),IF((L28-C13)&gt;0,SQRT(((B13+((L28-C13)/((L28-C13)-(L28-C14)))*(B14-B13))-B13)^2+(L28-C13)^2),SQRT((B14-(B13+((L28-C13)/((L28-C13)-(L28-C14)))*(B14-B13)))^2+(L28-C14)^2)))))+(IF(AND((L28-C14)&lt;=0,(L28-C15)&lt;=0),0,IF(AND((L28-C14)&gt;=0,(L28-C15)&gt;=0),SQRT((B15-B14)^2+(C15-C14)^2),IF((L28-C14)&gt;0,SQRT(((B14+((L28-C14)/((L28-C14)-(L28-C15)))*(B15-B14))-B14)^2+(L28-C14)^2),SQRT((B15-(B14+((L28-C14)/((L28-C14)-(L28-C15)))*(B15-B14)))^2+(L28-C15)^2)))))+(IF(AND((L28-C15)&lt;=0,(L28-C16)&lt;=0),0,IF(AND((L28-C15)&gt;=0,(L28-C16)&gt;=0),SQRT((B16-B15)^2+(C16-C15)^2),IF((L28-C15)&gt;0,SQRT(((B15+((L28-C15)/((L28-C15)-(L28-C16)))*(B16-B15))-B15)^2+(L28-C15)^2),SQRT((B16-(B15+((L28-C15)/((L28-C15)-(L28-C16)))*(B16-B15)))^2+(L28-C16)^2)))))+(IF(AND((L28-C16)&lt;=0,(L28-C17)&lt;=0),0,IF(AND((L28-C16)&gt;=0,(L28-C17)&gt;=0),SQRT((B17-B16)^2+(C17-C16)^2),IF((L28-C16)&gt;0,SQRT(((B16+((L28-C16)/((L28-C16)-(L28-C17)))*(B17-B16))-B16)^2+(L28-C16)^2),SQRT((B17-(B16+((L28-C16)/((L28-C16)-(L28-C17)))*(B17-B16)))^2+(L28-C17)^2)))))</f>
        <v/>
      </c>
      <c r="O28">
        <f>IF(OR($B$6&lt;=0,M28&lt;=0,N28&lt;=0,$B$4&lt;=0),0,(1/$B$6)*M28*((M28/N28)^(2/3))*SQRT($B$4))</f>
        <v/>
      </c>
    </row>
    <row r="29">
      <c r="A29" t="inlineStr">
        <is>
          <t>Note</t>
        </is>
      </c>
      <c r="B29" t="inlineStr">
        <is>
          <t>Changer Q (B5) ou n (B6) → WSE, A, V se recalculent seuls. S0 vient du longitudinal.</t>
        </is>
      </c>
      <c r="I29" t="n">
        <v>21</v>
      </c>
      <c r="J29">
        <f>IF(O28&lt;$B$5,L28,J28)</f>
        <v/>
      </c>
      <c r="K29">
        <f>IF(O28&lt;$B$5,K28,L28)</f>
        <v/>
      </c>
      <c r="L29">
        <f>(J29+K29)/2</f>
        <v/>
      </c>
      <c r="M29">
        <f>(IF(AND((L29-C9)&lt;=0,(L29-C10)&lt;=0),0,IF(AND((L29-C9)&gt;=0,(L29-C10)&gt;=0),0.5*((L29-C9)+(L29-C10))*ABS(B10-B9),IF((L29-C9)&gt;0,0.5*(L29-C9)*ABS((B9+((L29-C9)/((L29-C9)-(L29-C10)))*(B10-B9))-B9),0.5*(L29-C10)*ABS(B10-(B9+((L29-C9)/((L29-C9)-(L29-C10)))*(B10-B9)))))))+(IF(AND((L29-C10)&lt;=0,(L29-C11)&lt;=0),0,IF(AND((L29-C10)&gt;=0,(L29-C11)&gt;=0),0.5*((L29-C10)+(L29-C11))*ABS(B11-B10),IF((L29-C10)&gt;0,0.5*(L29-C10)*ABS((B10+((L29-C10)/((L29-C10)-(L29-C11)))*(B11-B10))-B10),0.5*(L29-C11)*ABS(B11-(B10+((L29-C10)/((L29-C10)-(L29-C11)))*(B11-B10)))))))+(IF(AND((L29-C11)&lt;=0,(L29-C12)&lt;=0),0,IF(AND((L29-C11)&gt;=0,(L29-C12)&gt;=0),0.5*((L29-C11)+(L29-C12))*ABS(B12-B11),IF((L29-C11)&gt;0,0.5*(L29-C11)*ABS((B11+((L29-C11)/((L29-C11)-(L29-C12)))*(B12-B11))-B11),0.5*(L29-C12)*ABS(B12-(B11+((L29-C11)/((L29-C11)-(L29-C12)))*(B12-B11)))))))+(IF(AND((L29-C12)&lt;=0,(L29-C13)&lt;=0),0,IF(AND((L29-C12)&gt;=0,(L29-C13)&gt;=0),0.5*((L29-C12)+(L29-C13))*ABS(B13-B12),IF((L29-C12)&gt;0,0.5*(L29-C12)*ABS((B12+((L29-C12)/((L29-C12)-(L29-C13)))*(B13-B12))-B12),0.5*(L29-C13)*ABS(B13-(B12+((L29-C12)/((L29-C12)-(L29-C13)))*(B13-B12)))))))+(IF(AND((L29-C13)&lt;=0,(L29-C14)&lt;=0),0,IF(AND((L29-C13)&gt;=0,(L29-C14)&gt;=0),0.5*((L29-C13)+(L29-C14))*ABS(B14-B13),IF((L29-C13)&gt;0,0.5*(L29-C13)*ABS((B13+((L29-C13)/((L29-C13)-(L29-C14)))*(B14-B13))-B13),0.5*(L29-C14)*ABS(B14-(B13+((L29-C13)/((L29-C13)-(L29-C14)))*(B14-B13)))))))+(IF(AND((L29-C14)&lt;=0,(L29-C15)&lt;=0),0,IF(AND((L29-C14)&gt;=0,(L29-C15)&gt;=0),0.5*((L29-C14)+(L29-C15))*ABS(B15-B14),IF((L29-C14)&gt;0,0.5*(L29-C14)*ABS((B14+((L29-C14)/((L29-C14)-(L29-C15)))*(B15-B14))-B14),0.5*(L29-C15)*ABS(B15-(B14+((L29-C14)/((L29-C14)-(L29-C15)))*(B15-B14)))))))+(IF(AND((L29-C15)&lt;=0,(L29-C16)&lt;=0),0,IF(AND((L29-C15)&gt;=0,(L29-C16)&gt;=0),0.5*((L29-C15)+(L29-C16))*ABS(B16-B15),IF((L29-C15)&gt;0,0.5*(L29-C15)*ABS((B15+((L29-C15)/((L29-C15)-(L29-C16)))*(B16-B15))-B15),0.5*(L29-C16)*ABS(B16-(B15+((L29-C15)/((L29-C15)-(L29-C16)))*(B16-B15)))))))+(IF(AND((L29-C16)&lt;=0,(L29-C17)&lt;=0),0,IF(AND((L29-C16)&gt;=0,(L29-C17)&gt;=0),0.5*((L29-C16)+(L29-C17))*ABS(B17-B16),IF((L29-C16)&gt;0,0.5*(L29-C16)*ABS((B16+((L29-C16)/((L29-C16)-(L29-C17)))*(B17-B16))-B16),0.5*(L29-C17)*ABS(B17-(B16+((L29-C16)/((L29-C16)-(L29-C17)))*(B17-B16)))))))</f>
        <v/>
      </c>
      <c r="N29">
        <f>(IF(AND((L29-C9)&lt;=0,(L29-C10)&lt;=0),0,IF(AND((L29-C9)&gt;=0,(L29-C10)&gt;=0),SQRT((B10-B9)^2+(C10-C9)^2),IF((L29-C9)&gt;0,SQRT(((B9+((L29-C9)/((L29-C9)-(L29-C10)))*(B10-B9))-B9)^2+(L29-C9)^2),SQRT((B10-(B9+((L29-C9)/((L29-C9)-(L29-C10)))*(B10-B9)))^2+(L29-C10)^2)))))+(IF(AND((L29-C10)&lt;=0,(L29-C11)&lt;=0),0,IF(AND((L29-C10)&gt;=0,(L29-C11)&gt;=0),SQRT((B11-B10)^2+(C11-C10)^2),IF((L29-C10)&gt;0,SQRT(((B10+((L29-C10)/((L29-C10)-(L29-C11)))*(B11-B10))-B10)^2+(L29-C10)^2),SQRT((B11-(B10+((L29-C10)/((L29-C10)-(L29-C11)))*(B11-B10)))^2+(L29-C11)^2)))))+(IF(AND((L29-C11)&lt;=0,(L29-C12)&lt;=0),0,IF(AND((L29-C11)&gt;=0,(L29-C12)&gt;=0),SQRT((B12-B11)^2+(C12-C11)^2),IF((L29-C11)&gt;0,SQRT(((B11+((L29-C11)/((L29-C11)-(L29-C12)))*(B12-B11))-B11)^2+(L29-C11)^2),SQRT((B12-(B11+((L29-C11)/((L29-C11)-(L29-C12)))*(B12-B11)))^2+(L29-C12)^2)))))+(IF(AND((L29-C12)&lt;=0,(L29-C13)&lt;=0),0,IF(AND((L29-C12)&gt;=0,(L29-C13)&gt;=0),SQRT((B13-B12)^2+(C13-C12)^2),IF((L29-C12)&gt;0,SQRT(((B12+((L29-C12)/((L29-C12)-(L29-C13)))*(B13-B12))-B12)^2+(L29-C12)^2),SQRT((B13-(B12+((L29-C12)/((L29-C12)-(L29-C13)))*(B13-B12)))^2+(L29-C13)^2)))))+(IF(AND((L29-C13)&lt;=0,(L29-C14)&lt;=0),0,IF(AND((L29-C13)&gt;=0,(L29-C14)&gt;=0),SQRT((B14-B13)^2+(C14-C13)^2),IF((L29-C13)&gt;0,SQRT(((B13+((L29-C13)/((L29-C13)-(L29-C14)))*(B14-B13))-B13)^2+(L29-C13)^2),SQRT((B14-(B13+((L29-C13)/((L29-C13)-(L29-C14)))*(B14-B13)))^2+(L29-C14)^2)))))+(IF(AND((L29-C14)&lt;=0,(L29-C15)&lt;=0),0,IF(AND((L29-C14)&gt;=0,(L29-C15)&gt;=0),SQRT((B15-B14)^2+(C15-C14)^2),IF((L29-C14)&gt;0,SQRT(((B14+((L29-C14)/((L29-C14)-(L29-C15)))*(B15-B14))-B14)^2+(L29-C14)^2),SQRT((B15-(B14+((L29-C14)/((L29-C14)-(L29-C15)))*(B15-B14)))^2+(L29-C15)^2)))))+(IF(AND((L29-C15)&lt;=0,(L29-C16)&lt;=0),0,IF(AND((L29-C15)&gt;=0,(L29-C16)&gt;=0),SQRT((B16-B15)^2+(C16-C15)^2),IF((L29-C15)&gt;0,SQRT(((B15+((L29-C15)/((L29-C15)-(L29-C16)))*(B16-B15))-B15)^2+(L29-C15)^2),SQRT((B16-(B15+((L29-C15)/((L29-C15)-(L29-C16)))*(B16-B15)))^2+(L29-C16)^2)))))+(IF(AND((L29-C16)&lt;=0,(L29-C17)&lt;=0),0,IF(AND((L29-C16)&gt;=0,(L29-C17)&gt;=0),SQRT((B17-B16)^2+(C17-C16)^2),IF((L29-C16)&gt;0,SQRT(((B16+((L29-C16)/((L29-C16)-(L29-C17)))*(B17-B16))-B16)^2+(L29-C16)^2),SQRT((B17-(B16+((L29-C16)/((L29-C16)-(L29-C17)))*(B17-B16)))^2+(L29-C17)^2)))))</f>
        <v/>
      </c>
      <c r="O29">
        <f>IF(OR($B$6&lt;=0,M29&lt;=0,N29&lt;=0,$B$4&lt;=0),0,(1/$B$6)*M29*((M29/N29)^(2/3))*SQRT($B$4))</f>
        <v/>
      </c>
    </row>
    <row r="30">
      <c r="I30" t="n">
        <v>22</v>
      </c>
      <c r="J30">
        <f>IF(O29&lt;$B$5,L29,J29)</f>
        <v/>
      </c>
      <c r="K30">
        <f>IF(O29&lt;$B$5,K29,L29)</f>
        <v/>
      </c>
      <c r="L30">
        <f>(J30+K30)/2</f>
        <v/>
      </c>
      <c r="M30">
        <f>(IF(AND((L30-C9)&lt;=0,(L30-C10)&lt;=0),0,IF(AND((L30-C9)&gt;=0,(L30-C10)&gt;=0),0.5*((L30-C9)+(L30-C10))*ABS(B10-B9),IF((L30-C9)&gt;0,0.5*(L30-C9)*ABS((B9+((L30-C9)/((L30-C9)-(L30-C10)))*(B10-B9))-B9),0.5*(L30-C10)*ABS(B10-(B9+((L30-C9)/((L30-C9)-(L30-C10)))*(B10-B9)))))))+(IF(AND((L30-C10)&lt;=0,(L30-C11)&lt;=0),0,IF(AND((L30-C10)&gt;=0,(L30-C11)&gt;=0),0.5*((L30-C10)+(L30-C11))*ABS(B11-B10),IF((L30-C10)&gt;0,0.5*(L30-C10)*ABS((B10+((L30-C10)/((L30-C10)-(L30-C11)))*(B11-B10))-B10),0.5*(L30-C11)*ABS(B11-(B10+((L30-C10)/((L30-C10)-(L30-C11)))*(B11-B10)))))))+(IF(AND((L30-C11)&lt;=0,(L30-C12)&lt;=0),0,IF(AND((L30-C11)&gt;=0,(L30-C12)&gt;=0),0.5*((L30-C11)+(L30-C12))*ABS(B12-B11),IF((L30-C11)&gt;0,0.5*(L30-C11)*ABS((B11+((L30-C11)/((L30-C11)-(L30-C12)))*(B12-B11))-B11),0.5*(L30-C12)*ABS(B12-(B11+((L30-C11)/((L30-C11)-(L30-C12)))*(B12-B11)))))))+(IF(AND((L30-C12)&lt;=0,(L30-C13)&lt;=0),0,IF(AND((L30-C12)&gt;=0,(L30-C13)&gt;=0),0.5*((L30-C12)+(L30-C13))*ABS(B13-B12),IF((L30-C12)&gt;0,0.5*(L30-C12)*ABS((B12+((L30-C12)/((L30-C12)-(L30-C13)))*(B13-B12))-B12),0.5*(L30-C13)*ABS(B13-(B12+((L30-C12)/((L30-C12)-(L30-C13)))*(B13-B12)))))))+(IF(AND((L30-C13)&lt;=0,(L30-C14)&lt;=0),0,IF(AND((L30-C13)&gt;=0,(L30-C14)&gt;=0),0.5*((L30-C13)+(L30-C14))*ABS(B14-B13),IF((L30-C13)&gt;0,0.5*(L30-C13)*ABS((B13+((L30-C13)/((L30-C13)-(L30-C14)))*(B14-B13))-B13),0.5*(L30-C14)*ABS(B14-(B13+((L30-C13)/((L30-C13)-(L30-C14)))*(B14-B13)))))))+(IF(AND((L30-C14)&lt;=0,(L30-C15)&lt;=0),0,IF(AND((L30-C14)&gt;=0,(L30-C15)&gt;=0),0.5*((L30-C14)+(L30-C15))*ABS(B15-B14),IF((L30-C14)&gt;0,0.5*(L30-C14)*ABS((B14+((L30-C14)/((L30-C14)-(L30-C15)))*(B15-B14))-B14),0.5*(L30-C15)*ABS(B15-(B14+((L30-C14)/((L30-C14)-(L30-C15)))*(B15-B14)))))))+(IF(AND((L30-C15)&lt;=0,(L30-C16)&lt;=0),0,IF(AND((L30-C15)&gt;=0,(L30-C16)&gt;=0),0.5*((L30-C15)+(L30-C16))*ABS(B16-B15),IF((L30-C15)&gt;0,0.5*(L30-C15)*ABS((B15+((L30-C15)/((L30-C15)-(L30-C16)))*(B16-B15))-B15),0.5*(L30-C16)*ABS(B16-(B15+((L30-C15)/((L30-C15)-(L30-C16)))*(B16-B15)))))))+(IF(AND((L30-C16)&lt;=0,(L30-C17)&lt;=0),0,IF(AND((L30-C16)&gt;=0,(L30-C17)&gt;=0),0.5*((L30-C16)+(L30-C17))*ABS(B17-B16),IF((L30-C16)&gt;0,0.5*(L30-C16)*ABS((B16+((L30-C16)/((L30-C16)-(L30-C17)))*(B17-B16))-B16),0.5*(L30-C17)*ABS(B17-(B16+((L30-C16)/((L30-C16)-(L30-C17)))*(B17-B16)))))))</f>
        <v/>
      </c>
      <c r="N30">
        <f>(IF(AND((L30-C9)&lt;=0,(L30-C10)&lt;=0),0,IF(AND((L30-C9)&gt;=0,(L30-C10)&gt;=0),SQRT((B10-B9)^2+(C10-C9)^2),IF((L30-C9)&gt;0,SQRT(((B9+((L30-C9)/((L30-C9)-(L30-C10)))*(B10-B9))-B9)^2+(L30-C9)^2),SQRT((B10-(B9+((L30-C9)/((L30-C9)-(L30-C10)))*(B10-B9)))^2+(L30-C10)^2)))))+(IF(AND((L30-C10)&lt;=0,(L30-C11)&lt;=0),0,IF(AND((L30-C10)&gt;=0,(L30-C11)&gt;=0),SQRT((B11-B10)^2+(C11-C10)^2),IF((L30-C10)&gt;0,SQRT(((B10+((L30-C10)/((L30-C10)-(L30-C11)))*(B11-B10))-B10)^2+(L30-C10)^2),SQRT((B11-(B10+((L30-C10)/((L30-C10)-(L30-C11)))*(B11-B10)))^2+(L30-C11)^2)))))+(IF(AND((L30-C11)&lt;=0,(L30-C12)&lt;=0),0,IF(AND((L30-C11)&gt;=0,(L30-C12)&gt;=0),SQRT((B12-B11)^2+(C12-C11)^2),IF((L30-C11)&gt;0,SQRT(((B11+((L30-C11)/((L30-C11)-(L30-C12)))*(B12-B11))-B11)^2+(L30-C11)^2),SQRT((B12-(B11+((L30-C11)/((L30-C11)-(L30-C12)))*(B12-B11)))^2+(L30-C12)^2)))))+(IF(AND((L30-C12)&lt;=0,(L30-C13)&lt;=0),0,IF(AND((L30-C12)&gt;=0,(L30-C13)&gt;=0),SQRT((B13-B12)^2+(C13-C12)^2),IF((L30-C12)&gt;0,SQRT(((B12+((L30-C12)/((L30-C12)-(L30-C13)))*(B13-B12))-B12)^2+(L30-C12)^2),SQRT((B13-(B12+((L30-C12)/((L30-C12)-(L30-C13)))*(B13-B12)))^2+(L30-C13)^2)))))+(IF(AND((L30-C13)&lt;=0,(L30-C14)&lt;=0),0,IF(AND((L30-C13)&gt;=0,(L30-C14)&gt;=0),SQRT((B14-B13)^2+(C14-C13)^2),IF((L30-C13)&gt;0,SQRT(((B13+((L30-C13)/((L30-C13)-(L30-C14)))*(B14-B13))-B13)^2+(L30-C13)^2),SQRT((B14-(B13+((L30-C13)/((L30-C13)-(L30-C14)))*(B14-B13)))^2+(L30-C14)^2)))))+(IF(AND((L30-C14)&lt;=0,(L30-C15)&lt;=0),0,IF(AND((L30-C14)&gt;=0,(L30-C15)&gt;=0),SQRT((B15-B14)^2+(C15-C14)^2),IF((L30-C14)&gt;0,SQRT(((B14+((L30-C14)/((L30-C14)-(L30-C15)))*(B15-B14))-B14)^2+(L30-C14)^2),SQRT((B15-(B14+((L30-C14)/((L30-C14)-(L30-C15)))*(B15-B14)))^2+(L30-C15)^2)))))+(IF(AND((L30-C15)&lt;=0,(L30-C16)&lt;=0),0,IF(AND((L30-C15)&gt;=0,(L30-C16)&gt;=0),SQRT((B16-B15)^2+(C16-C15)^2),IF((L30-C15)&gt;0,SQRT(((B15+((L30-C15)/((L30-C15)-(L30-C16)))*(B16-B15))-B15)^2+(L30-C15)^2),SQRT((B16-(B15+((L30-C15)/((L30-C15)-(L30-C16)))*(B16-B15)))^2+(L30-C16)^2)))))+(IF(AND((L30-C16)&lt;=0,(L30-C17)&lt;=0),0,IF(AND((L30-C16)&gt;=0,(L30-C17)&gt;=0),SQRT((B17-B16)^2+(C17-C16)^2),IF((L30-C16)&gt;0,SQRT(((B16+((L30-C16)/((L30-C16)-(L30-C17)))*(B17-B16))-B16)^2+(L30-C16)^2),SQRT((B17-(B16+((L30-C16)/((L30-C16)-(L30-C17)))*(B17-B16)))^2+(L30-C17)^2)))))</f>
        <v/>
      </c>
      <c r="O30">
        <f>IF(OR($B$6&lt;=0,M30&lt;=0,N30&lt;=0,$B$4&lt;=0),0,(1/$B$6)*M30*((M30/N30)^(2/3))*SQRT($B$4))</f>
        <v/>
      </c>
    </row>
    <row r="31">
      <c r="I31" t="n">
        <v>23</v>
      </c>
      <c r="J31">
        <f>IF(O30&lt;$B$5,L30,J30)</f>
        <v/>
      </c>
      <c r="K31">
        <f>IF(O30&lt;$B$5,K30,L30)</f>
        <v/>
      </c>
      <c r="L31">
        <f>(J31+K31)/2</f>
        <v/>
      </c>
      <c r="M31">
        <f>(IF(AND((L31-C9)&lt;=0,(L31-C10)&lt;=0),0,IF(AND((L31-C9)&gt;=0,(L31-C10)&gt;=0),0.5*((L31-C9)+(L31-C10))*ABS(B10-B9),IF((L31-C9)&gt;0,0.5*(L31-C9)*ABS((B9+((L31-C9)/((L31-C9)-(L31-C10)))*(B10-B9))-B9),0.5*(L31-C10)*ABS(B10-(B9+((L31-C9)/((L31-C9)-(L31-C10)))*(B10-B9)))))))+(IF(AND((L31-C10)&lt;=0,(L31-C11)&lt;=0),0,IF(AND((L31-C10)&gt;=0,(L31-C11)&gt;=0),0.5*((L31-C10)+(L31-C11))*ABS(B11-B10),IF((L31-C10)&gt;0,0.5*(L31-C10)*ABS((B10+((L31-C10)/((L31-C10)-(L31-C11)))*(B11-B10))-B10),0.5*(L31-C11)*ABS(B11-(B10+((L31-C10)/((L31-C10)-(L31-C11)))*(B11-B10)))))))+(IF(AND((L31-C11)&lt;=0,(L31-C12)&lt;=0),0,IF(AND((L31-C11)&gt;=0,(L31-C12)&gt;=0),0.5*((L31-C11)+(L31-C12))*ABS(B12-B11),IF((L31-C11)&gt;0,0.5*(L31-C11)*ABS((B11+((L31-C11)/((L31-C11)-(L31-C12)))*(B12-B11))-B11),0.5*(L31-C12)*ABS(B12-(B11+((L31-C11)/((L31-C11)-(L31-C12)))*(B12-B11)))))))+(IF(AND((L31-C12)&lt;=0,(L31-C13)&lt;=0),0,IF(AND((L31-C12)&gt;=0,(L31-C13)&gt;=0),0.5*((L31-C12)+(L31-C13))*ABS(B13-B12),IF((L31-C12)&gt;0,0.5*(L31-C12)*ABS((B12+((L31-C12)/((L31-C12)-(L31-C13)))*(B13-B12))-B12),0.5*(L31-C13)*ABS(B13-(B12+((L31-C12)/((L31-C12)-(L31-C13)))*(B13-B12)))))))+(IF(AND((L31-C13)&lt;=0,(L31-C14)&lt;=0),0,IF(AND((L31-C13)&gt;=0,(L31-C14)&gt;=0),0.5*((L31-C13)+(L31-C14))*ABS(B14-B13),IF((L31-C13)&gt;0,0.5*(L31-C13)*ABS((B13+((L31-C13)/((L31-C13)-(L31-C14)))*(B14-B13))-B13),0.5*(L31-C14)*ABS(B14-(B13+((L31-C13)/((L31-C13)-(L31-C14)))*(B14-B13)))))))+(IF(AND((L31-C14)&lt;=0,(L31-C15)&lt;=0),0,IF(AND((L31-C14)&gt;=0,(L31-C15)&gt;=0),0.5*((L31-C14)+(L31-C15))*ABS(B15-B14),IF((L31-C14)&gt;0,0.5*(L31-C14)*ABS((B14+((L31-C14)/((L31-C14)-(L31-C15)))*(B15-B14))-B14),0.5*(L31-C15)*ABS(B15-(B14+((L31-C14)/((L31-C14)-(L31-C15)))*(B15-B14)))))))+(IF(AND((L31-C15)&lt;=0,(L31-C16)&lt;=0),0,IF(AND((L31-C15)&gt;=0,(L31-C16)&gt;=0),0.5*((L31-C15)+(L31-C16))*ABS(B16-B15),IF((L31-C15)&gt;0,0.5*(L31-C15)*ABS((B15+((L31-C15)/((L31-C15)-(L31-C16)))*(B16-B15))-B15),0.5*(L31-C16)*ABS(B16-(B15+((L31-C15)/((L31-C15)-(L31-C16)))*(B16-B15)))))))+(IF(AND((L31-C16)&lt;=0,(L31-C17)&lt;=0),0,IF(AND((L31-C16)&gt;=0,(L31-C17)&gt;=0),0.5*((L31-C16)+(L31-C17))*ABS(B17-B16),IF((L31-C16)&gt;0,0.5*(L31-C16)*ABS((B16+((L31-C16)/((L31-C16)-(L31-C17)))*(B17-B16))-B16),0.5*(L31-C17)*ABS(B17-(B16+((L31-C16)/((L31-C16)-(L31-C17)))*(B17-B16)))))))</f>
        <v/>
      </c>
      <c r="N31">
        <f>(IF(AND((L31-C9)&lt;=0,(L31-C10)&lt;=0),0,IF(AND((L31-C9)&gt;=0,(L31-C10)&gt;=0),SQRT((B10-B9)^2+(C10-C9)^2),IF((L31-C9)&gt;0,SQRT(((B9+((L31-C9)/((L31-C9)-(L31-C10)))*(B10-B9))-B9)^2+(L31-C9)^2),SQRT((B10-(B9+((L31-C9)/((L31-C9)-(L31-C10)))*(B10-B9)))^2+(L31-C10)^2)))))+(IF(AND((L31-C10)&lt;=0,(L31-C11)&lt;=0),0,IF(AND((L31-C10)&gt;=0,(L31-C11)&gt;=0),SQRT((B11-B10)^2+(C11-C10)^2),IF((L31-C10)&gt;0,SQRT(((B10+((L31-C10)/((L31-C10)-(L31-C11)))*(B11-B10))-B10)^2+(L31-C10)^2),SQRT((B11-(B10+((L31-C10)/((L31-C10)-(L31-C11)))*(B11-B10)))^2+(L31-C11)^2)))))+(IF(AND((L31-C11)&lt;=0,(L31-C12)&lt;=0),0,IF(AND((L31-C11)&gt;=0,(L31-C12)&gt;=0),SQRT((B12-B11)^2+(C12-C11)^2),IF((L31-C11)&gt;0,SQRT(((B11+((L31-C11)/((L31-C11)-(L31-C12)))*(B12-B11))-B11)^2+(L31-C11)^2),SQRT((B12-(B11+((L31-C11)/((L31-C11)-(L31-C12)))*(B12-B11)))^2+(L31-C12)^2)))))+(IF(AND((L31-C12)&lt;=0,(L31-C13)&lt;=0),0,IF(AND((L31-C12)&gt;=0,(L31-C13)&gt;=0),SQRT((B13-B12)^2+(C13-C12)^2),IF((L31-C12)&gt;0,SQRT(((B12+((L31-C12)/((L31-C12)-(L31-C13)))*(B13-B12))-B12)^2+(L31-C12)^2),SQRT((B13-(B12+((L31-C12)/((L31-C12)-(L31-C13)))*(B13-B12)))^2+(L31-C13)^2)))))+(IF(AND((L31-C13)&lt;=0,(L31-C14)&lt;=0),0,IF(AND((L31-C13)&gt;=0,(L31-C14)&gt;=0),SQRT((B14-B13)^2+(C14-C13)^2),IF((L31-C13)&gt;0,SQRT(((B13+((L31-C13)/((L31-C13)-(L31-C14)))*(B14-B13))-B13)^2+(L31-C13)^2),SQRT((B14-(B13+((L31-C13)/((L31-C13)-(L31-C14)))*(B14-B13)))^2+(L31-C14)^2)))))+(IF(AND((L31-C14)&lt;=0,(L31-C15)&lt;=0),0,IF(AND((L31-C14)&gt;=0,(L31-C15)&gt;=0),SQRT((B15-B14)^2+(C15-C14)^2),IF((L31-C14)&gt;0,SQRT(((B14+((L31-C14)/((L31-C14)-(L31-C15)))*(B15-B14))-B14)^2+(L31-C14)^2),SQRT((B15-(B14+((L31-C14)/((L31-C14)-(L31-C15)))*(B15-B14)))^2+(L31-C15)^2)))))+(IF(AND((L31-C15)&lt;=0,(L31-C16)&lt;=0),0,IF(AND((L31-C15)&gt;=0,(L31-C16)&gt;=0),SQRT((B16-B15)^2+(C16-C15)^2),IF((L31-C15)&gt;0,SQRT(((B15+((L31-C15)/((L31-C15)-(L31-C16)))*(B16-B15))-B15)^2+(L31-C15)^2),SQRT((B16-(B15+((L31-C15)/((L31-C15)-(L31-C16)))*(B16-B15)))^2+(L31-C16)^2)))))+(IF(AND((L31-C16)&lt;=0,(L31-C17)&lt;=0),0,IF(AND((L31-C16)&gt;=0,(L31-C17)&gt;=0),SQRT((B17-B16)^2+(C17-C16)^2),IF((L31-C16)&gt;0,SQRT(((B16+((L31-C16)/((L31-C16)-(L31-C17)))*(B17-B16))-B16)^2+(L31-C16)^2),SQRT((B17-(B16+((L31-C16)/((L31-C16)-(L31-C17)))*(B17-B16)))^2+(L31-C17)^2)))))</f>
        <v/>
      </c>
      <c r="O31">
        <f>IF(OR($B$6&lt;=0,M31&lt;=0,N31&lt;=0,$B$4&lt;=0),0,(1/$B$6)*M31*((M31/N31)^(2/3))*SQRT($B$4))</f>
        <v/>
      </c>
    </row>
    <row r="32">
      <c r="I32" t="n">
        <v>24</v>
      </c>
      <c r="J32">
        <f>IF(O31&lt;$B$5,L31,J31)</f>
        <v/>
      </c>
      <c r="K32">
        <f>IF(O31&lt;$B$5,K31,L31)</f>
        <v/>
      </c>
      <c r="L32">
        <f>(J32+K32)/2</f>
        <v/>
      </c>
      <c r="M32">
        <f>(IF(AND((L32-C9)&lt;=0,(L32-C10)&lt;=0),0,IF(AND((L32-C9)&gt;=0,(L32-C10)&gt;=0),0.5*((L32-C9)+(L32-C10))*ABS(B10-B9),IF((L32-C9)&gt;0,0.5*(L32-C9)*ABS((B9+((L32-C9)/((L32-C9)-(L32-C10)))*(B10-B9))-B9),0.5*(L32-C10)*ABS(B10-(B9+((L32-C9)/((L32-C9)-(L32-C10)))*(B10-B9)))))))+(IF(AND((L32-C10)&lt;=0,(L32-C11)&lt;=0),0,IF(AND((L32-C10)&gt;=0,(L32-C11)&gt;=0),0.5*((L32-C10)+(L32-C11))*ABS(B11-B10),IF((L32-C10)&gt;0,0.5*(L32-C10)*ABS((B10+((L32-C10)/((L32-C10)-(L32-C11)))*(B11-B10))-B10),0.5*(L32-C11)*ABS(B11-(B10+((L32-C10)/((L32-C10)-(L32-C11)))*(B11-B10)))))))+(IF(AND((L32-C11)&lt;=0,(L32-C12)&lt;=0),0,IF(AND((L32-C11)&gt;=0,(L32-C12)&gt;=0),0.5*((L32-C11)+(L32-C12))*ABS(B12-B11),IF((L32-C11)&gt;0,0.5*(L32-C11)*ABS((B11+((L32-C11)/((L32-C11)-(L32-C12)))*(B12-B11))-B11),0.5*(L32-C12)*ABS(B12-(B11+((L32-C11)/((L32-C11)-(L32-C12)))*(B12-B11)))))))+(IF(AND((L32-C12)&lt;=0,(L32-C13)&lt;=0),0,IF(AND((L32-C12)&gt;=0,(L32-C13)&gt;=0),0.5*((L32-C12)+(L32-C13))*ABS(B13-B12),IF((L32-C12)&gt;0,0.5*(L32-C12)*ABS((B12+((L32-C12)/((L32-C12)-(L32-C13)))*(B13-B12))-B12),0.5*(L32-C13)*ABS(B13-(B12+((L32-C12)/((L32-C12)-(L32-C13)))*(B13-B12)))))))+(IF(AND((L32-C13)&lt;=0,(L32-C14)&lt;=0),0,IF(AND((L32-C13)&gt;=0,(L32-C14)&gt;=0),0.5*((L32-C13)+(L32-C14))*ABS(B14-B13),IF((L32-C13)&gt;0,0.5*(L32-C13)*ABS((B13+((L32-C13)/((L32-C13)-(L32-C14)))*(B14-B13))-B13),0.5*(L32-C14)*ABS(B14-(B13+((L32-C13)/((L32-C13)-(L32-C14)))*(B14-B13)))))))+(IF(AND((L32-C14)&lt;=0,(L32-C15)&lt;=0),0,IF(AND((L32-C14)&gt;=0,(L32-C15)&gt;=0),0.5*((L32-C14)+(L32-C15))*ABS(B15-B14),IF((L32-C14)&gt;0,0.5*(L32-C14)*ABS((B14+((L32-C14)/((L32-C14)-(L32-C15)))*(B15-B14))-B14),0.5*(L32-C15)*ABS(B15-(B14+((L32-C14)/((L32-C14)-(L32-C15)))*(B15-B14)))))))+(IF(AND((L32-C15)&lt;=0,(L32-C16)&lt;=0),0,IF(AND((L32-C15)&gt;=0,(L32-C16)&gt;=0),0.5*((L32-C15)+(L32-C16))*ABS(B16-B15),IF((L32-C15)&gt;0,0.5*(L32-C15)*ABS((B15+((L32-C15)/((L32-C15)-(L32-C16)))*(B16-B15))-B15),0.5*(L32-C16)*ABS(B16-(B15+((L32-C15)/((L32-C15)-(L32-C16)))*(B16-B15)))))))+(IF(AND((L32-C16)&lt;=0,(L32-C17)&lt;=0),0,IF(AND((L32-C16)&gt;=0,(L32-C17)&gt;=0),0.5*((L32-C16)+(L32-C17))*ABS(B17-B16),IF((L32-C16)&gt;0,0.5*(L32-C16)*ABS((B16+((L32-C16)/((L32-C16)-(L32-C17)))*(B17-B16))-B16),0.5*(L32-C17)*ABS(B17-(B16+((L32-C16)/((L32-C16)-(L32-C17)))*(B17-B16)))))))</f>
        <v/>
      </c>
      <c r="N32">
        <f>(IF(AND((L32-C9)&lt;=0,(L32-C10)&lt;=0),0,IF(AND((L32-C9)&gt;=0,(L32-C10)&gt;=0),SQRT((B10-B9)^2+(C10-C9)^2),IF((L32-C9)&gt;0,SQRT(((B9+((L32-C9)/((L32-C9)-(L32-C10)))*(B10-B9))-B9)^2+(L32-C9)^2),SQRT((B10-(B9+((L32-C9)/((L32-C9)-(L32-C10)))*(B10-B9)))^2+(L32-C10)^2)))))+(IF(AND((L32-C10)&lt;=0,(L32-C11)&lt;=0),0,IF(AND((L32-C10)&gt;=0,(L32-C11)&gt;=0),SQRT((B11-B10)^2+(C11-C10)^2),IF((L32-C10)&gt;0,SQRT(((B10+((L32-C10)/((L32-C10)-(L32-C11)))*(B11-B10))-B10)^2+(L32-C10)^2),SQRT((B11-(B10+((L32-C10)/((L32-C10)-(L32-C11)))*(B11-B10)))^2+(L32-C11)^2)))))+(IF(AND((L32-C11)&lt;=0,(L32-C12)&lt;=0),0,IF(AND((L32-C11)&gt;=0,(L32-C12)&gt;=0),SQRT((B12-B11)^2+(C12-C11)^2),IF((L32-C11)&gt;0,SQRT(((B11+((L32-C11)/((L32-C11)-(L32-C12)))*(B12-B11))-B11)^2+(L32-C11)^2),SQRT((B12-(B11+((L32-C11)/((L32-C11)-(L32-C12)))*(B12-B11)))^2+(L32-C12)^2)))))+(IF(AND((L32-C12)&lt;=0,(L32-C13)&lt;=0),0,IF(AND((L32-C12)&gt;=0,(L32-C13)&gt;=0),SQRT((B13-B12)^2+(C13-C12)^2),IF((L32-C12)&gt;0,SQRT(((B12+((L32-C12)/((L32-C12)-(L32-C13)))*(B13-B12))-B12)^2+(L32-C12)^2),SQRT((B13-(B12+((L32-C12)/((L32-C12)-(L32-C13)))*(B13-B12)))^2+(L32-C13)^2)))))+(IF(AND((L32-C13)&lt;=0,(L32-C14)&lt;=0),0,IF(AND((L32-C13)&gt;=0,(L32-C14)&gt;=0),SQRT((B14-B13)^2+(C14-C13)^2),IF((L32-C13)&gt;0,SQRT(((B13+((L32-C13)/((L32-C13)-(L32-C14)))*(B14-B13))-B13)^2+(L32-C13)^2),SQRT((B14-(B13+((L32-C13)/((L32-C13)-(L32-C14)))*(B14-B13)))^2+(L32-C14)^2)))))+(IF(AND((L32-C14)&lt;=0,(L32-C15)&lt;=0),0,IF(AND((L32-C14)&gt;=0,(L32-C15)&gt;=0),SQRT((B15-B14)^2+(C15-C14)^2),IF((L32-C14)&gt;0,SQRT(((B14+((L32-C14)/((L32-C14)-(L32-C15)))*(B15-B14))-B14)^2+(L32-C14)^2),SQRT((B15-(B14+((L32-C14)/((L32-C14)-(L32-C15)))*(B15-B14)))^2+(L32-C15)^2)))))+(IF(AND((L32-C15)&lt;=0,(L32-C16)&lt;=0),0,IF(AND((L32-C15)&gt;=0,(L32-C16)&gt;=0),SQRT((B16-B15)^2+(C16-C15)^2),IF((L32-C15)&gt;0,SQRT(((B15+((L32-C15)/((L32-C15)-(L32-C16)))*(B16-B15))-B15)^2+(L32-C15)^2),SQRT((B16-(B15+((L32-C15)/((L32-C15)-(L32-C16)))*(B16-B15)))^2+(L32-C16)^2)))))+(IF(AND((L32-C16)&lt;=0,(L32-C17)&lt;=0),0,IF(AND((L32-C16)&gt;=0,(L32-C17)&gt;=0),SQRT((B17-B16)^2+(C17-C16)^2),IF((L32-C16)&gt;0,SQRT(((B16+((L32-C16)/((L32-C16)-(L32-C17)))*(B17-B16))-B16)^2+(L32-C16)^2),SQRT((B17-(B16+((L32-C16)/((L32-C16)-(L32-C17)))*(B17-B16)))^2+(L32-C17)^2)))))</f>
        <v/>
      </c>
      <c r="O32">
        <f>IF(OR($B$6&lt;=0,M32&lt;=0,N32&lt;=0,$B$4&lt;=0),0,(1/$B$6)*M32*((M32/N32)^(2/3))*SQRT($B$4))</f>
        <v/>
      </c>
    </row>
    <row r="33">
      <c r="I33" t="n">
        <v>25</v>
      </c>
      <c r="J33">
        <f>IF(O32&lt;$B$5,L32,J32)</f>
        <v/>
      </c>
      <c r="K33">
        <f>IF(O32&lt;$B$5,K32,L32)</f>
        <v/>
      </c>
      <c r="L33">
        <f>(J33+K33)/2</f>
        <v/>
      </c>
      <c r="M33">
        <f>(IF(AND((L33-C9)&lt;=0,(L33-C10)&lt;=0),0,IF(AND((L33-C9)&gt;=0,(L33-C10)&gt;=0),0.5*((L33-C9)+(L33-C10))*ABS(B10-B9),IF((L33-C9)&gt;0,0.5*(L33-C9)*ABS((B9+((L33-C9)/((L33-C9)-(L33-C10)))*(B10-B9))-B9),0.5*(L33-C10)*ABS(B10-(B9+((L33-C9)/((L33-C9)-(L33-C10)))*(B10-B9)))))))+(IF(AND((L33-C10)&lt;=0,(L33-C11)&lt;=0),0,IF(AND((L33-C10)&gt;=0,(L33-C11)&gt;=0),0.5*((L33-C10)+(L33-C11))*ABS(B11-B10),IF((L33-C10)&gt;0,0.5*(L33-C10)*ABS((B10+((L33-C10)/((L33-C10)-(L33-C11)))*(B11-B10))-B10),0.5*(L33-C11)*ABS(B11-(B10+((L33-C10)/((L33-C10)-(L33-C11)))*(B11-B10)))))))+(IF(AND((L33-C11)&lt;=0,(L33-C12)&lt;=0),0,IF(AND((L33-C11)&gt;=0,(L33-C12)&gt;=0),0.5*((L33-C11)+(L33-C12))*ABS(B12-B11),IF((L33-C11)&gt;0,0.5*(L33-C11)*ABS((B11+((L33-C11)/((L33-C11)-(L33-C12)))*(B12-B11))-B11),0.5*(L33-C12)*ABS(B12-(B11+((L33-C11)/((L33-C11)-(L33-C12)))*(B12-B11)))))))+(IF(AND((L33-C12)&lt;=0,(L33-C13)&lt;=0),0,IF(AND((L33-C12)&gt;=0,(L33-C13)&gt;=0),0.5*((L33-C12)+(L33-C13))*ABS(B13-B12),IF((L33-C12)&gt;0,0.5*(L33-C12)*ABS((B12+((L33-C12)/((L33-C12)-(L33-C13)))*(B13-B12))-B12),0.5*(L33-C13)*ABS(B13-(B12+((L33-C12)/((L33-C12)-(L33-C13)))*(B13-B12)))))))+(IF(AND((L33-C13)&lt;=0,(L33-C14)&lt;=0),0,IF(AND((L33-C13)&gt;=0,(L33-C14)&gt;=0),0.5*((L33-C13)+(L33-C14))*ABS(B14-B13),IF((L33-C13)&gt;0,0.5*(L33-C13)*ABS((B13+((L33-C13)/((L33-C13)-(L33-C14)))*(B14-B13))-B13),0.5*(L33-C14)*ABS(B14-(B13+((L33-C13)/((L33-C13)-(L33-C14)))*(B14-B13)))))))+(IF(AND((L33-C14)&lt;=0,(L33-C15)&lt;=0),0,IF(AND((L33-C14)&gt;=0,(L33-C15)&gt;=0),0.5*((L33-C14)+(L33-C15))*ABS(B15-B14),IF((L33-C14)&gt;0,0.5*(L33-C14)*ABS((B14+((L33-C14)/((L33-C14)-(L33-C15)))*(B15-B14))-B14),0.5*(L33-C15)*ABS(B15-(B14+((L33-C14)/((L33-C14)-(L33-C15)))*(B15-B14)))))))+(IF(AND((L33-C15)&lt;=0,(L33-C16)&lt;=0),0,IF(AND((L33-C15)&gt;=0,(L33-C16)&gt;=0),0.5*((L33-C15)+(L33-C16))*ABS(B16-B15),IF((L33-C15)&gt;0,0.5*(L33-C15)*ABS((B15+((L33-C15)/((L33-C15)-(L33-C16)))*(B16-B15))-B15),0.5*(L33-C16)*ABS(B16-(B15+((L33-C15)/((L33-C15)-(L33-C16)))*(B16-B15)))))))+(IF(AND((L33-C16)&lt;=0,(L33-C17)&lt;=0),0,IF(AND((L33-C16)&gt;=0,(L33-C17)&gt;=0),0.5*((L33-C16)+(L33-C17))*ABS(B17-B16),IF((L33-C16)&gt;0,0.5*(L33-C16)*ABS((B16+((L33-C16)/((L33-C16)-(L33-C17)))*(B17-B16))-B16),0.5*(L33-C17)*ABS(B17-(B16+((L33-C16)/((L33-C16)-(L33-C17)))*(B17-B16)))))))</f>
        <v/>
      </c>
      <c r="N33">
        <f>(IF(AND((L33-C9)&lt;=0,(L33-C10)&lt;=0),0,IF(AND((L33-C9)&gt;=0,(L33-C10)&gt;=0),SQRT((B10-B9)^2+(C10-C9)^2),IF((L33-C9)&gt;0,SQRT(((B9+((L33-C9)/((L33-C9)-(L33-C10)))*(B10-B9))-B9)^2+(L33-C9)^2),SQRT((B10-(B9+((L33-C9)/((L33-C9)-(L33-C10)))*(B10-B9)))^2+(L33-C10)^2)))))+(IF(AND((L33-C10)&lt;=0,(L33-C11)&lt;=0),0,IF(AND((L33-C10)&gt;=0,(L33-C11)&gt;=0),SQRT((B11-B10)^2+(C11-C10)^2),IF((L33-C10)&gt;0,SQRT(((B10+((L33-C10)/((L33-C10)-(L33-C11)))*(B11-B10))-B10)^2+(L33-C10)^2),SQRT((B11-(B10+((L33-C10)/((L33-C10)-(L33-C11)))*(B11-B10)))^2+(L33-C11)^2)))))+(IF(AND((L33-C11)&lt;=0,(L33-C12)&lt;=0),0,IF(AND((L33-C11)&gt;=0,(L33-C12)&gt;=0),SQRT((B12-B11)^2+(C12-C11)^2),IF((L33-C11)&gt;0,SQRT(((B11+((L33-C11)/((L33-C11)-(L33-C12)))*(B12-B11))-B11)^2+(L33-C11)^2),SQRT((B12-(B11+((L33-C11)/((L33-C11)-(L33-C12)))*(B12-B11)))^2+(L33-C12)^2)))))+(IF(AND((L33-C12)&lt;=0,(L33-C13)&lt;=0),0,IF(AND((L33-C12)&gt;=0,(L33-C13)&gt;=0),SQRT((B13-B12)^2+(C13-C12)^2),IF((L33-C12)&gt;0,SQRT(((B12+((L33-C12)/((L33-C12)-(L33-C13)))*(B13-B12))-B12)^2+(L33-C12)^2),SQRT((B13-(B12+((L33-C12)/((L33-C12)-(L33-C13)))*(B13-B12)))^2+(L33-C13)^2)))))+(IF(AND((L33-C13)&lt;=0,(L33-C14)&lt;=0),0,IF(AND((L33-C13)&gt;=0,(L33-C14)&gt;=0),SQRT((B14-B13)^2+(C14-C13)^2),IF((L33-C13)&gt;0,SQRT(((B13+((L33-C13)/((L33-C13)-(L33-C14)))*(B14-B13))-B13)^2+(L33-C13)^2),SQRT((B14-(B13+((L33-C13)/((L33-C13)-(L33-C14)))*(B14-B13)))^2+(L33-C14)^2)))))+(IF(AND((L33-C14)&lt;=0,(L33-C15)&lt;=0),0,IF(AND((L33-C14)&gt;=0,(L33-C15)&gt;=0),SQRT((B15-B14)^2+(C15-C14)^2),IF((L33-C14)&gt;0,SQRT(((B14+((L33-C14)/((L33-C14)-(L33-C15)))*(B15-B14))-B14)^2+(L33-C14)^2),SQRT((B15-(B14+((L33-C14)/((L33-C14)-(L33-C15)))*(B15-B14)))^2+(L33-C15)^2)))))+(IF(AND((L33-C15)&lt;=0,(L33-C16)&lt;=0),0,IF(AND((L33-C15)&gt;=0,(L33-C16)&gt;=0),SQRT((B16-B15)^2+(C16-C15)^2),IF((L33-C15)&gt;0,SQRT(((B15+((L33-C15)/((L33-C15)-(L33-C16)))*(B16-B15))-B15)^2+(L33-C15)^2),SQRT((B16-(B15+((L33-C15)/((L33-C15)-(L33-C16)))*(B16-B15)))^2+(L33-C16)^2)))))+(IF(AND((L33-C16)&lt;=0,(L33-C17)&lt;=0),0,IF(AND((L33-C16)&gt;=0,(L33-C17)&gt;=0),SQRT((B17-B16)^2+(C17-C16)^2),IF((L33-C16)&gt;0,SQRT(((B16+((L33-C16)/((L33-C16)-(L33-C17)))*(B17-B16))-B16)^2+(L33-C16)^2),SQRT((B17-(B16+((L33-C16)/((L33-C16)-(L33-C17)))*(B17-B16)))^2+(L33-C17)^2)))))</f>
        <v/>
      </c>
      <c r="O33">
        <f>IF(OR($B$6&lt;=0,M33&lt;=0,N33&lt;=0,$B$4&lt;=0),0,(1/$B$6)*M33*((M33/N33)^(2/3))*SQRT($B$4))</f>
        <v/>
      </c>
    </row>
    <row r="34">
      <c r="I34" t="n">
        <v>26</v>
      </c>
      <c r="J34">
        <f>IF(O33&lt;$B$5,L33,J33)</f>
        <v/>
      </c>
      <c r="K34">
        <f>IF(O33&lt;$B$5,K33,L33)</f>
        <v/>
      </c>
      <c r="L34">
        <f>(J34+K34)/2</f>
        <v/>
      </c>
      <c r="M34">
        <f>(IF(AND((L34-C9)&lt;=0,(L34-C10)&lt;=0),0,IF(AND((L34-C9)&gt;=0,(L34-C10)&gt;=0),0.5*((L34-C9)+(L34-C10))*ABS(B10-B9),IF((L34-C9)&gt;0,0.5*(L34-C9)*ABS((B9+((L34-C9)/((L34-C9)-(L34-C10)))*(B10-B9))-B9),0.5*(L34-C10)*ABS(B10-(B9+((L34-C9)/((L34-C9)-(L34-C10)))*(B10-B9)))))))+(IF(AND((L34-C10)&lt;=0,(L34-C11)&lt;=0),0,IF(AND((L34-C10)&gt;=0,(L34-C11)&gt;=0),0.5*((L34-C10)+(L34-C11))*ABS(B11-B10),IF((L34-C10)&gt;0,0.5*(L34-C10)*ABS((B10+((L34-C10)/((L34-C10)-(L34-C11)))*(B11-B10))-B10),0.5*(L34-C11)*ABS(B11-(B10+((L34-C10)/((L34-C10)-(L34-C11)))*(B11-B10)))))))+(IF(AND((L34-C11)&lt;=0,(L34-C12)&lt;=0),0,IF(AND((L34-C11)&gt;=0,(L34-C12)&gt;=0),0.5*((L34-C11)+(L34-C12))*ABS(B12-B11),IF((L34-C11)&gt;0,0.5*(L34-C11)*ABS((B11+((L34-C11)/((L34-C11)-(L34-C12)))*(B12-B11))-B11),0.5*(L34-C12)*ABS(B12-(B11+((L34-C11)/((L34-C11)-(L34-C12)))*(B12-B11)))))))+(IF(AND((L34-C12)&lt;=0,(L34-C13)&lt;=0),0,IF(AND((L34-C12)&gt;=0,(L34-C13)&gt;=0),0.5*((L34-C12)+(L34-C13))*ABS(B13-B12),IF((L34-C12)&gt;0,0.5*(L34-C12)*ABS((B12+((L34-C12)/((L34-C12)-(L34-C13)))*(B13-B12))-B12),0.5*(L34-C13)*ABS(B13-(B12+((L34-C12)/((L34-C12)-(L34-C13)))*(B13-B12)))))))+(IF(AND((L34-C13)&lt;=0,(L34-C14)&lt;=0),0,IF(AND((L34-C13)&gt;=0,(L34-C14)&gt;=0),0.5*((L34-C13)+(L34-C14))*ABS(B14-B13),IF((L34-C13)&gt;0,0.5*(L34-C13)*ABS((B13+((L34-C13)/((L34-C13)-(L34-C14)))*(B14-B13))-B13),0.5*(L34-C14)*ABS(B14-(B13+((L34-C13)/((L34-C13)-(L34-C14)))*(B14-B13)))))))+(IF(AND((L34-C14)&lt;=0,(L34-C15)&lt;=0),0,IF(AND((L34-C14)&gt;=0,(L34-C15)&gt;=0),0.5*((L34-C14)+(L34-C15))*ABS(B15-B14),IF((L34-C14)&gt;0,0.5*(L34-C14)*ABS((B14+((L34-C14)/((L34-C14)-(L34-C15)))*(B15-B14))-B14),0.5*(L34-C15)*ABS(B15-(B14+((L34-C14)/((L34-C14)-(L34-C15)))*(B15-B14)))))))+(IF(AND((L34-C15)&lt;=0,(L34-C16)&lt;=0),0,IF(AND((L34-C15)&gt;=0,(L34-C16)&gt;=0),0.5*((L34-C15)+(L34-C16))*ABS(B16-B15),IF((L34-C15)&gt;0,0.5*(L34-C15)*ABS((B15+((L34-C15)/((L34-C15)-(L34-C16)))*(B16-B15))-B15),0.5*(L34-C16)*ABS(B16-(B15+((L34-C15)/((L34-C15)-(L34-C16)))*(B16-B15)))))))+(IF(AND((L34-C16)&lt;=0,(L34-C17)&lt;=0),0,IF(AND((L34-C16)&gt;=0,(L34-C17)&gt;=0),0.5*((L34-C16)+(L34-C17))*ABS(B17-B16),IF((L34-C16)&gt;0,0.5*(L34-C16)*ABS((B16+((L34-C16)/((L34-C16)-(L34-C17)))*(B17-B16))-B16),0.5*(L34-C17)*ABS(B17-(B16+((L34-C16)/((L34-C16)-(L34-C17)))*(B17-B16)))))))</f>
        <v/>
      </c>
      <c r="N34">
        <f>(IF(AND((L34-C9)&lt;=0,(L34-C10)&lt;=0),0,IF(AND((L34-C9)&gt;=0,(L34-C10)&gt;=0),SQRT((B10-B9)^2+(C10-C9)^2),IF((L34-C9)&gt;0,SQRT(((B9+((L34-C9)/((L34-C9)-(L34-C10)))*(B10-B9))-B9)^2+(L34-C9)^2),SQRT((B10-(B9+((L34-C9)/((L34-C9)-(L34-C10)))*(B10-B9)))^2+(L34-C10)^2)))))+(IF(AND((L34-C10)&lt;=0,(L34-C11)&lt;=0),0,IF(AND((L34-C10)&gt;=0,(L34-C11)&gt;=0),SQRT((B11-B10)^2+(C11-C10)^2),IF((L34-C10)&gt;0,SQRT(((B10+((L34-C10)/((L34-C10)-(L34-C11)))*(B11-B10))-B10)^2+(L34-C10)^2),SQRT((B11-(B10+((L34-C10)/((L34-C10)-(L34-C11)))*(B11-B10)))^2+(L34-C11)^2)))))+(IF(AND((L34-C11)&lt;=0,(L34-C12)&lt;=0),0,IF(AND((L34-C11)&gt;=0,(L34-C12)&gt;=0),SQRT((B12-B11)^2+(C12-C11)^2),IF((L34-C11)&gt;0,SQRT(((B11+((L34-C11)/((L34-C11)-(L34-C12)))*(B12-B11))-B11)^2+(L34-C11)^2),SQRT((B12-(B11+((L34-C11)/((L34-C11)-(L34-C12)))*(B12-B11)))^2+(L34-C12)^2)))))+(IF(AND((L34-C12)&lt;=0,(L34-C13)&lt;=0),0,IF(AND((L34-C12)&gt;=0,(L34-C13)&gt;=0),SQRT((B13-B12)^2+(C13-C12)^2),IF((L34-C12)&gt;0,SQRT(((B12+((L34-C12)/((L34-C12)-(L34-C13)))*(B13-B12))-B12)^2+(L34-C12)^2),SQRT((B13-(B12+((L34-C12)/((L34-C12)-(L34-C13)))*(B13-B12)))^2+(L34-C13)^2)))))+(IF(AND((L34-C13)&lt;=0,(L34-C14)&lt;=0),0,IF(AND((L34-C13)&gt;=0,(L34-C14)&gt;=0),SQRT((B14-B13)^2+(C14-C13)^2),IF((L34-C13)&gt;0,SQRT(((B13+((L34-C13)/((L34-C13)-(L34-C14)))*(B14-B13))-B13)^2+(L34-C13)^2),SQRT((B14-(B13+((L34-C13)/((L34-C13)-(L34-C14)))*(B14-B13)))^2+(L34-C14)^2)))))+(IF(AND((L34-C14)&lt;=0,(L34-C15)&lt;=0),0,IF(AND((L34-C14)&gt;=0,(L34-C15)&gt;=0),SQRT((B15-B14)^2+(C15-C14)^2),IF((L34-C14)&gt;0,SQRT(((B14+((L34-C14)/((L34-C14)-(L34-C15)))*(B15-B14))-B14)^2+(L34-C14)^2),SQRT((B15-(B14+((L34-C14)/((L34-C14)-(L34-C15)))*(B15-B14)))^2+(L34-C15)^2)))))+(IF(AND((L34-C15)&lt;=0,(L34-C16)&lt;=0),0,IF(AND((L34-C15)&gt;=0,(L34-C16)&gt;=0),SQRT((B16-B15)^2+(C16-C15)^2),IF((L34-C15)&gt;0,SQRT(((B15+((L34-C15)/((L34-C15)-(L34-C16)))*(B16-B15))-B15)^2+(L34-C15)^2),SQRT((B16-(B15+((L34-C15)/((L34-C15)-(L34-C16)))*(B16-B15)))^2+(L34-C16)^2)))))+(IF(AND((L34-C16)&lt;=0,(L34-C17)&lt;=0),0,IF(AND((L34-C16)&gt;=0,(L34-C17)&gt;=0),SQRT((B17-B16)^2+(C17-C16)^2),IF((L34-C16)&gt;0,SQRT(((B16+((L34-C16)/((L34-C16)-(L34-C17)))*(B17-B16))-B16)^2+(L34-C16)^2),SQRT((B17-(B16+((L34-C16)/((L34-C16)-(L34-C17)))*(B17-B16)))^2+(L34-C17)^2)))))</f>
        <v/>
      </c>
      <c r="O34">
        <f>IF(OR($B$6&lt;=0,M34&lt;=0,N34&lt;=0,$B$4&lt;=0),0,(1/$B$6)*M34*((M34/N34)^(2/3))*SQRT($B$4))</f>
        <v/>
      </c>
    </row>
    <row r="35">
      <c r="I35" t="n">
        <v>27</v>
      </c>
      <c r="J35">
        <f>IF(O34&lt;$B$5,L34,J34)</f>
        <v/>
      </c>
      <c r="K35">
        <f>IF(O34&lt;$B$5,K34,L34)</f>
        <v/>
      </c>
      <c r="L35">
        <f>(J35+K35)/2</f>
        <v/>
      </c>
      <c r="M35">
        <f>(IF(AND((L35-C9)&lt;=0,(L35-C10)&lt;=0),0,IF(AND((L35-C9)&gt;=0,(L35-C10)&gt;=0),0.5*((L35-C9)+(L35-C10))*ABS(B10-B9),IF((L35-C9)&gt;0,0.5*(L35-C9)*ABS((B9+((L35-C9)/((L35-C9)-(L35-C10)))*(B10-B9))-B9),0.5*(L35-C10)*ABS(B10-(B9+((L35-C9)/((L35-C9)-(L35-C10)))*(B10-B9)))))))+(IF(AND((L35-C10)&lt;=0,(L35-C11)&lt;=0),0,IF(AND((L35-C10)&gt;=0,(L35-C11)&gt;=0),0.5*((L35-C10)+(L35-C11))*ABS(B11-B10),IF((L35-C10)&gt;0,0.5*(L35-C10)*ABS((B10+((L35-C10)/((L35-C10)-(L35-C11)))*(B11-B10))-B10),0.5*(L35-C11)*ABS(B11-(B10+((L35-C10)/((L35-C10)-(L35-C11)))*(B11-B10)))))))+(IF(AND((L35-C11)&lt;=0,(L35-C12)&lt;=0),0,IF(AND((L35-C11)&gt;=0,(L35-C12)&gt;=0),0.5*((L35-C11)+(L35-C12))*ABS(B12-B11),IF((L35-C11)&gt;0,0.5*(L35-C11)*ABS((B11+((L35-C11)/((L35-C11)-(L35-C12)))*(B12-B11))-B11),0.5*(L35-C12)*ABS(B12-(B11+((L35-C11)/((L35-C11)-(L35-C12)))*(B12-B11)))))))+(IF(AND((L35-C12)&lt;=0,(L35-C13)&lt;=0),0,IF(AND((L35-C12)&gt;=0,(L35-C13)&gt;=0),0.5*((L35-C12)+(L35-C13))*ABS(B13-B12),IF((L35-C12)&gt;0,0.5*(L35-C12)*ABS((B12+((L35-C12)/((L35-C12)-(L35-C13)))*(B13-B12))-B12),0.5*(L35-C13)*ABS(B13-(B12+((L35-C12)/((L35-C12)-(L35-C13)))*(B13-B12)))))))+(IF(AND((L35-C13)&lt;=0,(L35-C14)&lt;=0),0,IF(AND((L35-C13)&gt;=0,(L35-C14)&gt;=0),0.5*((L35-C13)+(L35-C14))*ABS(B14-B13),IF((L35-C13)&gt;0,0.5*(L35-C13)*ABS((B13+((L35-C13)/((L35-C13)-(L35-C14)))*(B14-B13))-B13),0.5*(L35-C14)*ABS(B14-(B13+((L35-C13)/((L35-C13)-(L35-C14)))*(B14-B13)))))))+(IF(AND((L35-C14)&lt;=0,(L35-C15)&lt;=0),0,IF(AND((L35-C14)&gt;=0,(L35-C15)&gt;=0),0.5*((L35-C14)+(L35-C15))*ABS(B15-B14),IF((L35-C14)&gt;0,0.5*(L35-C14)*ABS((B14+((L35-C14)/((L35-C14)-(L35-C15)))*(B15-B14))-B14),0.5*(L35-C15)*ABS(B15-(B14+((L35-C14)/((L35-C14)-(L35-C15)))*(B15-B14)))))))+(IF(AND((L35-C15)&lt;=0,(L35-C16)&lt;=0),0,IF(AND((L35-C15)&gt;=0,(L35-C16)&gt;=0),0.5*((L35-C15)+(L35-C16))*ABS(B16-B15),IF((L35-C15)&gt;0,0.5*(L35-C15)*ABS((B15+((L35-C15)/((L35-C15)-(L35-C16)))*(B16-B15))-B15),0.5*(L35-C16)*ABS(B16-(B15+((L35-C15)/((L35-C15)-(L35-C16)))*(B16-B15)))))))+(IF(AND((L35-C16)&lt;=0,(L35-C17)&lt;=0),0,IF(AND((L35-C16)&gt;=0,(L35-C17)&gt;=0),0.5*((L35-C16)+(L35-C17))*ABS(B17-B16),IF((L35-C16)&gt;0,0.5*(L35-C16)*ABS((B16+((L35-C16)/((L35-C16)-(L35-C17)))*(B17-B16))-B16),0.5*(L35-C17)*ABS(B17-(B16+((L35-C16)/((L35-C16)-(L35-C17)))*(B17-B16)))))))</f>
        <v/>
      </c>
      <c r="N35">
        <f>(IF(AND((L35-C9)&lt;=0,(L35-C10)&lt;=0),0,IF(AND((L35-C9)&gt;=0,(L35-C10)&gt;=0),SQRT((B10-B9)^2+(C10-C9)^2),IF((L35-C9)&gt;0,SQRT(((B9+((L35-C9)/((L35-C9)-(L35-C10)))*(B10-B9))-B9)^2+(L35-C9)^2),SQRT((B10-(B9+((L35-C9)/((L35-C9)-(L35-C10)))*(B10-B9)))^2+(L35-C10)^2)))))+(IF(AND((L35-C10)&lt;=0,(L35-C11)&lt;=0),0,IF(AND((L35-C10)&gt;=0,(L35-C11)&gt;=0),SQRT((B11-B10)^2+(C11-C10)^2),IF((L35-C10)&gt;0,SQRT(((B10+((L35-C10)/((L35-C10)-(L35-C11)))*(B11-B10))-B10)^2+(L35-C10)^2),SQRT((B11-(B10+((L35-C10)/((L35-C10)-(L35-C11)))*(B11-B10)))^2+(L35-C11)^2)))))+(IF(AND((L35-C11)&lt;=0,(L35-C12)&lt;=0),0,IF(AND((L35-C11)&gt;=0,(L35-C12)&gt;=0),SQRT((B12-B11)^2+(C12-C11)^2),IF((L35-C11)&gt;0,SQRT(((B11+((L35-C11)/((L35-C11)-(L35-C12)))*(B12-B11))-B11)^2+(L35-C11)^2),SQRT((B12-(B11+((L35-C11)/((L35-C11)-(L35-C12)))*(B12-B11)))^2+(L35-C12)^2)))))+(IF(AND((L35-C12)&lt;=0,(L35-C13)&lt;=0),0,IF(AND((L35-C12)&gt;=0,(L35-C13)&gt;=0),SQRT((B13-B12)^2+(C13-C12)^2),IF((L35-C12)&gt;0,SQRT(((B12+((L35-C12)/((L35-C12)-(L35-C13)))*(B13-B12))-B12)^2+(L35-C12)^2),SQRT((B13-(B12+((L35-C12)/((L35-C12)-(L35-C13)))*(B13-B12)))^2+(L35-C13)^2)))))+(IF(AND((L35-C13)&lt;=0,(L35-C14)&lt;=0),0,IF(AND((L35-C13)&gt;=0,(L35-C14)&gt;=0),SQRT((B14-B13)^2+(C14-C13)^2),IF((L35-C13)&gt;0,SQRT(((B13+((L35-C13)/((L35-C13)-(L35-C14)))*(B14-B13))-B13)^2+(L35-C13)^2),SQRT((B14-(B13+((L35-C13)/((L35-C13)-(L35-C14)))*(B14-B13)))^2+(L35-C14)^2)))))+(IF(AND((L35-C14)&lt;=0,(L35-C15)&lt;=0),0,IF(AND((L35-C14)&gt;=0,(L35-C15)&gt;=0),SQRT((B15-B14)^2+(C15-C14)^2),IF((L35-C14)&gt;0,SQRT(((B14+((L35-C14)/((L35-C14)-(L35-C15)))*(B15-B14))-B14)^2+(L35-C14)^2),SQRT((B15-(B14+((L35-C14)/((L35-C14)-(L35-C15)))*(B15-B14)))^2+(L35-C15)^2)))))+(IF(AND((L35-C15)&lt;=0,(L35-C16)&lt;=0),0,IF(AND((L35-C15)&gt;=0,(L35-C16)&gt;=0),SQRT((B16-B15)^2+(C16-C15)^2),IF((L35-C15)&gt;0,SQRT(((B15+((L35-C15)/((L35-C15)-(L35-C16)))*(B16-B15))-B15)^2+(L35-C15)^2),SQRT((B16-(B15+((L35-C15)/((L35-C15)-(L35-C16)))*(B16-B15)))^2+(L35-C16)^2)))))+(IF(AND((L35-C16)&lt;=0,(L35-C17)&lt;=0),0,IF(AND((L35-C16)&gt;=0,(L35-C17)&gt;=0),SQRT((B17-B16)^2+(C17-C16)^2),IF((L35-C16)&gt;0,SQRT(((B16+((L35-C16)/((L35-C16)-(L35-C17)))*(B17-B16))-B16)^2+(L35-C16)^2),SQRT((B17-(B16+((L35-C16)/((L35-C16)-(L35-C17)))*(B17-B16)))^2+(L35-C17)^2)))))</f>
        <v/>
      </c>
      <c r="O35">
        <f>IF(OR($B$6&lt;=0,M35&lt;=0,N35&lt;=0,$B$4&lt;=0),0,(1/$B$6)*M35*((M35/N35)^(2/3))*SQRT($B$4))</f>
        <v/>
      </c>
    </row>
    <row r="36">
      <c r="I36" t="n">
        <v>28</v>
      </c>
      <c r="J36">
        <f>IF(O35&lt;$B$5,L35,J35)</f>
        <v/>
      </c>
      <c r="K36">
        <f>IF(O35&lt;$B$5,K35,L35)</f>
        <v/>
      </c>
      <c r="L36">
        <f>(J36+K36)/2</f>
        <v/>
      </c>
      <c r="M36">
        <f>(IF(AND((L36-C9)&lt;=0,(L36-C10)&lt;=0),0,IF(AND((L36-C9)&gt;=0,(L36-C10)&gt;=0),0.5*((L36-C9)+(L36-C10))*ABS(B10-B9),IF((L36-C9)&gt;0,0.5*(L36-C9)*ABS((B9+((L36-C9)/((L36-C9)-(L36-C10)))*(B10-B9))-B9),0.5*(L36-C10)*ABS(B10-(B9+((L36-C9)/((L36-C9)-(L36-C10)))*(B10-B9)))))))+(IF(AND((L36-C10)&lt;=0,(L36-C11)&lt;=0),0,IF(AND((L36-C10)&gt;=0,(L36-C11)&gt;=0),0.5*((L36-C10)+(L36-C11))*ABS(B11-B10),IF((L36-C10)&gt;0,0.5*(L36-C10)*ABS((B10+((L36-C10)/((L36-C10)-(L36-C11)))*(B11-B10))-B10),0.5*(L36-C11)*ABS(B11-(B10+((L36-C10)/((L36-C10)-(L36-C11)))*(B11-B10)))))))+(IF(AND((L36-C11)&lt;=0,(L36-C12)&lt;=0),0,IF(AND((L36-C11)&gt;=0,(L36-C12)&gt;=0),0.5*((L36-C11)+(L36-C12))*ABS(B12-B11),IF((L36-C11)&gt;0,0.5*(L36-C11)*ABS((B11+((L36-C11)/((L36-C11)-(L36-C12)))*(B12-B11))-B11),0.5*(L36-C12)*ABS(B12-(B11+((L36-C11)/((L36-C11)-(L36-C12)))*(B12-B11)))))))+(IF(AND((L36-C12)&lt;=0,(L36-C13)&lt;=0),0,IF(AND((L36-C12)&gt;=0,(L36-C13)&gt;=0),0.5*((L36-C12)+(L36-C13))*ABS(B13-B12),IF((L36-C12)&gt;0,0.5*(L36-C12)*ABS((B12+((L36-C12)/((L36-C12)-(L36-C13)))*(B13-B12))-B12),0.5*(L36-C13)*ABS(B13-(B12+((L36-C12)/((L36-C12)-(L36-C13)))*(B13-B12)))))))+(IF(AND((L36-C13)&lt;=0,(L36-C14)&lt;=0),0,IF(AND((L36-C13)&gt;=0,(L36-C14)&gt;=0),0.5*((L36-C13)+(L36-C14))*ABS(B14-B13),IF((L36-C13)&gt;0,0.5*(L36-C13)*ABS((B13+((L36-C13)/((L36-C13)-(L36-C14)))*(B14-B13))-B13),0.5*(L36-C14)*ABS(B14-(B13+((L36-C13)/((L36-C13)-(L36-C14)))*(B14-B13)))))))+(IF(AND((L36-C14)&lt;=0,(L36-C15)&lt;=0),0,IF(AND((L36-C14)&gt;=0,(L36-C15)&gt;=0),0.5*((L36-C14)+(L36-C15))*ABS(B15-B14),IF((L36-C14)&gt;0,0.5*(L36-C14)*ABS((B14+((L36-C14)/((L36-C14)-(L36-C15)))*(B15-B14))-B14),0.5*(L36-C15)*ABS(B15-(B14+((L36-C14)/((L36-C14)-(L36-C15)))*(B15-B14)))))))+(IF(AND((L36-C15)&lt;=0,(L36-C16)&lt;=0),0,IF(AND((L36-C15)&gt;=0,(L36-C16)&gt;=0),0.5*((L36-C15)+(L36-C16))*ABS(B16-B15),IF((L36-C15)&gt;0,0.5*(L36-C15)*ABS((B15+((L36-C15)/((L36-C15)-(L36-C16)))*(B16-B15))-B15),0.5*(L36-C16)*ABS(B16-(B15+((L36-C15)/((L36-C15)-(L36-C16)))*(B16-B15)))))))+(IF(AND((L36-C16)&lt;=0,(L36-C17)&lt;=0),0,IF(AND((L36-C16)&gt;=0,(L36-C17)&gt;=0),0.5*((L36-C16)+(L36-C17))*ABS(B17-B16),IF((L36-C16)&gt;0,0.5*(L36-C16)*ABS((B16+((L36-C16)/((L36-C16)-(L36-C17)))*(B17-B16))-B16),0.5*(L36-C17)*ABS(B17-(B16+((L36-C16)/((L36-C16)-(L36-C17)))*(B17-B16)))))))</f>
        <v/>
      </c>
      <c r="N36">
        <f>(IF(AND((L36-C9)&lt;=0,(L36-C10)&lt;=0),0,IF(AND((L36-C9)&gt;=0,(L36-C10)&gt;=0),SQRT((B10-B9)^2+(C10-C9)^2),IF((L36-C9)&gt;0,SQRT(((B9+((L36-C9)/((L36-C9)-(L36-C10)))*(B10-B9))-B9)^2+(L36-C9)^2),SQRT((B10-(B9+((L36-C9)/((L36-C9)-(L36-C10)))*(B10-B9)))^2+(L36-C10)^2)))))+(IF(AND((L36-C10)&lt;=0,(L36-C11)&lt;=0),0,IF(AND((L36-C10)&gt;=0,(L36-C11)&gt;=0),SQRT((B11-B10)^2+(C11-C10)^2),IF((L36-C10)&gt;0,SQRT(((B10+((L36-C10)/((L36-C10)-(L36-C11)))*(B11-B10))-B10)^2+(L36-C10)^2),SQRT((B11-(B10+((L36-C10)/((L36-C10)-(L36-C11)))*(B11-B10)))^2+(L36-C11)^2)))))+(IF(AND((L36-C11)&lt;=0,(L36-C12)&lt;=0),0,IF(AND((L36-C11)&gt;=0,(L36-C12)&gt;=0),SQRT((B12-B11)^2+(C12-C11)^2),IF((L36-C11)&gt;0,SQRT(((B11+((L36-C11)/((L36-C11)-(L36-C12)))*(B12-B11))-B11)^2+(L36-C11)^2),SQRT((B12-(B11+((L36-C11)/((L36-C11)-(L36-C12)))*(B12-B11)))^2+(L36-C12)^2)))))+(IF(AND((L36-C12)&lt;=0,(L36-C13)&lt;=0),0,IF(AND((L36-C12)&gt;=0,(L36-C13)&gt;=0),SQRT((B13-B12)^2+(C13-C12)^2),IF((L36-C12)&gt;0,SQRT(((B12+((L36-C12)/((L36-C12)-(L36-C13)))*(B13-B12))-B12)^2+(L36-C12)^2),SQRT((B13-(B12+((L36-C12)/((L36-C12)-(L36-C13)))*(B13-B12)))^2+(L36-C13)^2)))))+(IF(AND((L36-C13)&lt;=0,(L36-C14)&lt;=0),0,IF(AND((L36-C13)&gt;=0,(L36-C14)&gt;=0),SQRT((B14-B13)^2+(C14-C13)^2),IF((L36-C13)&gt;0,SQRT(((B13+((L36-C13)/((L36-C13)-(L36-C14)))*(B14-B13))-B13)^2+(L36-C13)^2),SQRT((B14-(B13+((L36-C13)/((L36-C13)-(L36-C14)))*(B14-B13)))^2+(L36-C14)^2)))))+(IF(AND((L36-C14)&lt;=0,(L36-C15)&lt;=0),0,IF(AND((L36-C14)&gt;=0,(L36-C15)&gt;=0),SQRT((B15-B14)^2+(C15-C14)^2),IF((L36-C14)&gt;0,SQRT(((B14+((L36-C14)/((L36-C14)-(L36-C15)))*(B15-B14))-B14)^2+(L36-C14)^2),SQRT((B15-(B14+((L36-C14)/((L36-C14)-(L36-C15)))*(B15-B14)))^2+(L36-C15)^2)))))+(IF(AND((L36-C15)&lt;=0,(L36-C16)&lt;=0),0,IF(AND((L36-C15)&gt;=0,(L36-C16)&gt;=0),SQRT((B16-B15)^2+(C16-C15)^2),IF((L36-C15)&gt;0,SQRT(((B15+((L36-C15)/((L36-C15)-(L36-C16)))*(B16-B15))-B15)^2+(L36-C15)^2),SQRT((B16-(B15+((L36-C15)/((L36-C15)-(L36-C16)))*(B16-B15)))^2+(L36-C16)^2)))))+(IF(AND((L36-C16)&lt;=0,(L36-C17)&lt;=0),0,IF(AND((L36-C16)&gt;=0,(L36-C17)&gt;=0),SQRT((B17-B16)^2+(C17-C16)^2),IF((L36-C16)&gt;0,SQRT(((B16+((L36-C16)/((L36-C16)-(L36-C17)))*(B17-B16))-B16)^2+(L36-C16)^2),SQRT((B17-(B16+((L36-C16)/((L36-C16)-(L36-C17)))*(B17-B16)))^2+(L36-C17)^2)))))</f>
        <v/>
      </c>
      <c r="O36">
        <f>IF(OR($B$6&lt;=0,M36&lt;=0,N36&lt;=0,$B$4&lt;=0),0,(1/$B$6)*M36*((M36/N36)^(2/3))*SQRT($B$4))</f>
        <v/>
      </c>
    </row>
    <row r="37">
      <c r="I37" t="n">
        <v>29</v>
      </c>
      <c r="J37">
        <f>IF(O36&lt;$B$5,L36,J36)</f>
        <v/>
      </c>
      <c r="K37">
        <f>IF(O36&lt;$B$5,K36,L36)</f>
        <v/>
      </c>
      <c r="L37">
        <f>(J37+K37)/2</f>
        <v/>
      </c>
      <c r="M37">
        <f>(IF(AND((L37-C9)&lt;=0,(L37-C10)&lt;=0),0,IF(AND((L37-C9)&gt;=0,(L37-C10)&gt;=0),0.5*((L37-C9)+(L37-C10))*ABS(B10-B9),IF((L37-C9)&gt;0,0.5*(L37-C9)*ABS((B9+((L37-C9)/((L37-C9)-(L37-C10)))*(B10-B9))-B9),0.5*(L37-C10)*ABS(B10-(B9+((L37-C9)/((L37-C9)-(L37-C10)))*(B10-B9)))))))+(IF(AND((L37-C10)&lt;=0,(L37-C11)&lt;=0),0,IF(AND((L37-C10)&gt;=0,(L37-C11)&gt;=0),0.5*((L37-C10)+(L37-C11))*ABS(B11-B10),IF((L37-C10)&gt;0,0.5*(L37-C10)*ABS((B10+((L37-C10)/((L37-C10)-(L37-C11)))*(B11-B10))-B10),0.5*(L37-C11)*ABS(B11-(B10+((L37-C10)/((L37-C10)-(L37-C11)))*(B11-B10)))))))+(IF(AND((L37-C11)&lt;=0,(L37-C12)&lt;=0),0,IF(AND((L37-C11)&gt;=0,(L37-C12)&gt;=0),0.5*((L37-C11)+(L37-C12))*ABS(B12-B11),IF((L37-C11)&gt;0,0.5*(L37-C11)*ABS((B11+((L37-C11)/((L37-C11)-(L37-C12)))*(B12-B11))-B11),0.5*(L37-C12)*ABS(B12-(B11+((L37-C11)/((L37-C11)-(L37-C12)))*(B12-B11)))))))+(IF(AND((L37-C12)&lt;=0,(L37-C13)&lt;=0),0,IF(AND((L37-C12)&gt;=0,(L37-C13)&gt;=0),0.5*((L37-C12)+(L37-C13))*ABS(B13-B12),IF((L37-C12)&gt;0,0.5*(L37-C12)*ABS((B12+((L37-C12)/((L37-C12)-(L37-C13)))*(B13-B12))-B12),0.5*(L37-C13)*ABS(B13-(B12+((L37-C12)/((L37-C12)-(L37-C13)))*(B13-B12)))))))+(IF(AND((L37-C13)&lt;=0,(L37-C14)&lt;=0),0,IF(AND((L37-C13)&gt;=0,(L37-C14)&gt;=0),0.5*((L37-C13)+(L37-C14))*ABS(B14-B13),IF((L37-C13)&gt;0,0.5*(L37-C13)*ABS((B13+((L37-C13)/((L37-C13)-(L37-C14)))*(B14-B13))-B13),0.5*(L37-C14)*ABS(B14-(B13+((L37-C13)/((L37-C13)-(L37-C14)))*(B14-B13)))))))+(IF(AND((L37-C14)&lt;=0,(L37-C15)&lt;=0),0,IF(AND((L37-C14)&gt;=0,(L37-C15)&gt;=0),0.5*((L37-C14)+(L37-C15))*ABS(B15-B14),IF((L37-C14)&gt;0,0.5*(L37-C14)*ABS((B14+((L37-C14)/((L37-C14)-(L37-C15)))*(B15-B14))-B14),0.5*(L37-C15)*ABS(B15-(B14+((L37-C14)/((L37-C14)-(L37-C15)))*(B15-B14)))))))+(IF(AND((L37-C15)&lt;=0,(L37-C16)&lt;=0),0,IF(AND((L37-C15)&gt;=0,(L37-C16)&gt;=0),0.5*((L37-C15)+(L37-C16))*ABS(B16-B15),IF((L37-C15)&gt;0,0.5*(L37-C15)*ABS((B15+((L37-C15)/((L37-C15)-(L37-C16)))*(B16-B15))-B15),0.5*(L37-C16)*ABS(B16-(B15+((L37-C15)/((L37-C15)-(L37-C16)))*(B16-B15)))))))+(IF(AND((L37-C16)&lt;=0,(L37-C17)&lt;=0),0,IF(AND((L37-C16)&gt;=0,(L37-C17)&gt;=0),0.5*((L37-C16)+(L37-C17))*ABS(B17-B16),IF((L37-C16)&gt;0,0.5*(L37-C16)*ABS((B16+((L37-C16)/((L37-C16)-(L37-C17)))*(B17-B16))-B16),0.5*(L37-C17)*ABS(B17-(B16+((L37-C16)/((L37-C16)-(L37-C17)))*(B17-B16)))))))</f>
        <v/>
      </c>
      <c r="N37">
        <f>(IF(AND((L37-C9)&lt;=0,(L37-C10)&lt;=0),0,IF(AND((L37-C9)&gt;=0,(L37-C10)&gt;=0),SQRT((B10-B9)^2+(C10-C9)^2),IF((L37-C9)&gt;0,SQRT(((B9+((L37-C9)/((L37-C9)-(L37-C10)))*(B10-B9))-B9)^2+(L37-C9)^2),SQRT((B10-(B9+((L37-C9)/((L37-C9)-(L37-C10)))*(B10-B9)))^2+(L37-C10)^2)))))+(IF(AND((L37-C10)&lt;=0,(L37-C11)&lt;=0),0,IF(AND((L37-C10)&gt;=0,(L37-C11)&gt;=0),SQRT((B11-B10)^2+(C11-C10)^2),IF((L37-C10)&gt;0,SQRT(((B10+((L37-C10)/((L37-C10)-(L37-C11)))*(B11-B10))-B10)^2+(L37-C10)^2),SQRT((B11-(B10+((L37-C10)/((L37-C10)-(L37-C11)))*(B11-B10)))^2+(L37-C11)^2)))))+(IF(AND((L37-C11)&lt;=0,(L37-C12)&lt;=0),0,IF(AND((L37-C11)&gt;=0,(L37-C12)&gt;=0),SQRT((B12-B11)^2+(C12-C11)^2),IF((L37-C11)&gt;0,SQRT(((B11+((L37-C11)/((L37-C11)-(L37-C12)))*(B12-B11))-B11)^2+(L37-C11)^2),SQRT((B12-(B11+((L37-C11)/((L37-C11)-(L37-C12)))*(B12-B11)))^2+(L37-C12)^2)))))+(IF(AND((L37-C12)&lt;=0,(L37-C13)&lt;=0),0,IF(AND((L37-C12)&gt;=0,(L37-C13)&gt;=0),SQRT((B13-B12)^2+(C13-C12)^2),IF((L37-C12)&gt;0,SQRT(((B12+((L37-C12)/((L37-C12)-(L37-C13)))*(B13-B12))-B12)^2+(L37-C12)^2),SQRT((B13-(B12+((L37-C12)/((L37-C12)-(L37-C13)))*(B13-B12)))^2+(L37-C13)^2)))))+(IF(AND((L37-C13)&lt;=0,(L37-C14)&lt;=0),0,IF(AND((L37-C13)&gt;=0,(L37-C14)&gt;=0),SQRT((B14-B13)^2+(C14-C13)^2),IF((L37-C13)&gt;0,SQRT(((B13+((L37-C13)/((L37-C13)-(L37-C14)))*(B14-B13))-B13)^2+(L37-C13)^2),SQRT((B14-(B13+((L37-C13)/((L37-C13)-(L37-C14)))*(B14-B13)))^2+(L37-C14)^2)))))+(IF(AND((L37-C14)&lt;=0,(L37-C15)&lt;=0),0,IF(AND((L37-C14)&gt;=0,(L37-C15)&gt;=0),SQRT((B15-B14)^2+(C15-C14)^2),IF((L37-C14)&gt;0,SQRT(((B14+((L37-C14)/((L37-C14)-(L37-C15)))*(B15-B14))-B14)^2+(L37-C14)^2),SQRT((B15-(B14+((L37-C14)/((L37-C14)-(L37-C15)))*(B15-B14)))^2+(L37-C15)^2)))))+(IF(AND((L37-C15)&lt;=0,(L37-C16)&lt;=0),0,IF(AND((L37-C15)&gt;=0,(L37-C16)&gt;=0),SQRT((B16-B15)^2+(C16-C15)^2),IF((L37-C15)&gt;0,SQRT(((B15+((L37-C15)/((L37-C15)-(L37-C16)))*(B16-B15))-B15)^2+(L37-C15)^2),SQRT((B16-(B15+((L37-C15)/((L37-C15)-(L37-C16)))*(B16-B15)))^2+(L37-C16)^2)))))+(IF(AND((L37-C16)&lt;=0,(L37-C17)&lt;=0),0,IF(AND((L37-C16)&gt;=0,(L37-C17)&gt;=0),SQRT((B17-B16)^2+(C17-C16)^2),IF((L37-C16)&gt;0,SQRT(((B16+((L37-C16)/((L37-C16)-(L37-C17)))*(B17-B16))-B16)^2+(L37-C16)^2),SQRT((B17-(B16+((L37-C16)/((L37-C16)-(L37-C17)))*(B17-B16)))^2+(L37-C17)^2)))))</f>
        <v/>
      </c>
      <c r="O37">
        <f>IF(OR($B$6&lt;=0,M37&lt;=0,N37&lt;=0,$B$4&lt;=0),0,(1/$B$6)*M37*((M37/N37)^(2/3))*SQRT($B$4))</f>
        <v/>
      </c>
    </row>
    <row r="38">
      <c r="I38" t="n">
        <v>30</v>
      </c>
      <c r="J38">
        <f>IF(O37&lt;$B$5,L37,J37)</f>
        <v/>
      </c>
      <c r="K38">
        <f>IF(O37&lt;$B$5,K37,L37)</f>
        <v/>
      </c>
      <c r="L38">
        <f>(J38+K38)/2</f>
        <v/>
      </c>
      <c r="M38">
        <f>(IF(AND((L38-C9)&lt;=0,(L38-C10)&lt;=0),0,IF(AND((L38-C9)&gt;=0,(L38-C10)&gt;=0),0.5*((L38-C9)+(L38-C10))*ABS(B10-B9),IF((L38-C9)&gt;0,0.5*(L38-C9)*ABS((B9+((L38-C9)/((L38-C9)-(L38-C10)))*(B10-B9))-B9),0.5*(L38-C10)*ABS(B10-(B9+((L38-C9)/((L38-C9)-(L38-C10)))*(B10-B9)))))))+(IF(AND((L38-C10)&lt;=0,(L38-C11)&lt;=0),0,IF(AND((L38-C10)&gt;=0,(L38-C11)&gt;=0),0.5*((L38-C10)+(L38-C11))*ABS(B11-B10),IF((L38-C10)&gt;0,0.5*(L38-C10)*ABS((B10+((L38-C10)/((L38-C10)-(L38-C11)))*(B11-B10))-B10),0.5*(L38-C11)*ABS(B11-(B10+((L38-C10)/((L38-C10)-(L38-C11)))*(B11-B10)))))))+(IF(AND((L38-C11)&lt;=0,(L38-C12)&lt;=0),0,IF(AND((L38-C11)&gt;=0,(L38-C12)&gt;=0),0.5*((L38-C11)+(L38-C12))*ABS(B12-B11),IF((L38-C11)&gt;0,0.5*(L38-C11)*ABS((B11+((L38-C11)/((L38-C11)-(L38-C12)))*(B12-B11))-B11),0.5*(L38-C12)*ABS(B12-(B11+((L38-C11)/((L38-C11)-(L38-C12)))*(B12-B11)))))))+(IF(AND((L38-C12)&lt;=0,(L38-C13)&lt;=0),0,IF(AND((L38-C12)&gt;=0,(L38-C13)&gt;=0),0.5*((L38-C12)+(L38-C13))*ABS(B13-B12),IF((L38-C12)&gt;0,0.5*(L38-C12)*ABS((B12+((L38-C12)/((L38-C12)-(L38-C13)))*(B13-B12))-B12),0.5*(L38-C13)*ABS(B13-(B12+((L38-C12)/((L38-C12)-(L38-C13)))*(B13-B12)))))))+(IF(AND((L38-C13)&lt;=0,(L38-C14)&lt;=0),0,IF(AND((L38-C13)&gt;=0,(L38-C14)&gt;=0),0.5*((L38-C13)+(L38-C14))*ABS(B14-B13),IF((L38-C13)&gt;0,0.5*(L38-C13)*ABS((B13+((L38-C13)/((L38-C13)-(L38-C14)))*(B14-B13))-B13),0.5*(L38-C14)*ABS(B14-(B13+((L38-C13)/((L38-C13)-(L38-C14)))*(B14-B13)))))))+(IF(AND((L38-C14)&lt;=0,(L38-C15)&lt;=0),0,IF(AND((L38-C14)&gt;=0,(L38-C15)&gt;=0),0.5*((L38-C14)+(L38-C15))*ABS(B15-B14),IF((L38-C14)&gt;0,0.5*(L38-C14)*ABS((B14+((L38-C14)/((L38-C14)-(L38-C15)))*(B15-B14))-B14),0.5*(L38-C15)*ABS(B15-(B14+((L38-C14)/((L38-C14)-(L38-C15)))*(B15-B14)))))))+(IF(AND((L38-C15)&lt;=0,(L38-C16)&lt;=0),0,IF(AND((L38-C15)&gt;=0,(L38-C16)&gt;=0),0.5*((L38-C15)+(L38-C16))*ABS(B16-B15),IF((L38-C15)&gt;0,0.5*(L38-C15)*ABS((B15+((L38-C15)/((L38-C15)-(L38-C16)))*(B16-B15))-B15),0.5*(L38-C16)*ABS(B16-(B15+((L38-C15)/((L38-C15)-(L38-C16)))*(B16-B15)))))))+(IF(AND((L38-C16)&lt;=0,(L38-C17)&lt;=0),0,IF(AND((L38-C16)&gt;=0,(L38-C17)&gt;=0),0.5*((L38-C16)+(L38-C17))*ABS(B17-B16),IF((L38-C16)&gt;0,0.5*(L38-C16)*ABS((B16+((L38-C16)/((L38-C16)-(L38-C17)))*(B17-B16))-B16),0.5*(L38-C17)*ABS(B17-(B16+((L38-C16)/((L38-C16)-(L38-C17)))*(B17-B16)))))))</f>
        <v/>
      </c>
      <c r="N38">
        <f>(IF(AND((L38-C9)&lt;=0,(L38-C10)&lt;=0),0,IF(AND((L38-C9)&gt;=0,(L38-C10)&gt;=0),SQRT((B10-B9)^2+(C10-C9)^2),IF((L38-C9)&gt;0,SQRT(((B9+((L38-C9)/((L38-C9)-(L38-C10)))*(B10-B9))-B9)^2+(L38-C9)^2),SQRT((B10-(B9+((L38-C9)/((L38-C9)-(L38-C10)))*(B10-B9)))^2+(L38-C10)^2)))))+(IF(AND((L38-C10)&lt;=0,(L38-C11)&lt;=0),0,IF(AND((L38-C10)&gt;=0,(L38-C11)&gt;=0),SQRT((B11-B10)^2+(C11-C10)^2),IF((L38-C10)&gt;0,SQRT(((B10+((L38-C10)/((L38-C10)-(L38-C11)))*(B11-B10))-B10)^2+(L38-C10)^2),SQRT((B11-(B10+((L38-C10)/((L38-C10)-(L38-C11)))*(B11-B10)))^2+(L38-C11)^2)))))+(IF(AND((L38-C11)&lt;=0,(L38-C12)&lt;=0),0,IF(AND((L38-C11)&gt;=0,(L38-C12)&gt;=0),SQRT((B12-B11)^2+(C12-C11)^2),IF((L38-C11)&gt;0,SQRT(((B11+((L38-C11)/((L38-C11)-(L38-C12)))*(B12-B11))-B11)^2+(L38-C11)^2),SQRT((B12-(B11+((L38-C11)/((L38-C11)-(L38-C12)))*(B12-B11)))^2+(L38-C12)^2)))))+(IF(AND((L38-C12)&lt;=0,(L38-C13)&lt;=0),0,IF(AND((L38-C12)&gt;=0,(L38-C13)&gt;=0),SQRT((B13-B12)^2+(C13-C12)^2),IF((L38-C12)&gt;0,SQRT(((B12+((L38-C12)/((L38-C12)-(L38-C13)))*(B13-B12))-B12)^2+(L38-C12)^2),SQRT((B13-(B12+((L38-C12)/((L38-C12)-(L38-C13)))*(B13-B12)))^2+(L38-C13)^2)))))+(IF(AND((L38-C13)&lt;=0,(L38-C14)&lt;=0),0,IF(AND((L38-C13)&gt;=0,(L38-C14)&gt;=0),SQRT((B14-B13)^2+(C14-C13)^2),IF((L38-C13)&gt;0,SQRT(((B13+((L38-C13)/((L38-C13)-(L38-C14)))*(B14-B13))-B13)^2+(L38-C13)^2),SQRT((B14-(B13+((L38-C13)/((L38-C13)-(L38-C14)))*(B14-B13)))^2+(L38-C14)^2)))))+(IF(AND((L38-C14)&lt;=0,(L38-C15)&lt;=0),0,IF(AND((L38-C14)&gt;=0,(L38-C15)&gt;=0),SQRT((B15-B14)^2+(C15-C14)^2),IF((L38-C14)&gt;0,SQRT(((B14+((L38-C14)/((L38-C14)-(L38-C15)))*(B15-B14))-B14)^2+(L38-C14)^2),SQRT((B15-(B14+((L38-C14)/((L38-C14)-(L38-C15)))*(B15-B14)))^2+(L38-C15)^2)))))+(IF(AND((L38-C15)&lt;=0,(L38-C16)&lt;=0),0,IF(AND((L38-C15)&gt;=0,(L38-C16)&gt;=0),SQRT((B16-B15)^2+(C16-C15)^2),IF((L38-C15)&gt;0,SQRT(((B15+((L38-C15)/((L38-C15)-(L38-C16)))*(B16-B15))-B15)^2+(L38-C15)^2),SQRT((B16-(B15+((L38-C15)/((L38-C15)-(L38-C16)))*(B16-B15)))^2+(L38-C16)^2)))))+(IF(AND((L38-C16)&lt;=0,(L38-C17)&lt;=0),0,IF(AND((L38-C16)&gt;=0,(L38-C17)&gt;=0),SQRT((B17-B16)^2+(C17-C16)^2),IF((L38-C16)&gt;0,SQRT(((B16+((L38-C16)/((L38-C16)-(L38-C17)))*(B17-B16))-B16)^2+(L38-C16)^2),SQRT((B17-(B16+((L38-C16)/((L38-C16)-(L38-C17)))*(B17-B16)))^2+(L38-C17)^2)))))</f>
        <v/>
      </c>
      <c r="O38">
        <f>IF(OR($B$6&lt;=0,M38&lt;=0,N38&lt;=0,$B$4&lt;=0),0,(1/$B$6)*M38*((M38/N38)^(2/3))*SQRT($B$4))</f>
        <v/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0" customWidth="1" min="4" max="4"/>
    <col width="12" customWidth="1" min="5" max="5"/>
    <col width="16" customWidth="1" min="6" max="6"/>
    <col width="16" customWidth="1" min="7" max="7"/>
    <col width="6" customWidth="1" min="9" max="9"/>
    <col width="11" customWidth="1" min="10" max="10"/>
    <col width="11" customWidth="1" min="11" max="11"/>
    <col width="14" customWidth="1" min="12" max="12"/>
    <col width="11" customWidth="1" min="13" max="13"/>
    <col width="11" customWidth="1" min="14" max="14"/>
    <col width="16" customWidth="1" min="15" max="15"/>
  </cols>
  <sheetData>
    <row r="1">
      <c r="A1" s="13" t="inlineStr">
        <is>
          <t>Section 7+000 — profondeur normale + aire (formules Excel)</t>
        </is>
      </c>
    </row>
    <row r="2">
      <c r="A2" t="inlineStr">
        <is>
          <t>WSE = yn (m)</t>
        </is>
      </c>
      <c r="B2" s="18">
        <f>L38</f>
        <v/>
      </c>
      <c r="C2" s="2" t="inlineStr">
        <is>
          <t>← calculé par dichotomie (colonne L) pour Q_manning = Q ; pas une saisie</t>
        </is>
      </c>
    </row>
    <row r="3">
      <c r="A3" t="inlineStr">
        <is>
          <t>Station cum. (m)</t>
        </is>
      </c>
      <c r="B3" t="n">
        <v>71.973</v>
      </c>
    </row>
    <row r="4">
      <c r="A4" t="inlineStr">
        <is>
          <t>S0 réel</t>
        </is>
      </c>
      <c r="B4" t="n">
        <v>0.01742</v>
      </c>
    </row>
    <row r="5">
      <c r="A5" t="inlineStr">
        <is>
          <t>Q (m³/s)</t>
        </is>
      </c>
      <c r="B5" s="14" t="n">
        <v>7.36</v>
      </c>
    </row>
    <row r="6">
      <c r="A6" t="inlineStr">
        <is>
          <t>n Manning</t>
        </is>
      </c>
      <c r="B6" s="14" t="n">
        <v>0.035</v>
      </c>
      <c r="I6" s="16" t="inlineStr">
        <is>
          <t>Dichotomie yn (formules) — ne pas éditer</t>
        </is>
      </c>
    </row>
    <row r="8">
      <c r="A8" s="4" t="inlineStr">
        <is>
          <t>#</t>
        </is>
      </c>
      <c r="B8" s="4" t="inlineStr">
        <is>
          <t>Distance x (m)</t>
        </is>
      </c>
      <c r="C8" s="4" t="inlineStr">
        <is>
          <t>Elev z (m)</t>
        </is>
      </c>
      <c r="D8" s="4" t="inlineStr">
        <is>
          <t>Desc</t>
        </is>
      </c>
      <c r="E8" s="4" t="inlineStr">
        <is>
          <t>d=WSE−z</t>
        </is>
      </c>
      <c r="F8" s="4" t="inlineStr">
        <is>
          <t>Ai segment (m²)</t>
        </is>
      </c>
      <c r="G8" s="4" t="inlineStr">
        <is>
          <t>Pi segment (m)</t>
        </is>
      </c>
      <c r="I8" s="4" t="inlineStr">
        <is>
          <t>iter</t>
        </is>
      </c>
      <c r="J8" s="4" t="inlineStr">
        <is>
          <t>lo</t>
        </is>
      </c>
      <c r="K8" s="4" t="inlineStr">
        <is>
          <t>hi</t>
        </is>
      </c>
      <c r="L8" s="4" t="inlineStr">
        <is>
          <t>mid=WSE essai</t>
        </is>
      </c>
      <c r="M8" s="4" t="inlineStr">
        <is>
          <t>A(mid)</t>
        </is>
      </c>
      <c r="N8" s="4" t="inlineStr">
        <is>
          <t>P(mid)</t>
        </is>
      </c>
      <c r="O8" s="4" t="inlineStr">
        <is>
          <t>Q_manning(mid)</t>
        </is>
      </c>
    </row>
    <row r="9">
      <c r="A9" s="5" t="n">
        <v>1</v>
      </c>
      <c r="B9" s="5" t="n">
        <v>0</v>
      </c>
      <c r="C9" s="5" t="n">
        <v>39.35</v>
      </c>
      <c r="D9" s="5" t="inlineStr">
        <is>
          <t>BOR</t>
        </is>
      </c>
      <c r="E9" s="5">
        <f>$B$2-C9</f>
        <v/>
      </c>
      <c r="F9" s="5">
        <f>IF(AND(($B$2-C9)&lt;=0,($B$2-C10)&lt;=0),0,IF(AND(($B$2-C9)&gt;=0,($B$2-C10)&gt;=0),0.5*(($B$2-C9)+($B$2-C10))*ABS(B10-B9),IF(($B$2-C9)&gt;0,0.5*($B$2-C9)*ABS((B9+(($B$2-C9)/(($B$2-C9)-($B$2-C10)))*(B10-B9))-B9),0.5*($B$2-C10)*ABS(B10-(B9+(($B$2-C9)/(($B$2-C9)-($B$2-C10)))*(B10-B9))))))</f>
        <v/>
      </c>
      <c r="G9" s="5">
        <f>IF(AND(($B$2-C9)&lt;=0,($B$2-C10)&lt;=0),0,IF(AND(($B$2-C9)&gt;=0,($B$2-C10)&gt;=0),SQRT((B10-B9)^2+(C10-C9)^2),IF(($B$2-C9)&gt;0,SQRT(((B9+(($B$2-C9)/(($B$2-C9)-($B$2-C10)))*(B10-B9))-B9)^2+($B$2-C9)^2),SQRT((B10-(B9+(($B$2-C9)/(($B$2-C9)-($B$2-C10)))*(B10-B9)))^2+($B$2-C10)^2))))</f>
        <v/>
      </c>
      <c r="I9" t="n">
        <v>1</v>
      </c>
      <c r="J9">
        <f>B18+0.0001</f>
        <v/>
      </c>
      <c r="K9">
        <f>MAX(C9:C14)-0.0001</f>
        <v/>
      </c>
      <c r="L9">
        <f>(J9+K9)/2</f>
        <v/>
      </c>
      <c r="M9">
        <f>(IF(AND((L9-C9)&lt;=0,(L9-C10)&lt;=0),0,IF(AND((L9-C9)&gt;=0,(L9-C10)&gt;=0),0.5*((L9-C9)+(L9-C10))*ABS(B10-B9),IF((L9-C9)&gt;0,0.5*(L9-C9)*ABS((B9+((L9-C9)/((L9-C9)-(L9-C10)))*(B10-B9))-B9),0.5*(L9-C10)*ABS(B10-(B9+((L9-C9)/((L9-C9)-(L9-C10)))*(B10-B9)))))))+(IF(AND((L9-C10)&lt;=0,(L9-C11)&lt;=0),0,IF(AND((L9-C10)&gt;=0,(L9-C11)&gt;=0),0.5*((L9-C10)+(L9-C11))*ABS(B11-B10),IF((L9-C10)&gt;0,0.5*(L9-C10)*ABS((B10+((L9-C10)/((L9-C10)-(L9-C11)))*(B11-B10))-B10),0.5*(L9-C11)*ABS(B11-(B10+((L9-C10)/((L9-C10)-(L9-C11)))*(B11-B10)))))))+(IF(AND((L9-C11)&lt;=0,(L9-C12)&lt;=0),0,IF(AND((L9-C11)&gt;=0,(L9-C12)&gt;=0),0.5*((L9-C11)+(L9-C12))*ABS(B12-B11),IF((L9-C11)&gt;0,0.5*(L9-C11)*ABS((B11+((L9-C11)/((L9-C11)-(L9-C12)))*(B12-B11))-B11),0.5*(L9-C12)*ABS(B12-(B11+((L9-C11)/((L9-C11)-(L9-C12)))*(B12-B11)))))))+(IF(AND((L9-C12)&lt;=0,(L9-C13)&lt;=0),0,IF(AND((L9-C12)&gt;=0,(L9-C13)&gt;=0),0.5*((L9-C12)+(L9-C13))*ABS(B13-B12),IF((L9-C12)&gt;0,0.5*(L9-C12)*ABS((B12+((L9-C12)/((L9-C12)-(L9-C13)))*(B13-B12))-B12),0.5*(L9-C13)*ABS(B13-(B12+((L9-C12)/((L9-C12)-(L9-C13)))*(B13-B12)))))))+(IF(AND((L9-C13)&lt;=0,(L9-C14)&lt;=0),0,IF(AND((L9-C13)&gt;=0,(L9-C14)&gt;=0),0.5*((L9-C13)+(L9-C14))*ABS(B14-B13),IF((L9-C13)&gt;0,0.5*(L9-C13)*ABS((B13+((L9-C13)/((L9-C13)-(L9-C14)))*(B14-B13))-B13),0.5*(L9-C14)*ABS(B14-(B13+((L9-C13)/((L9-C13)-(L9-C14)))*(B14-B13)))))))</f>
        <v/>
      </c>
      <c r="N9">
        <f>(IF(AND((L9-C9)&lt;=0,(L9-C10)&lt;=0),0,IF(AND((L9-C9)&gt;=0,(L9-C10)&gt;=0),SQRT((B10-B9)^2+(C10-C9)^2),IF((L9-C9)&gt;0,SQRT(((B9+((L9-C9)/((L9-C9)-(L9-C10)))*(B10-B9))-B9)^2+(L9-C9)^2),SQRT((B10-(B9+((L9-C9)/((L9-C9)-(L9-C10)))*(B10-B9)))^2+(L9-C10)^2)))))+(IF(AND((L9-C10)&lt;=0,(L9-C11)&lt;=0),0,IF(AND((L9-C10)&gt;=0,(L9-C11)&gt;=0),SQRT((B11-B10)^2+(C11-C10)^2),IF((L9-C10)&gt;0,SQRT(((B10+((L9-C10)/((L9-C10)-(L9-C11)))*(B11-B10))-B10)^2+(L9-C10)^2),SQRT((B11-(B10+((L9-C10)/((L9-C10)-(L9-C11)))*(B11-B10)))^2+(L9-C11)^2)))))+(IF(AND((L9-C11)&lt;=0,(L9-C12)&lt;=0),0,IF(AND((L9-C11)&gt;=0,(L9-C12)&gt;=0),SQRT((B12-B11)^2+(C12-C11)^2),IF((L9-C11)&gt;0,SQRT(((B11+((L9-C11)/((L9-C11)-(L9-C12)))*(B12-B11))-B11)^2+(L9-C11)^2),SQRT((B12-(B11+((L9-C11)/((L9-C11)-(L9-C12)))*(B12-B11)))^2+(L9-C12)^2)))))+(IF(AND((L9-C12)&lt;=0,(L9-C13)&lt;=0),0,IF(AND((L9-C12)&gt;=0,(L9-C13)&gt;=0),SQRT((B13-B12)^2+(C13-C12)^2),IF((L9-C12)&gt;0,SQRT(((B12+((L9-C12)/((L9-C12)-(L9-C13)))*(B13-B12))-B12)^2+(L9-C12)^2),SQRT((B13-(B12+((L9-C12)/((L9-C12)-(L9-C13)))*(B13-B12)))^2+(L9-C13)^2)))))+(IF(AND((L9-C13)&lt;=0,(L9-C14)&lt;=0),0,IF(AND((L9-C13)&gt;=0,(L9-C14)&gt;=0),SQRT((B14-B13)^2+(C14-C13)^2),IF((L9-C13)&gt;0,SQRT(((B13+((L9-C13)/((L9-C13)-(L9-C14)))*(B14-B13))-B13)^2+(L9-C13)^2),SQRT((B14-(B13+((L9-C13)/((L9-C13)-(L9-C14)))*(B14-B13)))^2+(L9-C14)^2)))))</f>
        <v/>
      </c>
      <c r="O9">
        <f>IF(OR($B$6&lt;=0,M9&lt;=0,N9&lt;=0,$B$4&lt;=0),0,(1/$B$6)*M9*((M9/N9)^(2/3))*SQRT($B$4))</f>
        <v/>
      </c>
    </row>
    <row r="10">
      <c r="A10" s="5" t="n">
        <v>2</v>
      </c>
      <c r="B10" s="5" t="n">
        <v>15.84</v>
      </c>
      <c r="C10" s="5" t="n">
        <v>34.48</v>
      </c>
      <c r="D10" s="5" t="inlineStr">
        <is>
          <t>TN</t>
        </is>
      </c>
      <c r="E10" s="5">
        <f>$B$2-C10</f>
        <v/>
      </c>
      <c r="F10" s="5">
        <f>IF(AND(($B$2-C10)&lt;=0,($B$2-C11)&lt;=0),0,IF(AND(($B$2-C10)&gt;=0,($B$2-C11)&gt;=0),0.5*(($B$2-C10)+($B$2-C11))*ABS(B11-B10),IF(($B$2-C10)&gt;0,0.5*($B$2-C10)*ABS((B10+(($B$2-C10)/(($B$2-C10)-($B$2-C11)))*(B11-B10))-B10),0.5*($B$2-C11)*ABS(B11-(B10+(($B$2-C10)/(($B$2-C10)-($B$2-C11)))*(B11-B10))))))</f>
        <v/>
      </c>
      <c r="G10" s="5">
        <f>IF(AND(($B$2-C10)&lt;=0,($B$2-C11)&lt;=0),0,IF(AND(($B$2-C10)&gt;=0,($B$2-C11)&gt;=0),SQRT((B11-B10)^2+(C11-C10)^2),IF(($B$2-C10)&gt;0,SQRT(((B10+(($B$2-C10)/(($B$2-C10)-($B$2-C11)))*(B11-B10))-B10)^2+($B$2-C10)^2),SQRT((B11-(B10+(($B$2-C10)/(($B$2-C10)-($B$2-C11)))*(B11-B10)))^2+($B$2-C11)^2))))</f>
        <v/>
      </c>
      <c r="I10" t="n">
        <v>2</v>
      </c>
      <c r="J10">
        <f>IF(O9&lt;$B$5,L9,J9)</f>
        <v/>
      </c>
      <c r="K10">
        <f>IF(O9&lt;$B$5,K9,L9)</f>
        <v/>
      </c>
      <c r="L10">
        <f>(J10+K10)/2</f>
        <v/>
      </c>
      <c r="M10">
        <f>(IF(AND((L10-C9)&lt;=0,(L10-C10)&lt;=0),0,IF(AND((L10-C9)&gt;=0,(L10-C10)&gt;=0),0.5*((L10-C9)+(L10-C10))*ABS(B10-B9),IF((L10-C9)&gt;0,0.5*(L10-C9)*ABS((B9+((L10-C9)/((L10-C9)-(L10-C10)))*(B10-B9))-B9),0.5*(L10-C10)*ABS(B10-(B9+((L10-C9)/((L10-C9)-(L10-C10)))*(B10-B9)))))))+(IF(AND((L10-C10)&lt;=0,(L10-C11)&lt;=0),0,IF(AND((L10-C10)&gt;=0,(L10-C11)&gt;=0),0.5*((L10-C10)+(L10-C11))*ABS(B11-B10),IF((L10-C10)&gt;0,0.5*(L10-C10)*ABS((B10+((L10-C10)/((L10-C10)-(L10-C11)))*(B11-B10))-B10),0.5*(L10-C11)*ABS(B11-(B10+((L10-C10)/((L10-C10)-(L10-C11)))*(B11-B10)))))))+(IF(AND((L10-C11)&lt;=0,(L10-C12)&lt;=0),0,IF(AND((L10-C11)&gt;=0,(L10-C12)&gt;=0),0.5*((L10-C11)+(L10-C12))*ABS(B12-B11),IF((L10-C11)&gt;0,0.5*(L10-C11)*ABS((B11+((L10-C11)/((L10-C11)-(L10-C12)))*(B12-B11))-B11),0.5*(L10-C12)*ABS(B12-(B11+((L10-C11)/((L10-C11)-(L10-C12)))*(B12-B11)))))))+(IF(AND((L10-C12)&lt;=0,(L10-C13)&lt;=0),0,IF(AND((L10-C12)&gt;=0,(L10-C13)&gt;=0),0.5*((L10-C12)+(L10-C13))*ABS(B13-B12),IF((L10-C12)&gt;0,0.5*(L10-C12)*ABS((B12+((L10-C12)/((L10-C12)-(L10-C13)))*(B13-B12))-B12),0.5*(L10-C13)*ABS(B13-(B12+((L10-C12)/((L10-C12)-(L10-C13)))*(B13-B12)))))))+(IF(AND((L10-C13)&lt;=0,(L10-C14)&lt;=0),0,IF(AND((L10-C13)&gt;=0,(L10-C14)&gt;=0),0.5*((L10-C13)+(L10-C14))*ABS(B14-B13),IF((L10-C13)&gt;0,0.5*(L10-C13)*ABS((B13+((L10-C13)/((L10-C13)-(L10-C14)))*(B14-B13))-B13),0.5*(L10-C14)*ABS(B14-(B13+((L10-C13)/((L10-C13)-(L10-C14)))*(B14-B13)))))))</f>
        <v/>
      </c>
      <c r="N10">
        <f>(IF(AND((L10-C9)&lt;=0,(L10-C10)&lt;=0),0,IF(AND((L10-C9)&gt;=0,(L10-C10)&gt;=0),SQRT((B10-B9)^2+(C10-C9)^2),IF((L10-C9)&gt;0,SQRT(((B9+((L10-C9)/((L10-C9)-(L10-C10)))*(B10-B9))-B9)^2+(L10-C9)^2),SQRT((B10-(B9+((L10-C9)/((L10-C9)-(L10-C10)))*(B10-B9)))^2+(L10-C10)^2)))))+(IF(AND((L10-C10)&lt;=0,(L10-C11)&lt;=0),0,IF(AND((L10-C10)&gt;=0,(L10-C11)&gt;=0),SQRT((B11-B10)^2+(C11-C10)^2),IF((L10-C10)&gt;0,SQRT(((B10+((L10-C10)/((L10-C10)-(L10-C11)))*(B11-B10))-B10)^2+(L10-C10)^2),SQRT((B11-(B10+((L10-C10)/((L10-C10)-(L10-C11)))*(B11-B10)))^2+(L10-C11)^2)))))+(IF(AND((L10-C11)&lt;=0,(L10-C12)&lt;=0),0,IF(AND((L10-C11)&gt;=0,(L10-C12)&gt;=0),SQRT((B12-B11)^2+(C12-C11)^2),IF((L10-C11)&gt;0,SQRT(((B11+((L10-C11)/((L10-C11)-(L10-C12)))*(B12-B11))-B11)^2+(L10-C11)^2),SQRT((B12-(B11+((L10-C11)/((L10-C11)-(L10-C12)))*(B12-B11)))^2+(L10-C12)^2)))))+(IF(AND((L10-C12)&lt;=0,(L10-C13)&lt;=0),0,IF(AND((L10-C12)&gt;=0,(L10-C13)&gt;=0),SQRT((B13-B12)^2+(C13-C12)^2),IF((L10-C12)&gt;0,SQRT(((B12+((L10-C12)/((L10-C12)-(L10-C13)))*(B13-B12))-B12)^2+(L10-C12)^2),SQRT((B13-(B12+((L10-C12)/((L10-C12)-(L10-C13)))*(B13-B12)))^2+(L10-C13)^2)))))+(IF(AND((L10-C13)&lt;=0,(L10-C14)&lt;=0),0,IF(AND((L10-C13)&gt;=0,(L10-C14)&gt;=0),SQRT((B14-B13)^2+(C14-C13)^2),IF((L10-C13)&gt;0,SQRT(((B13+((L10-C13)/((L10-C13)-(L10-C14)))*(B14-B13))-B13)^2+(L10-C13)^2),SQRT((B14-(B13+((L10-C13)/((L10-C13)-(L10-C14)))*(B14-B13)))^2+(L10-C14)^2)))))</f>
        <v/>
      </c>
      <c r="O10">
        <f>IF(OR($B$6&lt;=0,M10&lt;=0,N10&lt;=0,$B$4&lt;=0),0,(1/$B$6)*M10*((M10/N10)^(2/3))*SQRT($B$4))</f>
        <v/>
      </c>
    </row>
    <row r="11">
      <c r="A11" s="5" t="n">
        <v>3</v>
      </c>
      <c r="B11" s="5" t="n">
        <v>23.05</v>
      </c>
      <c r="C11" s="5" t="n">
        <v>34.3</v>
      </c>
      <c r="D11" s="5" t="inlineStr">
        <is>
          <t>TN</t>
        </is>
      </c>
      <c r="E11" s="5">
        <f>$B$2-C11</f>
        <v/>
      </c>
      <c r="F11" s="5">
        <f>IF(AND(($B$2-C11)&lt;=0,($B$2-C12)&lt;=0),0,IF(AND(($B$2-C11)&gt;=0,($B$2-C12)&gt;=0),0.5*(($B$2-C11)+($B$2-C12))*ABS(B12-B11),IF(($B$2-C11)&gt;0,0.5*($B$2-C11)*ABS((B11+(($B$2-C11)/(($B$2-C11)-($B$2-C12)))*(B12-B11))-B11),0.5*($B$2-C12)*ABS(B12-(B11+(($B$2-C11)/(($B$2-C11)-($B$2-C12)))*(B12-B11))))))</f>
        <v/>
      </c>
      <c r="G11" s="5">
        <f>IF(AND(($B$2-C11)&lt;=0,($B$2-C12)&lt;=0),0,IF(AND(($B$2-C11)&gt;=0,($B$2-C12)&gt;=0),SQRT((B12-B11)^2+(C12-C11)^2),IF(($B$2-C11)&gt;0,SQRT(((B11+(($B$2-C11)/(($B$2-C11)-($B$2-C12)))*(B12-B11))-B11)^2+($B$2-C11)^2),SQRT((B12-(B11+(($B$2-C11)/(($B$2-C11)-($B$2-C12)))*(B12-B11)))^2+($B$2-C12)^2))))</f>
        <v/>
      </c>
      <c r="I11" t="n">
        <v>3</v>
      </c>
      <c r="J11">
        <f>IF(O10&lt;$B$5,L10,J10)</f>
        <v/>
      </c>
      <c r="K11">
        <f>IF(O10&lt;$B$5,K10,L10)</f>
        <v/>
      </c>
      <c r="L11">
        <f>(J11+K11)/2</f>
        <v/>
      </c>
      <c r="M11">
        <f>(IF(AND((L11-C9)&lt;=0,(L11-C10)&lt;=0),0,IF(AND((L11-C9)&gt;=0,(L11-C10)&gt;=0),0.5*((L11-C9)+(L11-C10))*ABS(B10-B9),IF((L11-C9)&gt;0,0.5*(L11-C9)*ABS((B9+((L11-C9)/((L11-C9)-(L11-C10)))*(B10-B9))-B9),0.5*(L11-C10)*ABS(B10-(B9+((L11-C9)/((L11-C9)-(L11-C10)))*(B10-B9)))))))+(IF(AND((L11-C10)&lt;=0,(L11-C11)&lt;=0),0,IF(AND((L11-C10)&gt;=0,(L11-C11)&gt;=0),0.5*((L11-C10)+(L11-C11))*ABS(B11-B10),IF((L11-C10)&gt;0,0.5*(L11-C10)*ABS((B10+((L11-C10)/((L11-C10)-(L11-C11)))*(B11-B10))-B10),0.5*(L11-C11)*ABS(B11-(B10+((L11-C10)/((L11-C10)-(L11-C11)))*(B11-B10)))))))+(IF(AND((L11-C11)&lt;=0,(L11-C12)&lt;=0),0,IF(AND((L11-C11)&gt;=0,(L11-C12)&gt;=0),0.5*((L11-C11)+(L11-C12))*ABS(B12-B11),IF((L11-C11)&gt;0,0.5*(L11-C11)*ABS((B11+((L11-C11)/((L11-C11)-(L11-C12)))*(B12-B11))-B11),0.5*(L11-C12)*ABS(B12-(B11+((L11-C11)/((L11-C11)-(L11-C12)))*(B12-B11)))))))+(IF(AND((L11-C12)&lt;=0,(L11-C13)&lt;=0),0,IF(AND((L11-C12)&gt;=0,(L11-C13)&gt;=0),0.5*((L11-C12)+(L11-C13))*ABS(B13-B12),IF((L11-C12)&gt;0,0.5*(L11-C12)*ABS((B12+((L11-C12)/((L11-C12)-(L11-C13)))*(B13-B12))-B12),0.5*(L11-C13)*ABS(B13-(B12+((L11-C12)/((L11-C12)-(L11-C13)))*(B13-B12)))))))+(IF(AND((L11-C13)&lt;=0,(L11-C14)&lt;=0),0,IF(AND((L11-C13)&gt;=0,(L11-C14)&gt;=0),0.5*((L11-C13)+(L11-C14))*ABS(B14-B13),IF((L11-C13)&gt;0,0.5*(L11-C13)*ABS((B13+((L11-C13)/((L11-C13)-(L11-C14)))*(B14-B13))-B13),0.5*(L11-C14)*ABS(B14-(B13+((L11-C13)/((L11-C13)-(L11-C14)))*(B14-B13)))))))</f>
        <v/>
      </c>
      <c r="N11">
        <f>(IF(AND((L11-C9)&lt;=0,(L11-C10)&lt;=0),0,IF(AND((L11-C9)&gt;=0,(L11-C10)&gt;=0),SQRT((B10-B9)^2+(C10-C9)^2),IF((L11-C9)&gt;0,SQRT(((B9+((L11-C9)/((L11-C9)-(L11-C10)))*(B10-B9))-B9)^2+(L11-C9)^2),SQRT((B10-(B9+((L11-C9)/((L11-C9)-(L11-C10)))*(B10-B9)))^2+(L11-C10)^2)))))+(IF(AND((L11-C10)&lt;=0,(L11-C11)&lt;=0),0,IF(AND((L11-C10)&gt;=0,(L11-C11)&gt;=0),SQRT((B11-B10)^2+(C11-C10)^2),IF((L11-C10)&gt;0,SQRT(((B10+((L11-C10)/((L11-C10)-(L11-C11)))*(B11-B10))-B10)^2+(L11-C10)^2),SQRT((B11-(B10+((L11-C10)/((L11-C10)-(L11-C11)))*(B11-B10)))^2+(L11-C11)^2)))))+(IF(AND((L11-C11)&lt;=0,(L11-C12)&lt;=0),0,IF(AND((L11-C11)&gt;=0,(L11-C12)&gt;=0),SQRT((B12-B11)^2+(C12-C11)^2),IF((L11-C11)&gt;0,SQRT(((B11+((L11-C11)/((L11-C11)-(L11-C12)))*(B12-B11))-B11)^2+(L11-C11)^2),SQRT((B12-(B11+((L11-C11)/((L11-C11)-(L11-C12)))*(B12-B11)))^2+(L11-C12)^2)))))+(IF(AND((L11-C12)&lt;=0,(L11-C13)&lt;=0),0,IF(AND((L11-C12)&gt;=0,(L11-C13)&gt;=0),SQRT((B13-B12)^2+(C13-C12)^2),IF((L11-C12)&gt;0,SQRT(((B12+((L11-C12)/((L11-C12)-(L11-C13)))*(B13-B12))-B12)^2+(L11-C12)^2),SQRT((B13-(B12+((L11-C12)/((L11-C12)-(L11-C13)))*(B13-B12)))^2+(L11-C13)^2)))))+(IF(AND((L11-C13)&lt;=0,(L11-C14)&lt;=0),0,IF(AND((L11-C13)&gt;=0,(L11-C14)&gt;=0),SQRT((B14-B13)^2+(C14-C13)^2),IF((L11-C13)&gt;0,SQRT(((B13+((L11-C13)/((L11-C13)-(L11-C14)))*(B14-B13))-B13)^2+(L11-C13)^2),SQRT((B14-(B13+((L11-C13)/((L11-C13)-(L11-C14)))*(B14-B13)))^2+(L11-C14)^2)))))</f>
        <v/>
      </c>
      <c r="O11">
        <f>IF(OR($B$6&lt;=0,M11&lt;=0,N11&lt;=0,$B$4&lt;=0),0,(1/$B$6)*M11*((M11/N11)^(2/3))*SQRT($B$4))</f>
        <v/>
      </c>
    </row>
    <row r="12">
      <c r="A12" s="5" t="n">
        <v>4</v>
      </c>
      <c r="B12" s="5" t="n">
        <v>33.59</v>
      </c>
      <c r="C12" s="5" t="n">
        <v>34.056</v>
      </c>
      <c r="D12" s="5" t="inlineStr">
        <is>
          <t>FOND</t>
        </is>
      </c>
      <c r="E12" s="5">
        <f>$B$2-C12</f>
        <v/>
      </c>
      <c r="F12" s="5">
        <f>IF(AND(($B$2-C12)&lt;=0,($B$2-C13)&lt;=0),0,IF(AND(($B$2-C12)&gt;=0,($B$2-C13)&gt;=0),0.5*(($B$2-C12)+($B$2-C13))*ABS(B13-B12),IF(($B$2-C12)&gt;0,0.5*($B$2-C12)*ABS((B12+(($B$2-C12)/(($B$2-C12)-($B$2-C13)))*(B13-B12))-B12),0.5*($B$2-C13)*ABS(B13-(B12+(($B$2-C12)/(($B$2-C12)-($B$2-C13)))*(B13-B12))))))</f>
        <v/>
      </c>
      <c r="G12" s="5">
        <f>IF(AND(($B$2-C12)&lt;=0,($B$2-C13)&lt;=0),0,IF(AND(($B$2-C12)&gt;=0,($B$2-C13)&gt;=0),SQRT((B13-B12)^2+(C13-C12)^2),IF(($B$2-C12)&gt;0,SQRT(((B12+(($B$2-C12)/(($B$2-C12)-($B$2-C13)))*(B13-B12))-B12)^2+($B$2-C12)^2),SQRT((B13-(B12+(($B$2-C12)/(($B$2-C12)-($B$2-C13)))*(B13-B12)))^2+($B$2-C13)^2))))</f>
        <v/>
      </c>
      <c r="I12" t="n">
        <v>4</v>
      </c>
      <c r="J12">
        <f>IF(O11&lt;$B$5,L11,J11)</f>
        <v/>
      </c>
      <c r="K12">
        <f>IF(O11&lt;$B$5,K11,L11)</f>
        <v/>
      </c>
      <c r="L12">
        <f>(J12+K12)/2</f>
        <v/>
      </c>
      <c r="M12">
        <f>(IF(AND((L12-C9)&lt;=0,(L12-C10)&lt;=0),0,IF(AND((L12-C9)&gt;=0,(L12-C10)&gt;=0),0.5*((L12-C9)+(L12-C10))*ABS(B10-B9),IF((L12-C9)&gt;0,0.5*(L12-C9)*ABS((B9+((L12-C9)/((L12-C9)-(L12-C10)))*(B10-B9))-B9),0.5*(L12-C10)*ABS(B10-(B9+((L12-C9)/((L12-C9)-(L12-C10)))*(B10-B9)))))))+(IF(AND((L12-C10)&lt;=0,(L12-C11)&lt;=0),0,IF(AND((L12-C10)&gt;=0,(L12-C11)&gt;=0),0.5*((L12-C10)+(L12-C11))*ABS(B11-B10),IF((L12-C10)&gt;0,0.5*(L12-C10)*ABS((B10+((L12-C10)/((L12-C10)-(L12-C11)))*(B11-B10))-B10),0.5*(L12-C11)*ABS(B11-(B10+((L12-C10)/((L12-C10)-(L12-C11)))*(B11-B10)))))))+(IF(AND((L12-C11)&lt;=0,(L12-C12)&lt;=0),0,IF(AND((L12-C11)&gt;=0,(L12-C12)&gt;=0),0.5*((L12-C11)+(L12-C12))*ABS(B12-B11),IF((L12-C11)&gt;0,0.5*(L12-C11)*ABS((B11+((L12-C11)/((L12-C11)-(L12-C12)))*(B12-B11))-B11),0.5*(L12-C12)*ABS(B12-(B11+((L12-C11)/((L12-C11)-(L12-C12)))*(B12-B11)))))))+(IF(AND((L12-C12)&lt;=0,(L12-C13)&lt;=0),0,IF(AND((L12-C12)&gt;=0,(L12-C13)&gt;=0),0.5*((L12-C12)+(L12-C13))*ABS(B13-B12),IF((L12-C12)&gt;0,0.5*(L12-C12)*ABS((B12+((L12-C12)/((L12-C12)-(L12-C13)))*(B13-B12))-B12),0.5*(L12-C13)*ABS(B13-(B12+((L12-C12)/((L12-C12)-(L12-C13)))*(B13-B12)))))))+(IF(AND((L12-C13)&lt;=0,(L12-C14)&lt;=0),0,IF(AND((L12-C13)&gt;=0,(L12-C14)&gt;=0),0.5*((L12-C13)+(L12-C14))*ABS(B14-B13),IF((L12-C13)&gt;0,0.5*(L12-C13)*ABS((B13+((L12-C13)/((L12-C13)-(L12-C14)))*(B14-B13))-B13),0.5*(L12-C14)*ABS(B14-(B13+((L12-C13)/((L12-C13)-(L12-C14)))*(B14-B13)))))))</f>
        <v/>
      </c>
      <c r="N12">
        <f>(IF(AND((L12-C9)&lt;=0,(L12-C10)&lt;=0),0,IF(AND((L12-C9)&gt;=0,(L12-C10)&gt;=0),SQRT((B10-B9)^2+(C10-C9)^2),IF((L12-C9)&gt;0,SQRT(((B9+((L12-C9)/((L12-C9)-(L12-C10)))*(B10-B9))-B9)^2+(L12-C9)^2),SQRT((B10-(B9+((L12-C9)/((L12-C9)-(L12-C10)))*(B10-B9)))^2+(L12-C10)^2)))))+(IF(AND((L12-C10)&lt;=0,(L12-C11)&lt;=0),0,IF(AND((L12-C10)&gt;=0,(L12-C11)&gt;=0),SQRT((B11-B10)^2+(C11-C10)^2),IF((L12-C10)&gt;0,SQRT(((B10+((L12-C10)/((L12-C10)-(L12-C11)))*(B11-B10))-B10)^2+(L12-C10)^2),SQRT((B11-(B10+((L12-C10)/((L12-C10)-(L12-C11)))*(B11-B10)))^2+(L12-C11)^2)))))+(IF(AND((L12-C11)&lt;=0,(L12-C12)&lt;=0),0,IF(AND((L12-C11)&gt;=0,(L12-C12)&gt;=0),SQRT((B12-B11)^2+(C12-C11)^2),IF((L12-C11)&gt;0,SQRT(((B11+((L12-C11)/((L12-C11)-(L12-C12)))*(B12-B11))-B11)^2+(L12-C11)^2),SQRT((B12-(B11+((L12-C11)/((L12-C11)-(L12-C12)))*(B12-B11)))^2+(L12-C12)^2)))))+(IF(AND((L12-C12)&lt;=0,(L12-C13)&lt;=0),0,IF(AND((L12-C12)&gt;=0,(L12-C13)&gt;=0),SQRT((B13-B12)^2+(C13-C12)^2),IF((L12-C12)&gt;0,SQRT(((B12+((L12-C12)/((L12-C12)-(L12-C13)))*(B13-B12))-B12)^2+(L12-C12)^2),SQRT((B13-(B12+((L12-C12)/((L12-C12)-(L12-C13)))*(B13-B12)))^2+(L12-C13)^2)))))+(IF(AND((L12-C13)&lt;=0,(L12-C14)&lt;=0),0,IF(AND((L12-C13)&gt;=0,(L12-C14)&gt;=0),SQRT((B14-B13)^2+(C14-C13)^2),IF((L12-C13)&gt;0,SQRT(((B13+((L12-C13)/((L12-C13)-(L12-C14)))*(B14-B13))-B13)^2+(L12-C13)^2),SQRT((B14-(B13+((L12-C13)/((L12-C13)-(L12-C14)))*(B14-B13)))^2+(L12-C14)^2)))))</f>
        <v/>
      </c>
      <c r="O12">
        <f>IF(OR($B$6&lt;=0,M12&lt;=0,N12&lt;=0,$B$4&lt;=0),0,(1/$B$6)*M12*((M12/N12)^(2/3))*SQRT($B$4))</f>
        <v/>
      </c>
    </row>
    <row r="13">
      <c r="A13" s="5" t="n">
        <v>5</v>
      </c>
      <c r="B13" s="5" t="n">
        <v>36.37</v>
      </c>
      <c r="C13" s="5" t="n">
        <v>34.946</v>
      </c>
      <c r="D13" s="5" t="inlineStr">
        <is>
          <t>TBA</t>
        </is>
      </c>
      <c r="E13" s="5">
        <f>$B$2-C13</f>
        <v/>
      </c>
      <c r="F13" s="5">
        <f>IF(AND(($B$2-C13)&lt;=0,($B$2-C14)&lt;=0),0,IF(AND(($B$2-C13)&gt;=0,($B$2-C14)&gt;=0),0.5*(($B$2-C13)+($B$2-C14))*ABS(B14-B13),IF(($B$2-C13)&gt;0,0.5*($B$2-C13)*ABS((B13+(($B$2-C13)/(($B$2-C13)-($B$2-C14)))*(B14-B13))-B13),0.5*($B$2-C14)*ABS(B14-(B13+(($B$2-C13)/(($B$2-C13)-($B$2-C14)))*(B14-B13))))))</f>
        <v/>
      </c>
      <c r="G13" s="5">
        <f>IF(AND(($B$2-C13)&lt;=0,($B$2-C14)&lt;=0),0,IF(AND(($B$2-C13)&gt;=0,($B$2-C14)&gt;=0),SQRT((B14-B13)^2+(C14-C13)^2),IF(($B$2-C13)&gt;0,SQRT(((B13+(($B$2-C13)/(($B$2-C13)-($B$2-C14)))*(B14-B13))-B13)^2+($B$2-C13)^2),SQRT((B14-(B13+(($B$2-C13)/(($B$2-C13)-($B$2-C14)))*(B14-B13)))^2+($B$2-C14)^2))))</f>
        <v/>
      </c>
      <c r="I13" t="n">
        <v>5</v>
      </c>
      <c r="J13">
        <f>IF(O12&lt;$B$5,L12,J12)</f>
        <v/>
      </c>
      <c r="K13">
        <f>IF(O12&lt;$B$5,K12,L12)</f>
        <v/>
      </c>
      <c r="L13">
        <f>(J13+K13)/2</f>
        <v/>
      </c>
      <c r="M13">
        <f>(IF(AND((L13-C9)&lt;=0,(L13-C10)&lt;=0),0,IF(AND((L13-C9)&gt;=0,(L13-C10)&gt;=0),0.5*((L13-C9)+(L13-C10))*ABS(B10-B9),IF((L13-C9)&gt;0,0.5*(L13-C9)*ABS((B9+((L13-C9)/((L13-C9)-(L13-C10)))*(B10-B9))-B9),0.5*(L13-C10)*ABS(B10-(B9+((L13-C9)/((L13-C9)-(L13-C10)))*(B10-B9)))))))+(IF(AND((L13-C10)&lt;=0,(L13-C11)&lt;=0),0,IF(AND((L13-C10)&gt;=0,(L13-C11)&gt;=0),0.5*((L13-C10)+(L13-C11))*ABS(B11-B10),IF((L13-C10)&gt;0,0.5*(L13-C10)*ABS((B10+((L13-C10)/((L13-C10)-(L13-C11)))*(B11-B10))-B10),0.5*(L13-C11)*ABS(B11-(B10+((L13-C10)/((L13-C10)-(L13-C11)))*(B11-B10)))))))+(IF(AND((L13-C11)&lt;=0,(L13-C12)&lt;=0),0,IF(AND((L13-C11)&gt;=0,(L13-C12)&gt;=0),0.5*((L13-C11)+(L13-C12))*ABS(B12-B11),IF((L13-C11)&gt;0,0.5*(L13-C11)*ABS((B11+((L13-C11)/((L13-C11)-(L13-C12)))*(B12-B11))-B11),0.5*(L13-C12)*ABS(B12-(B11+((L13-C11)/((L13-C11)-(L13-C12)))*(B12-B11)))))))+(IF(AND((L13-C12)&lt;=0,(L13-C13)&lt;=0),0,IF(AND((L13-C12)&gt;=0,(L13-C13)&gt;=0),0.5*((L13-C12)+(L13-C13))*ABS(B13-B12),IF((L13-C12)&gt;0,0.5*(L13-C12)*ABS((B12+((L13-C12)/((L13-C12)-(L13-C13)))*(B13-B12))-B12),0.5*(L13-C13)*ABS(B13-(B12+((L13-C12)/((L13-C12)-(L13-C13)))*(B13-B12)))))))+(IF(AND((L13-C13)&lt;=0,(L13-C14)&lt;=0),0,IF(AND((L13-C13)&gt;=0,(L13-C14)&gt;=0),0.5*((L13-C13)+(L13-C14))*ABS(B14-B13),IF((L13-C13)&gt;0,0.5*(L13-C13)*ABS((B13+((L13-C13)/((L13-C13)-(L13-C14)))*(B14-B13))-B13),0.5*(L13-C14)*ABS(B14-(B13+((L13-C13)/((L13-C13)-(L13-C14)))*(B14-B13)))))))</f>
        <v/>
      </c>
      <c r="N13">
        <f>(IF(AND((L13-C9)&lt;=0,(L13-C10)&lt;=0),0,IF(AND((L13-C9)&gt;=0,(L13-C10)&gt;=0),SQRT((B10-B9)^2+(C10-C9)^2),IF((L13-C9)&gt;0,SQRT(((B9+((L13-C9)/((L13-C9)-(L13-C10)))*(B10-B9))-B9)^2+(L13-C9)^2),SQRT((B10-(B9+((L13-C9)/((L13-C9)-(L13-C10)))*(B10-B9)))^2+(L13-C10)^2)))))+(IF(AND((L13-C10)&lt;=0,(L13-C11)&lt;=0),0,IF(AND((L13-C10)&gt;=0,(L13-C11)&gt;=0),SQRT((B11-B10)^2+(C11-C10)^2),IF((L13-C10)&gt;0,SQRT(((B10+((L13-C10)/((L13-C10)-(L13-C11)))*(B11-B10))-B10)^2+(L13-C10)^2),SQRT((B11-(B10+((L13-C10)/((L13-C10)-(L13-C11)))*(B11-B10)))^2+(L13-C11)^2)))))+(IF(AND((L13-C11)&lt;=0,(L13-C12)&lt;=0),0,IF(AND((L13-C11)&gt;=0,(L13-C12)&gt;=0),SQRT((B12-B11)^2+(C12-C11)^2),IF((L13-C11)&gt;0,SQRT(((B11+((L13-C11)/((L13-C11)-(L13-C12)))*(B12-B11))-B11)^2+(L13-C11)^2),SQRT((B12-(B11+((L13-C11)/((L13-C11)-(L13-C12)))*(B12-B11)))^2+(L13-C12)^2)))))+(IF(AND((L13-C12)&lt;=0,(L13-C13)&lt;=0),0,IF(AND((L13-C12)&gt;=0,(L13-C13)&gt;=0),SQRT((B13-B12)^2+(C13-C12)^2),IF((L13-C12)&gt;0,SQRT(((B12+((L13-C12)/((L13-C12)-(L13-C13)))*(B13-B12))-B12)^2+(L13-C12)^2),SQRT((B13-(B12+((L13-C12)/((L13-C12)-(L13-C13)))*(B13-B12)))^2+(L13-C13)^2)))))+(IF(AND((L13-C13)&lt;=0,(L13-C14)&lt;=0),0,IF(AND((L13-C13)&gt;=0,(L13-C14)&gt;=0),SQRT((B14-B13)^2+(C14-C13)^2),IF((L13-C13)&gt;0,SQRT(((B13+((L13-C13)/((L13-C13)-(L13-C14)))*(B14-B13))-B13)^2+(L13-C13)^2),SQRT((B14-(B13+((L13-C13)/((L13-C13)-(L13-C14)))*(B14-B13)))^2+(L13-C14)^2)))))</f>
        <v/>
      </c>
      <c r="O13">
        <f>IF(OR($B$6&lt;=0,M13&lt;=0,N13&lt;=0,$B$4&lt;=0),0,(1/$B$6)*M13*((M13/N13)^(2/3))*SQRT($B$4))</f>
        <v/>
      </c>
    </row>
    <row r="14">
      <c r="A14" s="5" t="n">
        <v>6</v>
      </c>
      <c r="B14" s="5" t="n">
        <v>40.43</v>
      </c>
      <c r="C14" s="5" t="n">
        <v>36.8</v>
      </c>
      <c r="D14" s="5" t="inlineStr">
        <is>
          <t>TN</t>
        </is>
      </c>
      <c r="E14" s="5">
        <f>$B$2-C14</f>
        <v/>
      </c>
      <c r="F14" s="5" t="n"/>
      <c r="G14" s="5" t="n"/>
      <c r="I14" t="n">
        <v>6</v>
      </c>
      <c r="J14">
        <f>IF(O13&lt;$B$5,L13,J13)</f>
        <v/>
      </c>
      <c r="K14">
        <f>IF(O13&lt;$B$5,K13,L13)</f>
        <v/>
      </c>
      <c r="L14">
        <f>(J14+K14)/2</f>
        <v/>
      </c>
      <c r="M14">
        <f>(IF(AND((L14-C9)&lt;=0,(L14-C10)&lt;=0),0,IF(AND((L14-C9)&gt;=0,(L14-C10)&gt;=0),0.5*((L14-C9)+(L14-C10))*ABS(B10-B9),IF((L14-C9)&gt;0,0.5*(L14-C9)*ABS((B9+((L14-C9)/((L14-C9)-(L14-C10)))*(B10-B9))-B9),0.5*(L14-C10)*ABS(B10-(B9+((L14-C9)/((L14-C9)-(L14-C10)))*(B10-B9)))))))+(IF(AND((L14-C10)&lt;=0,(L14-C11)&lt;=0),0,IF(AND((L14-C10)&gt;=0,(L14-C11)&gt;=0),0.5*((L14-C10)+(L14-C11))*ABS(B11-B10),IF((L14-C10)&gt;0,0.5*(L14-C10)*ABS((B10+((L14-C10)/((L14-C10)-(L14-C11)))*(B11-B10))-B10),0.5*(L14-C11)*ABS(B11-(B10+((L14-C10)/((L14-C10)-(L14-C11)))*(B11-B10)))))))+(IF(AND((L14-C11)&lt;=0,(L14-C12)&lt;=0),0,IF(AND((L14-C11)&gt;=0,(L14-C12)&gt;=0),0.5*((L14-C11)+(L14-C12))*ABS(B12-B11),IF((L14-C11)&gt;0,0.5*(L14-C11)*ABS((B11+((L14-C11)/((L14-C11)-(L14-C12)))*(B12-B11))-B11),0.5*(L14-C12)*ABS(B12-(B11+((L14-C11)/((L14-C11)-(L14-C12)))*(B12-B11)))))))+(IF(AND((L14-C12)&lt;=0,(L14-C13)&lt;=0),0,IF(AND((L14-C12)&gt;=0,(L14-C13)&gt;=0),0.5*((L14-C12)+(L14-C13))*ABS(B13-B12),IF((L14-C12)&gt;0,0.5*(L14-C12)*ABS((B12+((L14-C12)/((L14-C12)-(L14-C13)))*(B13-B12))-B12),0.5*(L14-C13)*ABS(B13-(B12+((L14-C12)/((L14-C12)-(L14-C13)))*(B13-B12)))))))+(IF(AND((L14-C13)&lt;=0,(L14-C14)&lt;=0),0,IF(AND((L14-C13)&gt;=0,(L14-C14)&gt;=0),0.5*((L14-C13)+(L14-C14))*ABS(B14-B13),IF((L14-C13)&gt;0,0.5*(L14-C13)*ABS((B13+((L14-C13)/((L14-C13)-(L14-C14)))*(B14-B13))-B13),0.5*(L14-C14)*ABS(B14-(B13+((L14-C13)/((L14-C13)-(L14-C14)))*(B14-B13)))))))</f>
        <v/>
      </c>
      <c r="N14">
        <f>(IF(AND((L14-C9)&lt;=0,(L14-C10)&lt;=0),0,IF(AND((L14-C9)&gt;=0,(L14-C10)&gt;=0),SQRT((B10-B9)^2+(C10-C9)^2),IF((L14-C9)&gt;0,SQRT(((B9+((L14-C9)/((L14-C9)-(L14-C10)))*(B10-B9))-B9)^2+(L14-C9)^2),SQRT((B10-(B9+((L14-C9)/((L14-C9)-(L14-C10)))*(B10-B9)))^2+(L14-C10)^2)))))+(IF(AND((L14-C10)&lt;=0,(L14-C11)&lt;=0),0,IF(AND((L14-C10)&gt;=0,(L14-C11)&gt;=0),SQRT((B11-B10)^2+(C11-C10)^2),IF((L14-C10)&gt;0,SQRT(((B10+((L14-C10)/((L14-C10)-(L14-C11)))*(B11-B10))-B10)^2+(L14-C10)^2),SQRT((B11-(B10+((L14-C10)/((L14-C10)-(L14-C11)))*(B11-B10)))^2+(L14-C11)^2)))))+(IF(AND((L14-C11)&lt;=0,(L14-C12)&lt;=0),0,IF(AND((L14-C11)&gt;=0,(L14-C12)&gt;=0),SQRT((B12-B11)^2+(C12-C11)^2),IF((L14-C11)&gt;0,SQRT(((B11+((L14-C11)/((L14-C11)-(L14-C12)))*(B12-B11))-B11)^2+(L14-C11)^2),SQRT((B12-(B11+((L14-C11)/((L14-C11)-(L14-C12)))*(B12-B11)))^2+(L14-C12)^2)))))+(IF(AND((L14-C12)&lt;=0,(L14-C13)&lt;=0),0,IF(AND((L14-C12)&gt;=0,(L14-C13)&gt;=0),SQRT((B13-B12)^2+(C13-C12)^2),IF((L14-C12)&gt;0,SQRT(((B12+((L14-C12)/((L14-C12)-(L14-C13)))*(B13-B12))-B12)^2+(L14-C12)^2),SQRT((B13-(B12+((L14-C12)/((L14-C12)-(L14-C13)))*(B13-B12)))^2+(L14-C13)^2)))))+(IF(AND((L14-C13)&lt;=0,(L14-C14)&lt;=0),0,IF(AND((L14-C13)&gt;=0,(L14-C14)&gt;=0),SQRT((B14-B13)^2+(C14-C13)^2),IF((L14-C13)&gt;0,SQRT(((B13+((L14-C13)/((L14-C13)-(L14-C14)))*(B14-B13))-B13)^2+(L14-C13)^2),SQRT((B14-(B13+((L14-C13)/((L14-C13)-(L14-C14)))*(B14-B13)))^2+(L14-C14)^2)))))</f>
        <v/>
      </c>
      <c r="O14">
        <f>IF(OR($B$6&lt;=0,M14&lt;=0,N14&lt;=0,$B$4&lt;=0),0,(1/$B$6)*M14*((M14/N14)^(2/3))*SQRT($B$4))</f>
        <v/>
      </c>
    </row>
    <row r="15">
      <c r="G15" t="inlineStr">
        <is>
          <t>P = Σ Pi</t>
        </is>
      </c>
      <c r="I15" t="n">
        <v>7</v>
      </c>
      <c r="J15">
        <f>IF(O14&lt;$B$5,L14,J14)</f>
        <v/>
      </c>
      <c r="K15">
        <f>IF(O14&lt;$B$5,K14,L14)</f>
        <v/>
      </c>
      <c r="L15">
        <f>(J15+K15)/2</f>
        <v/>
      </c>
      <c r="M15">
        <f>(IF(AND((L15-C9)&lt;=0,(L15-C10)&lt;=0),0,IF(AND((L15-C9)&gt;=0,(L15-C10)&gt;=0),0.5*((L15-C9)+(L15-C10))*ABS(B10-B9),IF((L15-C9)&gt;0,0.5*(L15-C9)*ABS((B9+((L15-C9)/((L15-C9)-(L15-C10)))*(B10-B9))-B9),0.5*(L15-C10)*ABS(B10-(B9+((L15-C9)/((L15-C9)-(L15-C10)))*(B10-B9)))))))+(IF(AND((L15-C10)&lt;=0,(L15-C11)&lt;=0),0,IF(AND((L15-C10)&gt;=0,(L15-C11)&gt;=0),0.5*((L15-C10)+(L15-C11))*ABS(B11-B10),IF((L15-C10)&gt;0,0.5*(L15-C10)*ABS((B10+((L15-C10)/((L15-C10)-(L15-C11)))*(B11-B10))-B10),0.5*(L15-C11)*ABS(B11-(B10+((L15-C10)/((L15-C10)-(L15-C11)))*(B11-B10)))))))+(IF(AND((L15-C11)&lt;=0,(L15-C12)&lt;=0),0,IF(AND((L15-C11)&gt;=0,(L15-C12)&gt;=0),0.5*((L15-C11)+(L15-C12))*ABS(B12-B11),IF((L15-C11)&gt;0,0.5*(L15-C11)*ABS((B11+((L15-C11)/((L15-C11)-(L15-C12)))*(B12-B11))-B11),0.5*(L15-C12)*ABS(B12-(B11+((L15-C11)/((L15-C11)-(L15-C12)))*(B12-B11)))))))+(IF(AND((L15-C12)&lt;=0,(L15-C13)&lt;=0),0,IF(AND((L15-C12)&gt;=0,(L15-C13)&gt;=0),0.5*((L15-C12)+(L15-C13))*ABS(B13-B12),IF((L15-C12)&gt;0,0.5*(L15-C12)*ABS((B12+((L15-C12)/((L15-C12)-(L15-C13)))*(B13-B12))-B12),0.5*(L15-C13)*ABS(B13-(B12+((L15-C12)/((L15-C12)-(L15-C13)))*(B13-B12)))))))+(IF(AND((L15-C13)&lt;=0,(L15-C14)&lt;=0),0,IF(AND((L15-C13)&gt;=0,(L15-C14)&gt;=0),0.5*((L15-C13)+(L15-C14))*ABS(B14-B13),IF((L15-C13)&gt;0,0.5*(L15-C13)*ABS((B13+((L15-C13)/((L15-C13)-(L15-C14)))*(B14-B13))-B13),0.5*(L15-C14)*ABS(B14-(B13+((L15-C13)/((L15-C13)-(L15-C14)))*(B14-B13)))))))</f>
        <v/>
      </c>
      <c r="N15">
        <f>(IF(AND((L15-C9)&lt;=0,(L15-C10)&lt;=0),0,IF(AND((L15-C9)&gt;=0,(L15-C10)&gt;=0),SQRT((B10-B9)^2+(C10-C9)^2),IF((L15-C9)&gt;0,SQRT(((B9+((L15-C9)/((L15-C9)-(L15-C10)))*(B10-B9))-B9)^2+(L15-C9)^2),SQRT((B10-(B9+((L15-C9)/((L15-C9)-(L15-C10)))*(B10-B9)))^2+(L15-C10)^2)))))+(IF(AND((L15-C10)&lt;=0,(L15-C11)&lt;=0),0,IF(AND((L15-C10)&gt;=0,(L15-C11)&gt;=0),SQRT((B11-B10)^2+(C11-C10)^2),IF((L15-C10)&gt;0,SQRT(((B10+((L15-C10)/((L15-C10)-(L15-C11)))*(B11-B10))-B10)^2+(L15-C10)^2),SQRT((B11-(B10+((L15-C10)/((L15-C10)-(L15-C11)))*(B11-B10)))^2+(L15-C11)^2)))))+(IF(AND((L15-C11)&lt;=0,(L15-C12)&lt;=0),0,IF(AND((L15-C11)&gt;=0,(L15-C12)&gt;=0),SQRT((B12-B11)^2+(C12-C11)^2),IF((L15-C11)&gt;0,SQRT(((B11+((L15-C11)/((L15-C11)-(L15-C12)))*(B12-B11))-B11)^2+(L15-C11)^2),SQRT((B12-(B11+((L15-C11)/((L15-C11)-(L15-C12)))*(B12-B11)))^2+(L15-C12)^2)))))+(IF(AND((L15-C12)&lt;=0,(L15-C13)&lt;=0),0,IF(AND((L15-C12)&gt;=0,(L15-C13)&gt;=0),SQRT((B13-B12)^2+(C13-C12)^2),IF((L15-C12)&gt;0,SQRT(((B12+((L15-C12)/((L15-C12)-(L15-C13)))*(B13-B12))-B12)^2+(L15-C12)^2),SQRT((B13-(B12+((L15-C12)/((L15-C12)-(L15-C13)))*(B13-B12)))^2+(L15-C13)^2)))))+(IF(AND((L15-C13)&lt;=0,(L15-C14)&lt;=0),0,IF(AND((L15-C13)&gt;=0,(L15-C14)&gt;=0),SQRT((B14-B13)^2+(C14-C13)^2),IF((L15-C13)&gt;0,SQRT(((B13+((L15-C13)/((L15-C13)-(L15-C14)))*(B14-B13))-B13)^2+(L15-C13)^2),SQRT((B14-(B13+((L15-C13)/((L15-C13)-(L15-C14)))*(B14-B13)))^2+(L15-C14)^2)))))</f>
        <v/>
      </c>
      <c r="O15">
        <f>IF(OR($B$6&lt;=0,M15&lt;=0,N15&lt;=0,$B$4&lt;=0),0,(1/$B$6)*M15*((M15/N15)^(2/3))*SQRT($B$4))</f>
        <v/>
      </c>
    </row>
    <row r="16">
      <c r="A16" s="10" t="inlineStr">
        <is>
          <t>Totaux</t>
        </is>
      </c>
      <c r="E16" t="inlineStr">
        <is>
          <t>A = Σ Ai</t>
        </is>
      </c>
      <c r="F16" s="17">
        <f>SUM(F9:F13)</f>
        <v/>
      </c>
      <c r="G16" s="17">
        <f>SUM(G9:G13)</f>
        <v/>
      </c>
      <c r="I16" t="n">
        <v>8</v>
      </c>
      <c r="J16">
        <f>IF(O15&lt;$B$5,L15,J15)</f>
        <v/>
      </c>
      <c r="K16">
        <f>IF(O15&lt;$B$5,K15,L15)</f>
        <v/>
      </c>
      <c r="L16">
        <f>(J16+K16)/2</f>
        <v/>
      </c>
      <c r="M16">
        <f>(IF(AND((L16-C9)&lt;=0,(L16-C10)&lt;=0),0,IF(AND((L16-C9)&gt;=0,(L16-C10)&gt;=0),0.5*((L16-C9)+(L16-C10))*ABS(B10-B9),IF((L16-C9)&gt;0,0.5*(L16-C9)*ABS((B9+((L16-C9)/((L16-C9)-(L16-C10)))*(B10-B9))-B9),0.5*(L16-C10)*ABS(B10-(B9+((L16-C9)/((L16-C9)-(L16-C10)))*(B10-B9)))))))+(IF(AND((L16-C10)&lt;=0,(L16-C11)&lt;=0),0,IF(AND((L16-C10)&gt;=0,(L16-C11)&gt;=0),0.5*((L16-C10)+(L16-C11))*ABS(B11-B10),IF((L16-C10)&gt;0,0.5*(L16-C10)*ABS((B10+((L16-C10)/((L16-C10)-(L16-C11)))*(B11-B10))-B10),0.5*(L16-C11)*ABS(B11-(B10+((L16-C10)/((L16-C10)-(L16-C11)))*(B11-B10)))))))+(IF(AND((L16-C11)&lt;=0,(L16-C12)&lt;=0),0,IF(AND((L16-C11)&gt;=0,(L16-C12)&gt;=0),0.5*((L16-C11)+(L16-C12))*ABS(B12-B11),IF((L16-C11)&gt;0,0.5*(L16-C11)*ABS((B11+((L16-C11)/((L16-C11)-(L16-C12)))*(B12-B11))-B11),0.5*(L16-C12)*ABS(B12-(B11+((L16-C11)/((L16-C11)-(L16-C12)))*(B12-B11)))))))+(IF(AND((L16-C12)&lt;=0,(L16-C13)&lt;=0),0,IF(AND((L16-C12)&gt;=0,(L16-C13)&gt;=0),0.5*((L16-C12)+(L16-C13))*ABS(B13-B12),IF((L16-C12)&gt;0,0.5*(L16-C12)*ABS((B12+((L16-C12)/((L16-C12)-(L16-C13)))*(B13-B12))-B12),0.5*(L16-C13)*ABS(B13-(B12+((L16-C12)/((L16-C12)-(L16-C13)))*(B13-B12)))))))+(IF(AND((L16-C13)&lt;=0,(L16-C14)&lt;=0),0,IF(AND((L16-C13)&gt;=0,(L16-C14)&gt;=0),0.5*((L16-C13)+(L16-C14))*ABS(B14-B13),IF((L16-C13)&gt;0,0.5*(L16-C13)*ABS((B13+((L16-C13)/((L16-C13)-(L16-C14)))*(B14-B13))-B13),0.5*(L16-C14)*ABS(B14-(B13+((L16-C13)/((L16-C13)-(L16-C14)))*(B14-B13)))))))</f>
        <v/>
      </c>
      <c r="N16">
        <f>(IF(AND((L16-C9)&lt;=0,(L16-C10)&lt;=0),0,IF(AND((L16-C9)&gt;=0,(L16-C10)&gt;=0),SQRT((B10-B9)^2+(C10-C9)^2),IF((L16-C9)&gt;0,SQRT(((B9+((L16-C9)/((L16-C9)-(L16-C10)))*(B10-B9))-B9)^2+(L16-C9)^2),SQRT((B10-(B9+((L16-C9)/((L16-C9)-(L16-C10)))*(B10-B9)))^2+(L16-C10)^2)))))+(IF(AND((L16-C10)&lt;=0,(L16-C11)&lt;=0),0,IF(AND((L16-C10)&gt;=0,(L16-C11)&gt;=0),SQRT((B11-B10)^2+(C11-C10)^2),IF((L16-C10)&gt;0,SQRT(((B10+((L16-C10)/((L16-C10)-(L16-C11)))*(B11-B10))-B10)^2+(L16-C10)^2),SQRT((B11-(B10+((L16-C10)/((L16-C10)-(L16-C11)))*(B11-B10)))^2+(L16-C11)^2)))))+(IF(AND((L16-C11)&lt;=0,(L16-C12)&lt;=0),0,IF(AND((L16-C11)&gt;=0,(L16-C12)&gt;=0),SQRT((B12-B11)^2+(C12-C11)^2),IF((L16-C11)&gt;0,SQRT(((B11+((L16-C11)/((L16-C11)-(L16-C12)))*(B12-B11))-B11)^2+(L16-C11)^2),SQRT((B12-(B11+((L16-C11)/((L16-C11)-(L16-C12)))*(B12-B11)))^2+(L16-C12)^2)))))+(IF(AND((L16-C12)&lt;=0,(L16-C13)&lt;=0),0,IF(AND((L16-C12)&gt;=0,(L16-C13)&gt;=0),SQRT((B13-B12)^2+(C13-C12)^2),IF((L16-C12)&gt;0,SQRT(((B12+((L16-C12)/((L16-C12)-(L16-C13)))*(B13-B12))-B12)^2+(L16-C12)^2),SQRT((B13-(B12+((L16-C12)/((L16-C12)-(L16-C13)))*(B13-B12)))^2+(L16-C13)^2)))))+(IF(AND((L16-C13)&lt;=0,(L16-C14)&lt;=0),0,IF(AND((L16-C13)&gt;=0,(L16-C14)&gt;=0),SQRT((B14-B13)^2+(C14-C13)^2),IF((L16-C13)&gt;0,SQRT(((B13+((L16-C13)/((L16-C13)-(L16-C14)))*(B14-B13))-B13)^2+(L16-C13)^2),SQRT((B14-(B13+((L16-C13)/((L16-C13)-(L16-C14)))*(B14-B13)))^2+(L16-C14)^2)))))</f>
        <v/>
      </c>
      <c r="O16">
        <f>IF(OR($B$6&lt;=0,M16&lt;=0,N16&lt;=0,$B$4&lt;=0),0,(1/$B$6)*M16*((M16/N16)^(2/3))*SQRT($B$4))</f>
        <v/>
      </c>
    </row>
    <row r="17">
      <c r="I17" t="n">
        <v>9</v>
      </c>
      <c r="J17">
        <f>IF(O16&lt;$B$5,L16,J16)</f>
        <v/>
      </c>
      <c r="K17">
        <f>IF(O16&lt;$B$5,K16,L16)</f>
        <v/>
      </c>
      <c r="L17">
        <f>(J17+K17)/2</f>
        <v/>
      </c>
      <c r="M17">
        <f>(IF(AND((L17-C9)&lt;=0,(L17-C10)&lt;=0),0,IF(AND((L17-C9)&gt;=0,(L17-C10)&gt;=0),0.5*((L17-C9)+(L17-C10))*ABS(B10-B9),IF((L17-C9)&gt;0,0.5*(L17-C9)*ABS((B9+((L17-C9)/((L17-C9)-(L17-C10)))*(B10-B9))-B9),0.5*(L17-C10)*ABS(B10-(B9+((L17-C9)/((L17-C9)-(L17-C10)))*(B10-B9)))))))+(IF(AND((L17-C10)&lt;=0,(L17-C11)&lt;=0),0,IF(AND((L17-C10)&gt;=0,(L17-C11)&gt;=0),0.5*((L17-C10)+(L17-C11))*ABS(B11-B10),IF((L17-C10)&gt;0,0.5*(L17-C10)*ABS((B10+((L17-C10)/((L17-C10)-(L17-C11)))*(B11-B10))-B10),0.5*(L17-C11)*ABS(B11-(B10+((L17-C10)/((L17-C10)-(L17-C11)))*(B11-B10)))))))+(IF(AND((L17-C11)&lt;=0,(L17-C12)&lt;=0),0,IF(AND((L17-C11)&gt;=0,(L17-C12)&gt;=0),0.5*((L17-C11)+(L17-C12))*ABS(B12-B11),IF((L17-C11)&gt;0,0.5*(L17-C11)*ABS((B11+((L17-C11)/((L17-C11)-(L17-C12)))*(B12-B11))-B11),0.5*(L17-C12)*ABS(B12-(B11+((L17-C11)/((L17-C11)-(L17-C12)))*(B12-B11)))))))+(IF(AND((L17-C12)&lt;=0,(L17-C13)&lt;=0),0,IF(AND((L17-C12)&gt;=0,(L17-C13)&gt;=0),0.5*((L17-C12)+(L17-C13))*ABS(B13-B12),IF((L17-C12)&gt;0,0.5*(L17-C12)*ABS((B12+((L17-C12)/((L17-C12)-(L17-C13)))*(B13-B12))-B12),0.5*(L17-C13)*ABS(B13-(B12+((L17-C12)/((L17-C12)-(L17-C13)))*(B13-B12)))))))+(IF(AND((L17-C13)&lt;=0,(L17-C14)&lt;=0),0,IF(AND((L17-C13)&gt;=0,(L17-C14)&gt;=0),0.5*((L17-C13)+(L17-C14))*ABS(B14-B13),IF((L17-C13)&gt;0,0.5*(L17-C13)*ABS((B13+((L17-C13)/((L17-C13)-(L17-C14)))*(B14-B13))-B13),0.5*(L17-C14)*ABS(B14-(B13+((L17-C13)/((L17-C13)-(L17-C14)))*(B14-B13)))))))</f>
        <v/>
      </c>
      <c r="N17">
        <f>(IF(AND((L17-C9)&lt;=0,(L17-C10)&lt;=0),0,IF(AND((L17-C9)&gt;=0,(L17-C10)&gt;=0),SQRT((B10-B9)^2+(C10-C9)^2),IF((L17-C9)&gt;0,SQRT(((B9+((L17-C9)/((L17-C9)-(L17-C10)))*(B10-B9))-B9)^2+(L17-C9)^2),SQRT((B10-(B9+((L17-C9)/((L17-C9)-(L17-C10)))*(B10-B9)))^2+(L17-C10)^2)))))+(IF(AND((L17-C10)&lt;=0,(L17-C11)&lt;=0),0,IF(AND((L17-C10)&gt;=0,(L17-C11)&gt;=0),SQRT((B11-B10)^2+(C11-C10)^2),IF((L17-C10)&gt;0,SQRT(((B10+((L17-C10)/((L17-C10)-(L17-C11)))*(B11-B10))-B10)^2+(L17-C10)^2),SQRT((B11-(B10+((L17-C10)/((L17-C10)-(L17-C11)))*(B11-B10)))^2+(L17-C11)^2)))))+(IF(AND((L17-C11)&lt;=0,(L17-C12)&lt;=0),0,IF(AND((L17-C11)&gt;=0,(L17-C12)&gt;=0),SQRT((B12-B11)^2+(C12-C11)^2),IF((L17-C11)&gt;0,SQRT(((B11+((L17-C11)/((L17-C11)-(L17-C12)))*(B12-B11))-B11)^2+(L17-C11)^2),SQRT((B12-(B11+((L17-C11)/((L17-C11)-(L17-C12)))*(B12-B11)))^2+(L17-C12)^2)))))+(IF(AND((L17-C12)&lt;=0,(L17-C13)&lt;=0),0,IF(AND((L17-C12)&gt;=0,(L17-C13)&gt;=0),SQRT((B13-B12)^2+(C13-C12)^2),IF((L17-C12)&gt;0,SQRT(((B12+((L17-C12)/((L17-C12)-(L17-C13)))*(B13-B12))-B12)^2+(L17-C12)^2),SQRT((B13-(B12+((L17-C12)/((L17-C12)-(L17-C13)))*(B13-B12)))^2+(L17-C13)^2)))))+(IF(AND((L17-C13)&lt;=0,(L17-C14)&lt;=0),0,IF(AND((L17-C13)&gt;=0,(L17-C14)&gt;=0),SQRT((B14-B13)^2+(C14-C13)^2),IF((L17-C13)&gt;0,SQRT(((B13+((L17-C13)/((L17-C13)-(L17-C14)))*(B14-B13))-B13)^2+(L17-C13)^2),SQRT((B14-(B13+((L17-C13)/((L17-C13)-(L17-C14)))*(B14-B13)))^2+(L17-C14)^2)))))</f>
        <v/>
      </c>
      <c r="O17">
        <f>IF(OR($B$6&lt;=0,M17&lt;=0,N17&lt;=0,$B$4&lt;=0),0,(1/$B$6)*M17*((M17/N17)^(2/3))*SQRT($B$4))</f>
        <v/>
      </c>
    </row>
    <row r="18">
      <c r="A18" t="inlineStr">
        <is>
          <t>Fond min (m)</t>
        </is>
      </c>
      <c r="B18">
        <f>MIN(C9:C14)</f>
        <v/>
      </c>
      <c r="I18" t="n">
        <v>10</v>
      </c>
      <c r="J18">
        <f>IF(O17&lt;$B$5,L17,J17)</f>
        <v/>
      </c>
      <c r="K18">
        <f>IF(O17&lt;$B$5,K17,L17)</f>
        <v/>
      </c>
      <c r="L18">
        <f>(J18+K18)/2</f>
        <v/>
      </c>
      <c r="M18">
        <f>(IF(AND((L18-C9)&lt;=0,(L18-C10)&lt;=0),0,IF(AND((L18-C9)&gt;=0,(L18-C10)&gt;=0),0.5*((L18-C9)+(L18-C10))*ABS(B10-B9),IF((L18-C9)&gt;0,0.5*(L18-C9)*ABS((B9+((L18-C9)/((L18-C9)-(L18-C10)))*(B10-B9))-B9),0.5*(L18-C10)*ABS(B10-(B9+((L18-C9)/((L18-C9)-(L18-C10)))*(B10-B9)))))))+(IF(AND((L18-C10)&lt;=0,(L18-C11)&lt;=0),0,IF(AND((L18-C10)&gt;=0,(L18-C11)&gt;=0),0.5*((L18-C10)+(L18-C11))*ABS(B11-B10),IF((L18-C10)&gt;0,0.5*(L18-C10)*ABS((B10+((L18-C10)/((L18-C10)-(L18-C11)))*(B11-B10))-B10),0.5*(L18-C11)*ABS(B11-(B10+((L18-C10)/((L18-C10)-(L18-C11)))*(B11-B10)))))))+(IF(AND((L18-C11)&lt;=0,(L18-C12)&lt;=0),0,IF(AND((L18-C11)&gt;=0,(L18-C12)&gt;=0),0.5*((L18-C11)+(L18-C12))*ABS(B12-B11),IF((L18-C11)&gt;0,0.5*(L18-C11)*ABS((B11+((L18-C11)/((L18-C11)-(L18-C12)))*(B12-B11))-B11),0.5*(L18-C12)*ABS(B12-(B11+((L18-C11)/((L18-C11)-(L18-C12)))*(B12-B11)))))))+(IF(AND((L18-C12)&lt;=0,(L18-C13)&lt;=0),0,IF(AND((L18-C12)&gt;=0,(L18-C13)&gt;=0),0.5*((L18-C12)+(L18-C13))*ABS(B13-B12),IF((L18-C12)&gt;0,0.5*(L18-C12)*ABS((B12+((L18-C12)/((L18-C12)-(L18-C13)))*(B13-B12))-B12),0.5*(L18-C13)*ABS(B13-(B12+((L18-C12)/((L18-C12)-(L18-C13)))*(B13-B12)))))))+(IF(AND((L18-C13)&lt;=0,(L18-C14)&lt;=0),0,IF(AND((L18-C13)&gt;=0,(L18-C14)&gt;=0),0.5*((L18-C13)+(L18-C14))*ABS(B14-B13),IF((L18-C13)&gt;0,0.5*(L18-C13)*ABS((B13+((L18-C13)/((L18-C13)-(L18-C14)))*(B14-B13))-B13),0.5*(L18-C14)*ABS(B14-(B13+((L18-C13)/((L18-C13)-(L18-C14)))*(B14-B13)))))))</f>
        <v/>
      </c>
      <c r="N18">
        <f>(IF(AND((L18-C9)&lt;=0,(L18-C10)&lt;=0),0,IF(AND((L18-C9)&gt;=0,(L18-C10)&gt;=0),SQRT((B10-B9)^2+(C10-C9)^2),IF((L18-C9)&gt;0,SQRT(((B9+((L18-C9)/((L18-C9)-(L18-C10)))*(B10-B9))-B9)^2+(L18-C9)^2),SQRT((B10-(B9+((L18-C9)/((L18-C9)-(L18-C10)))*(B10-B9)))^2+(L18-C10)^2)))))+(IF(AND((L18-C10)&lt;=0,(L18-C11)&lt;=0),0,IF(AND((L18-C10)&gt;=0,(L18-C11)&gt;=0),SQRT((B11-B10)^2+(C11-C10)^2),IF((L18-C10)&gt;0,SQRT(((B10+((L18-C10)/((L18-C10)-(L18-C11)))*(B11-B10))-B10)^2+(L18-C10)^2),SQRT((B11-(B10+((L18-C10)/((L18-C10)-(L18-C11)))*(B11-B10)))^2+(L18-C11)^2)))))+(IF(AND((L18-C11)&lt;=0,(L18-C12)&lt;=0),0,IF(AND((L18-C11)&gt;=0,(L18-C12)&gt;=0),SQRT((B12-B11)^2+(C12-C11)^2),IF((L18-C11)&gt;0,SQRT(((B11+((L18-C11)/((L18-C11)-(L18-C12)))*(B12-B11))-B11)^2+(L18-C11)^2),SQRT((B12-(B11+((L18-C11)/((L18-C11)-(L18-C12)))*(B12-B11)))^2+(L18-C12)^2)))))+(IF(AND((L18-C12)&lt;=0,(L18-C13)&lt;=0),0,IF(AND((L18-C12)&gt;=0,(L18-C13)&gt;=0),SQRT((B13-B12)^2+(C13-C12)^2),IF((L18-C12)&gt;0,SQRT(((B12+((L18-C12)/((L18-C12)-(L18-C13)))*(B13-B12))-B12)^2+(L18-C12)^2),SQRT((B13-(B12+((L18-C12)/((L18-C12)-(L18-C13)))*(B13-B12)))^2+(L18-C13)^2)))))+(IF(AND((L18-C13)&lt;=0,(L18-C14)&lt;=0),0,IF(AND((L18-C13)&gt;=0,(L18-C14)&gt;=0),SQRT((B14-B13)^2+(C14-C13)^2),IF((L18-C13)&gt;0,SQRT(((B13+((L18-C13)/((L18-C13)-(L18-C14)))*(B14-B13))-B13)^2+(L18-C13)^2),SQRT((B14-(B13+((L18-C13)/((L18-C13)-(L18-C14)))*(B14-B13)))^2+(L18-C14)^2)))))</f>
        <v/>
      </c>
      <c r="O18">
        <f>IF(OR($B$6&lt;=0,M18&lt;=0,N18&lt;=0,$B$4&lt;=0),0,(1/$B$6)*M18*((M18/N18)^(2/3))*SQRT($B$4))</f>
        <v/>
      </c>
    </row>
    <row r="19">
      <c r="A19" t="inlineStr">
        <is>
          <t>y = WSE − fond (m)</t>
        </is>
      </c>
      <c r="B19">
        <f>IF(ISNUMBER(B2),B2-B18,"")</f>
        <v/>
      </c>
      <c r="I19" t="n">
        <v>11</v>
      </c>
      <c r="J19">
        <f>IF(O18&lt;$B$5,L18,J18)</f>
        <v/>
      </c>
      <c r="K19">
        <f>IF(O18&lt;$B$5,K18,L18)</f>
        <v/>
      </c>
      <c r="L19">
        <f>(J19+K19)/2</f>
        <v/>
      </c>
      <c r="M19">
        <f>(IF(AND((L19-C9)&lt;=0,(L19-C10)&lt;=0),0,IF(AND((L19-C9)&gt;=0,(L19-C10)&gt;=0),0.5*((L19-C9)+(L19-C10))*ABS(B10-B9),IF((L19-C9)&gt;0,0.5*(L19-C9)*ABS((B9+((L19-C9)/((L19-C9)-(L19-C10)))*(B10-B9))-B9),0.5*(L19-C10)*ABS(B10-(B9+((L19-C9)/((L19-C9)-(L19-C10)))*(B10-B9)))))))+(IF(AND((L19-C10)&lt;=0,(L19-C11)&lt;=0),0,IF(AND((L19-C10)&gt;=0,(L19-C11)&gt;=0),0.5*((L19-C10)+(L19-C11))*ABS(B11-B10),IF((L19-C10)&gt;0,0.5*(L19-C10)*ABS((B10+((L19-C10)/((L19-C10)-(L19-C11)))*(B11-B10))-B10),0.5*(L19-C11)*ABS(B11-(B10+((L19-C10)/((L19-C10)-(L19-C11)))*(B11-B10)))))))+(IF(AND((L19-C11)&lt;=0,(L19-C12)&lt;=0),0,IF(AND((L19-C11)&gt;=0,(L19-C12)&gt;=0),0.5*((L19-C11)+(L19-C12))*ABS(B12-B11),IF((L19-C11)&gt;0,0.5*(L19-C11)*ABS((B11+((L19-C11)/((L19-C11)-(L19-C12)))*(B12-B11))-B11),0.5*(L19-C12)*ABS(B12-(B11+((L19-C11)/((L19-C11)-(L19-C12)))*(B12-B11)))))))+(IF(AND((L19-C12)&lt;=0,(L19-C13)&lt;=0),0,IF(AND((L19-C12)&gt;=0,(L19-C13)&gt;=0),0.5*((L19-C12)+(L19-C13))*ABS(B13-B12),IF((L19-C12)&gt;0,0.5*(L19-C12)*ABS((B12+((L19-C12)/((L19-C12)-(L19-C13)))*(B13-B12))-B12),0.5*(L19-C13)*ABS(B13-(B12+((L19-C12)/((L19-C12)-(L19-C13)))*(B13-B12)))))))+(IF(AND((L19-C13)&lt;=0,(L19-C14)&lt;=0),0,IF(AND((L19-C13)&gt;=0,(L19-C14)&gt;=0),0.5*((L19-C13)+(L19-C14))*ABS(B14-B13),IF((L19-C13)&gt;0,0.5*(L19-C13)*ABS((B13+((L19-C13)/((L19-C13)-(L19-C14)))*(B14-B13))-B13),0.5*(L19-C14)*ABS(B14-(B13+((L19-C13)/((L19-C13)-(L19-C14)))*(B14-B13)))))))</f>
        <v/>
      </c>
      <c r="N19">
        <f>(IF(AND((L19-C9)&lt;=0,(L19-C10)&lt;=0),0,IF(AND((L19-C9)&gt;=0,(L19-C10)&gt;=0),SQRT((B10-B9)^2+(C10-C9)^2),IF((L19-C9)&gt;0,SQRT(((B9+((L19-C9)/((L19-C9)-(L19-C10)))*(B10-B9))-B9)^2+(L19-C9)^2),SQRT((B10-(B9+((L19-C9)/((L19-C9)-(L19-C10)))*(B10-B9)))^2+(L19-C10)^2)))))+(IF(AND((L19-C10)&lt;=0,(L19-C11)&lt;=0),0,IF(AND((L19-C10)&gt;=0,(L19-C11)&gt;=0),SQRT((B11-B10)^2+(C11-C10)^2),IF((L19-C10)&gt;0,SQRT(((B10+((L19-C10)/((L19-C10)-(L19-C11)))*(B11-B10))-B10)^2+(L19-C10)^2),SQRT((B11-(B10+((L19-C10)/((L19-C10)-(L19-C11)))*(B11-B10)))^2+(L19-C11)^2)))))+(IF(AND((L19-C11)&lt;=0,(L19-C12)&lt;=0),0,IF(AND((L19-C11)&gt;=0,(L19-C12)&gt;=0),SQRT((B12-B11)^2+(C12-C11)^2),IF((L19-C11)&gt;0,SQRT(((B11+((L19-C11)/((L19-C11)-(L19-C12)))*(B12-B11))-B11)^2+(L19-C11)^2),SQRT((B12-(B11+((L19-C11)/((L19-C11)-(L19-C12)))*(B12-B11)))^2+(L19-C12)^2)))))+(IF(AND((L19-C12)&lt;=0,(L19-C13)&lt;=0),0,IF(AND((L19-C12)&gt;=0,(L19-C13)&gt;=0),SQRT((B13-B12)^2+(C13-C12)^2),IF((L19-C12)&gt;0,SQRT(((B12+((L19-C12)/((L19-C12)-(L19-C13)))*(B13-B12))-B12)^2+(L19-C12)^2),SQRT((B13-(B12+((L19-C12)/((L19-C12)-(L19-C13)))*(B13-B12)))^2+(L19-C13)^2)))))+(IF(AND((L19-C13)&lt;=0,(L19-C14)&lt;=0),0,IF(AND((L19-C13)&gt;=0,(L19-C14)&gt;=0),SQRT((B14-B13)^2+(C14-C13)^2),IF((L19-C13)&gt;0,SQRT(((B13+((L19-C13)/((L19-C13)-(L19-C14)))*(B14-B13))-B13)^2+(L19-C13)^2),SQRT((B14-(B13+((L19-C13)/((L19-C13)-(L19-C14)))*(B14-B13)))^2+(L19-C14)^2)))))</f>
        <v/>
      </c>
      <c r="O19">
        <f>IF(OR($B$6&lt;=0,M19&lt;=0,N19&lt;=0,$B$4&lt;=0),0,(1/$B$6)*M19*((M19/N19)^(2/3))*SQRT($B$4))</f>
        <v/>
      </c>
    </row>
    <row r="20">
      <c r="A20" t="inlineStr">
        <is>
          <t>A (m²)</t>
        </is>
      </c>
      <c r="B20" s="9">
        <f>F16</f>
        <v/>
      </c>
      <c r="I20" t="n">
        <v>12</v>
      </c>
      <c r="J20">
        <f>IF(O19&lt;$B$5,L19,J19)</f>
        <v/>
      </c>
      <c r="K20">
        <f>IF(O19&lt;$B$5,K19,L19)</f>
        <v/>
      </c>
      <c r="L20">
        <f>(J20+K20)/2</f>
        <v/>
      </c>
      <c r="M20">
        <f>(IF(AND((L20-C9)&lt;=0,(L20-C10)&lt;=0),0,IF(AND((L20-C9)&gt;=0,(L20-C10)&gt;=0),0.5*((L20-C9)+(L20-C10))*ABS(B10-B9),IF((L20-C9)&gt;0,0.5*(L20-C9)*ABS((B9+((L20-C9)/((L20-C9)-(L20-C10)))*(B10-B9))-B9),0.5*(L20-C10)*ABS(B10-(B9+((L20-C9)/((L20-C9)-(L20-C10)))*(B10-B9)))))))+(IF(AND((L20-C10)&lt;=0,(L20-C11)&lt;=0),0,IF(AND((L20-C10)&gt;=0,(L20-C11)&gt;=0),0.5*((L20-C10)+(L20-C11))*ABS(B11-B10),IF((L20-C10)&gt;0,0.5*(L20-C10)*ABS((B10+((L20-C10)/((L20-C10)-(L20-C11)))*(B11-B10))-B10),0.5*(L20-C11)*ABS(B11-(B10+((L20-C10)/((L20-C10)-(L20-C11)))*(B11-B10)))))))+(IF(AND((L20-C11)&lt;=0,(L20-C12)&lt;=0),0,IF(AND((L20-C11)&gt;=0,(L20-C12)&gt;=0),0.5*((L20-C11)+(L20-C12))*ABS(B12-B11),IF((L20-C11)&gt;0,0.5*(L20-C11)*ABS((B11+((L20-C11)/((L20-C11)-(L20-C12)))*(B12-B11))-B11),0.5*(L20-C12)*ABS(B12-(B11+((L20-C11)/((L20-C11)-(L20-C12)))*(B12-B11)))))))+(IF(AND((L20-C12)&lt;=0,(L20-C13)&lt;=0),0,IF(AND((L20-C12)&gt;=0,(L20-C13)&gt;=0),0.5*((L20-C12)+(L20-C13))*ABS(B13-B12),IF((L20-C12)&gt;0,0.5*(L20-C12)*ABS((B12+((L20-C12)/((L20-C12)-(L20-C13)))*(B13-B12))-B12),0.5*(L20-C13)*ABS(B13-(B12+((L20-C12)/((L20-C12)-(L20-C13)))*(B13-B12)))))))+(IF(AND((L20-C13)&lt;=0,(L20-C14)&lt;=0),0,IF(AND((L20-C13)&gt;=0,(L20-C14)&gt;=0),0.5*((L20-C13)+(L20-C14))*ABS(B14-B13),IF((L20-C13)&gt;0,0.5*(L20-C13)*ABS((B13+((L20-C13)/((L20-C13)-(L20-C14)))*(B14-B13))-B13),0.5*(L20-C14)*ABS(B14-(B13+((L20-C13)/((L20-C13)-(L20-C14)))*(B14-B13)))))))</f>
        <v/>
      </c>
      <c r="N20">
        <f>(IF(AND((L20-C9)&lt;=0,(L20-C10)&lt;=0),0,IF(AND((L20-C9)&gt;=0,(L20-C10)&gt;=0),SQRT((B10-B9)^2+(C10-C9)^2),IF((L20-C9)&gt;0,SQRT(((B9+((L20-C9)/((L20-C9)-(L20-C10)))*(B10-B9))-B9)^2+(L20-C9)^2),SQRT((B10-(B9+((L20-C9)/((L20-C9)-(L20-C10)))*(B10-B9)))^2+(L20-C10)^2)))))+(IF(AND((L20-C10)&lt;=0,(L20-C11)&lt;=0),0,IF(AND((L20-C10)&gt;=0,(L20-C11)&gt;=0),SQRT((B11-B10)^2+(C11-C10)^2),IF((L20-C10)&gt;0,SQRT(((B10+((L20-C10)/((L20-C10)-(L20-C11)))*(B11-B10))-B10)^2+(L20-C10)^2),SQRT((B11-(B10+((L20-C10)/((L20-C10)-(L20-C11)))*(B11-B10)))^2+(L20-C11)^2)))))+(IF(AND((L20-C11)&lt;=0,(L20-C12)&lt;=0),0,IF(AND((L20-C11)&gt;=0,(L20-C12)&gt;=0),SQRT((B12-B11)^2+(C12-C11)^2),IF((L20-C11)&gt;0,SQRT(((B11+((L20-C11)/((L20-C11)-(L20-C12)))*(B12-B11))-B11)^2+(L20-C11)^2),SQRT((B12-(B11+((L20-C11)/((L20-C11)-(L20-C12)))*(B12-B11)))^2+(L20-C12)^2)))))+(IF(AND((L20-C12)&lt;=0,(L20-C13)&lt;=0),0,IF(AND((L20-C12)&gt;=0,(L20-C13)&gt;=0),SQRT((B13-B12)^2+(C13-C12)^2),IF((L20-C12)&gt;0,SQRT(((B12+((L20-C12)/((L20-C12)-(L20-C13)))*(B13-B12))-B12)^2+(L20-C12)^2),SQRT((B13-(B12+((L20-C12)/((L20-C12)-(L20-C13)))*(B13-B12)))^2+(L20-C13)^2)))))+(IF(AND((L20-C13)&lt;=0,(L20-C14)&lt;=0),0,IF(AND((L20-C13)&gt;=0,(L20-C14)&gt;=0),SQRT((B14-B13)^2+(C14-C13)^2),IF((L20-C13)&gt;0,SQRT(((B13+((L20-C13)/((L20-C13)-(L20-C14)))*(B14-B13))-B13)^2+(L20-C13)^2),SQRT((B14-(B13+((L20-C13)/((L20-C13)-(L20-C14)))*(B14-B13)))^2+(L20-C14)^2)))))</f>
        <v/>
      </c>
      <c r="O20">
        <f>IF(OR($B$6&lt;=0,M20&lt;=0,N20&lt;=0,$B$4&lt;=0),0,(1/$B$6)*M20*((M20/N20)^(2/3))*SQRT($B$4))</f>
        <v/>
      </c>
    </row>
    <row r="21">
      <c r="A21" t="inlineStr">
        <is>
          <t>P (m)</t>
        </is>
      </c>
      <c r="B21" s="9">
        <f>G16</f>
        <v/>
      </c>
      <c r="I21" t="n">
        <v>13</v>
      </c>
      <c r="J21">
        <f>IF(O20&lt;$B$5,L20,J20)</f>
        <v/>
      </c>
      <c r="K21">
        <f>IF(O20&lt;$B$5,K20,L20)</f>
        <v/>
      </c>
      <c r="L21">
        <f>(J21+K21)/2</f>
        <v/>
      </c>
      <c r="M21">
        <f>(IF(AND((L21-C9)&lt;=0,(L21-C10)&lt;=0),0,IF(AND((L21-C9)&gt;=0,(L21-C10)&gt;=0),0.5*((L21-C9)+(L21-C10))*ABS(B10-B9),IF((L21-C9)&gt;0,0.5*(L21-C9)*ABS((B9+((L21-C9)/((L21-C9)-(L21-C10)))*(B10-B9))-B9),0.5*(L21-C10)*ABS(B10-(B9+((L21-C9)/((L21-C9)-(L21-C10)))*(B10-B9)))))))+(IF(AND((L21-C10)&lt;=0,(L21-C11)&lt;=0),0,IF(AND((L21-C10)&gt;=0,(L21-C11)&gt;=0),0.5*((L21-C10)+(L21-C11))*ABS(B11-B10),IF((L21-C10)&gt;0,0.5*(L21-C10)*ABS((B10+((L21-C10)/((L21-C10)-(L21-C11)))*(B11-B10))-B10),0.5*(L21-C11)*ABS(B11-(B10+((L21-C10)/((L21-C10)-(L21-C11)))*(B11-B10)))))))+(IF(AND((L21-C11)&lt;=0,(L21-C12)&lt;=0),0,IF(AND((L21-C11)&gt;=0,(L21-C12)&gt;=0),0.5*((L21-C11)+(L21-C12))*ABS(B12-B11),IF((L21-C11)&gt;0,0.5*(L21-C11)*ABS((B11+((L21-C11)/((L21-C11)-(L21-C12)))*(B12-B11))-B11),0.5*(L21-C12)*ABS(B12-(B11+((L21-C11)/((L21-C11)-(L21-C12)))*(B12-B11)))))))+(IF(AND((L21-C12)&lt;=0,(L21-C13)&lt;=0),0,IF(AND((L21-C12)&gt;=0,(L21-C13)&gt;=0),0.5*((L21-C12)+(L21-C13))*ABS(B13-B12),IF((L21-C12)&gt;0,0.5*(L21-C12)*ABS((B12+((L21-C12)/((L21-C12)-(L21-C13)))*(B13-B12))-B12),0.5*(L21-C13)*ABS(B13-(B12+((L21-C12)/((L21-C12)-(L21-C13)))*(B13-B12)))))))+(IF(AND((L21-C13)&lt;=0,(L21-C14)&lt;=0),0,IF(AND((L21-C13)&gt;=0,(L21-C14)&gt;=0),0.5*((L21-C13)+(L21-C14))*ABS(B14-B13),IF((L21-C13)&gt;0,0.5*(L21-C13)*ABS((B13+((L21-C13)/((L21-C13)-(L21-C14)))*(B14-B13))-B13),0.5*(L21-C14)*ABS(B14-(B13+((L21-C13)/((L21-C13)-(L21-C14)))*(B14-B13)))))))</f>
        <v/>
      </c>
      <c r="N21">
        <f>(IF(AND((L21-C9)&lt;=0,(L21-C10)&lt;=0),0,IF(AND((L21-C9)&gt;=0,(L21-C10)&gt;=0),SQRT((B10-B9)^2+(C10-C9)^2),IF((L21-C9)&gt;0,SQRT(((B9+((L21-C9)/((L21-C9)-(L21-C10)))*(B10-B9))-B9)^2+(L21-C9)^2),SQRT((B10-(B9+((L21-C9)/((L21-C9)-(L21-C10)))*(B10-B9)))^2+(L21-C10)^2)))))+(IF(AND((L21-C10)&lt;=0,(L21-C11)&lt;=0),0,IF(AND((L21-C10)&gt;=0,(L21-C11)&gt;=0),SQRT((B11-B10)^2+(C11-C10)^2),IF((L21-C10)&gt;0,SQRT(((B10+((L21-C10)/((L21-C10)-(L21-C11)))*(B11-B10))-B10)^2+(L21-C10)^2),SQRT((B11-(B10+((L21-C10)/((L21-C10)-(L21-C11)))*(B11-B10)))^2+(L21-C11)^2)))))+(IF(AND((L21-C11)&lt;=0,(L21-C12)&lt;=0),0,IF(AND((L21-C11)&gt;=0,(L21-C12)&gt;=0),SQRT((B12-B11)^2+(C12-C11)^2),IF((L21-C11)&gt;0,SQRT(((B11+((L21-C11)/((L21-C11)-(L21-C12)))*(B12-B11))-B11)^2+(L21-C11)^2),SQRT((B12-(B11+((L21-C11)/((L21-C11)-(L21-C12)))*(B12-B11)))^2+(L21-C12)^2)))))+(IF(AND((L21-C12)&lt;=0,(L21-C13)&lt;=0),0,IF(AND((L21-C12)&gt;=0,(L21-C13)&gt;=0),SQRT((B13-B12)^2+(C13-C12)^2),IF((L21-C12)&gt;0,SQRT(((B12+((L21-C12)/((L21-C12)-(L21-C13)))*(B13-B12))-B12)^2+(L21-C12)^2),SQRT((B13-(B12+((L21-C12)/((L21-C12)-(L21-C13)))*(B13-B12)))^2+(L21-C13)^2)))))+(IF(AND((L21-C13)&lt;=0,(L21-C14)&lt;=0),0,IF(AND((L21-C13)&gt;=0,(L21-C14)&gt;=0),SQRT((B14-B13)^2+(C14-C13)^2),IF((L21-C13)&gt;0,SQRT(((B13+((L21-C13)/((L21-C13)-(L21-C14)))*(B14-B13))-B13)^2+(L21-C13)^2),SQRT((B14-(B13+((L21-C13)/((L21-C13)-(L21-C14)))*(B14-B13)))^2+(L21-C14)^2)))))</f>
        <v/>
      </c>
      <c r="O21">
        <f>IF(OR($B$6&lt;=0,M21&lt;=0,N21&lt;=0,$B$4&lt;=0),0,(1/$B$6)*M21*((M21/N21)^(2/3))*SQRT($B$4))</f>
        <v/>
      </c>
    </row>
    <row r="22">
      <c r="A22" t="inlineStr">
        <is>
          <t>R = A/P (m)</t>
        </is>
      </c>
      <c r="B22">
        <f>IF(B21&gt;0,B20/B21,0)</f>
        <v/>
      </c>
      <c r="I22" t="n">
        <v>14</v>
      </c>
      <c r="J22">
        <f>IF(O21&lt;$B$5,L21,J21)</f>
        <v/>
      </c>
      <c r="K22">
        <f>IF(O21&lt;$B$5,K21,L21)</f>
        <v/>
      </c>
      <c r="L22">
        <f>(J22+K22)/2</f>
        <v/>
      </c>
      <c r="M22">
        <f>(IF(AND((L22-C9)&lt;=0,(L22-C10)&lt;=0),0,IF(AND((L22-C9)&gt;=0,(L22-C10)&gt;=0),0.5*((L22-C9)+(L22-C10))*ABS(B10-B9),IF((L22-C9)&gt;0,0.5*(L22-C9)*ABS((B9+((L22-C9)/((L22-C9)-(L22-C10)))*(B10-B9))-B9),0.5*(L22-C10)*ABS(B10-(B9+((L22-C9)/((L22-C9)-(L22-C10)))*(B10-B9)))))))+(IF(AND((L22-C10)&lt;=0,(L22-C11)&lt;=0),0,IF(AND((L22-C10)&gt;=0,(L22-C11)&gt;=0),0.5*((L22-C10)+(L22-C11))*ABS(B11-B10),IF((L22-C10)&gt;0,0.5*(L22-C10)*ABS((B10+((L22-C10)/((L22-C10)-(L22-C11)))*(B11-B10))-B10),0.5*(L22-C11)*ABS(B11-(B10+((L22-C10)/((L22-C10)-(L22-C11)))*(B11-B10)))))))+(IF(AND((L22-C11)&lt;=0,(L22-C12)&lt;=0),0,IF(AND((L22-C11)&gt;=0,(L22-C12)&gt;=0),0.5*((L22-C11)+(L22-C12))*ABS(B12-B11),IF((L22-C11)&gt;0,0.5*(L22-C11)*ABS((B11+((L22-C11)/((L22-C11)-(L22-C12)))*(B12-B11))-B11),0.5*(L22-C12)*ABS(B12-(B11+((L22-C11)/((L22-C11)-(L22-C12)))*(B12-B11)))))))+(IF(AND((L22-C12)&lt;=0,(L22-C13)&lt;=0),0,IF(AND((L22-C12)&gt;=0,(L22-C13)&gt;=0),0.5*((L22-C12)+(L22-C13))*ABS(B13-B12),IF((L22-C12)&gt;0,0.5*(L22-C12)*ABS((B12+((L22-C12)/((L22-C12)-(L22-C13)))*(B13-B12))-B12),0.5*(L22-C13)*ABS(B13-(B12+((L22-C12)/((L22-C12)-(L22-C13)))*(B13-B12)))))))+(IF(AND((L22-C13)&lt;=0,(L22-C14)&lt;=0),0,IF(AND((L22-C13)&gt;=0,(L22-C14)&gt;=0),0.5*((L22-C13)+(L22-C14))*ABS(B14-B13),IF((L22-C13)&gt;0,0.5*(L22-C13)*ABS((B13+((L22-C13)/((L22-C13)-(L22-C14)))*(B14-B13))-B13),0.5*(L22-C14)*ABS(B14-(B13+((L22-C13)/((L22-C13)-(L22-C14)))*(B14-B13)))))))</f>
        <v/>
      </c>
      <c r="N22">
        <f>(IF(AND((L22-C9)&lt;=0,(L22-C10)&lt;=0),0,IF(AND((L22-C9)&gt;=0,(L22-C10)&gt;=0),SQRT((B10-B9)^2+(C10-C9)^2),IF((L22-C9)&gt;0,SQRT(((B9+((L22-C9)/((L22-C9)-(L22-C10)))*(B10-B9))-B9)^2+(L22-C9)^2),SQRT((B10-(B9+((L22-C9)/((L22-C9)-(L22-C10)))*(B10-B9)))^2+(L22-C10)^2)))))+(IF(AND((L22-C10)&lt;=0,(L22-C11)&lt;=0),0,IF(AND((L22-C10)&gt;=0,(L22-C11)&gt;=0),SQRT((B11-B10)^2+(C11-C10)^2),IF((L22-C10)&gt;0,SQRT(((B10+((L22-C10)/((L22-C10)-(L22-C11)))*(B11-B10))-B10)^2+(L22-C10)^2),SQRT((B11-(B10+((L22-C10)/((L22-C10)-(L22-C11)))*(B11-B10)))^2+(L22-C11)^2)))))+(IF(AND((L22-C11)&lt;=0,(L22-C12)&lt;=0),0,IF(AND((L22-C11)&gt;=0,(L22-C12)&gt;=0),SQRT((B12-B11)^2+(C12-C11)^2),IF((L22-C11)&gt;0,SQRT(((B11+((L22-C11)/((L22-C11)-(L22-C12)))*(B12-B11))-B11)^2+(L22-C11)^2),SQRT((B12-(B11+((L22-C11)/((L22-C11)-(L22-C12)))*(B12-B11)))^2+(L22-C12)^2)))))+(IF(AND((L22-C12)&lt;=0,(L22-C13)&lt;=0),0,IF(AND((L22-C12)&gt;=0,(L22-C13)&gt;=0),SQRT((B13-B12)^2+(C13-C12)^2),IF((L22-C12)&gt;0,SQRT(((B12+((L22-C12)/((L22-C12)-(L22-C13)))*(B13-B12))-B12)^2+(L22-C12)^2),SQRT((B13-(B12+((L22-C12)/((L22-C12)-(L22-C13)))*(B13-B12)))^2+(L22-C13)^2)))))+(IF(AND((L22-C13)&lt;=0,(L22-C14)&lt;=0),0,IF(AND((L22-C13)&gt;=0,(L22-C14)&gt;=0),SQRT((B14-B13)^2+(C14-C13)^2),IF((L22-C13)&gt;0,SQRT(((B13+((L22-C13)/((L22-C13)-(L22-C14)))*(B14-B13))-B13)^2+(L22-C13)^2),SQRT((B14-(B13+((L22-C13)/((L22-C13)-(L22-C14)))*(B14-B13)))^2+(L22-C14)^2)))))</f>
        <v/>
      </c>
      <c r="O22">
        <f>IF(OR($B$6&lt;=0,M22&lt;=0,N22&lt;=0,$B$4&lt;=0),0,(1/$B$6)*M22*((M22/N22)^(2/3))*SQRT($B$4))</f>
        <v/>
      </c>
    </row>
    <row r="23">
      <c r="A23" t="inlineStr">
        <is>
          <t>Q_manning à WSE (m³/s)</t>
        </is>
      </c>
      <c r="B23">
        <f>IF(OR(B6&lt;=0,B20&lt;=0,B4&lt;=0),0,(1/B6)*B20*(B22^(2/3))*SQRT(B4))</f>
        <v/>
      </c>
      <c r="I23" t="n">
        <v>15</v>
      </c>
      <c r="J23">
        <f>IF(O22&lt;$B$5,L22,J22)</f>
        <v/>
      </c>
      <c r="K23">
        <f>IF(O22&lt;$B$5,K22,L22)</f>
        <v/>
      </c>
      <c r="L23">
        <f>(J23+K23)/2</f>
        <v/>
      </c>
      <c r="M23">
        <f>(IF(AND((L23-C9)&lt;=0,(L23-C10)&lt;=0),0,IF(AND((L23-C9)&gt;=0,(L23-C10)&gt;=0),0.5*((L23-C9)+(L23-C10))*ABS(B10-B9),IF((L23-C9)&gt;0,0.5*(L23-C9)*ABS((B9+((L23-C9)/((L23-C9)-(L23-C10)))*(B10-B9))-B9),0.5*(L23-C10)*ABS(B10-(B9+((L23-C9)/((L23-C9)-(L23-C10)))*(B10-B9)))))))+(IF(AND((L23-C10)&lt;=0,(L23-C11)&lt;=0),0,IF(AND((L23-C10)&gt;=0,(L23-C11)&gt;=0),0.5*((L23-C10)+(L23-C11))*ABS(B11-B10),IF((L23-C10)&gt;0,0.5*(L23-C10)*ABS((B10+((L23-C10)/((L23-C10)-(L23-C11)))*(B11-B10))-B10),0.5*(L23-C11)*ABS(B11-(B10+((L23-C10)/((L23-C10)-(L23-C11)))*(B11-B10)))))))+(IF(AND((L23-C11)&lt;=0,(L23-C12)&lt;=0),0,IF(AND((L23-C11)&gt;=0,(L23-C12)&gt;=0),0.5*((L23-C11)+(L23-C12))*ABS(B12-B11),IF((L23-C11)&gt;0,0.5*(L23-C11)*ABS((B11+((L23-C11)/((L23-C11)-(L23-C12)))*(B12-B11))-B11),0.5*(L23-C12)*ABS(B12-(B11+((L23-C11)/((L23-C11)-(L23-C12)))*(B12-B11)))))))+(IF(AND((L23-C12)&lt;=0,(L23-C13)&lt;=0),0,IF(AND((L23-C12)&gt;=0,(L23-C13)&gt;=0),0.5*((L23-C12)+(L23-C13))*ABS(B13-B12),IF((L23-C12)&gt;0,0.5*(L23-C12)*ABS((B12+((L23-C12)/((L23-C12)-(L23-C13)))*(B13-B12))-B12),0.5*(L23-C13)*ABS(B13-(B12+((L23-C12)/((L23-C12)-(L23-C13)))*(B13-B12)))))))+(IF(AND((L23-C13)&lt;=0,(L23-C14)&lt;=0),0,IF(AND((L23-C13)&gt;=0,(L23-C14)&gt;=0),0.5*((L23-C13)+(L23-C14))*ABS(B14-B13),IF((L23-C13)&gt;0,0.5*(L23-C13)*ABS((B13+((L23-C13)/((L23-C13)-(L23-C14)))*(B14-B13))-B13),0.5*(L23-C14)*ABS(B14-(B13+((L23-C13)/((L23-C13)-(L23-C14)))*(B14-B13)))))))</f>
        <v/>
      </c>
      <c r="N23">
        <f>(IF(AND((L23-C9)&lt;=0,(L23-C10)&lt;=0),0,IF(AND((L23-C9)&gt;=0,(L23-C10)&gt;=0),SQRT((B10-B9)^2+(C10-C9)^2),IF((L23-C9)&gt;0,SQRT(((B9+((L23-C9)/((L23-C9)-(L23-C10)))*(B10-B9))-B9)^2+(L23-C9)^2),SQRT((B10-(B9+((L23-C9)/((L23-C9)-(L23-C10)))*(B10-B9)))^2+(L23-C10)^2)))))+(IF(AND((L23-C10)&lt;=0,(L23-C11)&lt;=0),0,IF(AND((L23-C10)&gt;=0,(L23-C11)&gt;=0),SQRT((B11-B10)^2+(C11-C10)^2),IF((L23-C10)&gt;0,SQRT(((B10+((L23-C10)/((L23-C10)-(L23-C11)))*(B11-B10))-B10)^2+(L23-C10)^2),SQRT((B11-(B10+((L23-C10)/((L23-C10)-(L23-C11)))*(B11-B10)))^2+(L23-C11)^2)))))+(IF(AND((L23-C11)&lt;=0,(L23-C12)&lt;=0),0,IF(AND((L23-C11)&gt;=0,(L23-C12)&gt;=0),SQRT((B12-B11)^2+(C12-C11)^2),IF((L23-C11)&gt;0,SQRT(((B11+((L23-C11)/((L23-C11)-(L23-C12)))*(B12-B11))-B11)^2+(L23-C11)^2),SQRT((B12-(B11+((L23-C11)/((L23-C11)-(L23-C12)))*(B12-B11)))^2+(L23-C12)^2)))))+(IF(AND((L23-C12)&lt;=0,(L23-C13)&lt;=0),0,IF(AND((L23-C12)&gt;=0,(L23-C13)&gt;=0),SQRT((B13-B12)^2+(C13-C12)^2),IF((L23-C12)&gt;0,SQRT(((B12+((L23-C12)/((L23-C12)-(L23-C13)))*(B13-B12))-B12)^2+(L23-C12)^2),SQRT((B13-(B12+((L23-C12)/((L23-C12)-(L23-C13)))*(B13-B12)))^2+(L23-C13)^2)))))+(IF(AND((L23-C13)&lt;=0,(L23-C14)&lt;=0),0,IF(AND((L23-C13)&gt;=0,(L23-C14)&gt;=0),SQRT((B14-B13)^2+(C14-C13)^2),IF((L23-C13)&gt;0,SQRT(((B13+((L23-C13)/((L23-C13)-(L23-C14)))*(B14-B13))-B13)^2+(L23-C13)^2),SQRT((B14-(B13+((L23-C13)/((L23-C13)-(L23-C14)))*(B14-B13)))^2+(L23-C14)^2)))))</f>
        <v/>
      </c>
      <c r="O23">
        <f>IF(OR($B$6&lt;=0,M23&lt;=0,N23&lt;=0,$B$4&lt;=0),0,(1/$B$6)*M23*((M23/N23)^(2/3))*SQRT($B$4))</f>
        <v/>
      </c>
    </row>
    <row r="24">
      <c r="A24" t="inlineStr">
        <is>
          <t>V = Q/A (m/s)</t>
        </is>
      </c>
      <c r="B24" s="19">
        <f>IF(B20&gt;0,B5/B20,0)</f>
        <v/>
      </c>
      <c r="I24" t="n">
        <v>16</v>
      </c>
      <c r="J24">
        <f>IF(O23&lt;$B$5,L23,J23)</f>
        <v/>
      </c>
      <c r="K24">
        <f>IF(O23&lt;$B$5,K23,L23)</f>
        <v/>
      </c>
      <c r="L24">
        <f>(J24+K24)/2</f>
        <v/>
      </c>
      <c r="M24">
        <f>(IF(AND((L24-C9)&lt;=0,(L24-C10)&lt;=0),0,IF(AND((L24-C9)&gt;=0,(L24-C10)&gt;=0),0.5*((L24-C9)+(L24-C10))*ABS(B10-B9),IF((L24-C9)&gt;0,0.5*(L24-C9)*ABS((B9+((L24-C9)/((L24-C9)-(L24-C10)))*(B10-B9))-B9),0.5*(L24-C10)*ABS(B10-(B9+((L24-C9)/((L24-C9)-(L24-C10)))*(B10-B9)))))))+(IF(AND((L24-C10)&lt;=0,(L24-C11)&lt;=0),0,IF(AND((L24-C10)&gt;=0,(L24-C11)&gt;=0),0.5*((L24-C10)+(L24-C11))*ABS(B11-B10),IF((L24-C10)&gt;0,0.5*(L24-C10)*ABS((B10+((L24-C10)/((L24-C10)-(L24-C11)))*(B11-B10))-B10),0.5*(L24-C11)*ABS(B11-(B10+((L24-C10)/((L24-C10)-(L24-C11)))*(B11-B10)))))))+(IF(AND((L24-C11)&lt;=0,(L24-C12)&lt;=0),0,IF(AND((L24-C11)&gt;=0,(L24-C12)&gt;=0),0.5*((L24-C11)+(L24-C12))*ABS(B12-B11),IF((L24-C11)&gt;0,0.5*(L24-C11)*ABS((B11+((L24-C11)/((L24-C11)-(L24-C12)))*(B12-B11))-B11),0.5*(L24-C12)*ABS(B12-(B11+((L24-C11)/((L24-C11)-(L24-C12)))*(B12-B11)))))))+(IF(AND((L24-C12)&lt;=0,(L24-C13)&lt;=0),0,IF(AND((L24-C12)&gt;=0,(L24-C13)&gt;=0),0.5*((L24-C12)+(L24-C13))*ABS(B13-B12),IF((L24-C12)&gt;0,0.5*(L24-C12)*ABS((B12+((L24-C12)/((L24-C12)-(L24-C13)))*(B13-B12))-B12),0.5*(L24-C13)*ABS(B13-(B12+((L24-C12)/((L24-C12)-(L24-C13)))*(B13-B12)))))))+(IF(AND((L24-C13)&lt;=0,(L24-C14)&lt;=0),0,IF(AND((L24-C13)&gt;=0,(L24-C14)&gt;=0),0.5*((L24-C13)+(L24-C14))*ABS(B14-B13),IF((L24-C13)&gt;0,0.5*(L24-C13)*ABS((B13+((L24-C13)/((L24-C13)-(L24-C14)))*(B14-B13))-B13),0.5*(L24-C14)*ABS(B14-(B13+((L24-C13)/((L24-C13)-(L24-C14)))*(B14-B13)))))))</f>
        <v/>
      </c>
      <c r="N24">
        <f>(IF(AND((L24-C9)&lt;=0,(L24-C10)&lt;=0),0,IF(AND((L24-C9)&gt;=0,(L24-C10)&gt;=0),SQRT((B10-B9)^2+(C10-C9)^2),IF((L24-C9)&gt;0,SQRT(((B9+((L24-C9)/((L24-C9)-(L24-C10)))*(B10-B9))-B9)^2+(L24-C9)^2),SQRT((B10-(B9+((L24-C9)/((L24-C9)-(L24-C10)))*(B10-B9)))^2+(L24-C10)^2)))))+(IF(AND((L24-C10)&lt;=0,(L24-C11)&lt;=0),0,IF(AND((L24-C10)&gt;=0,(L24-C11)&gt;=0),SQRT((B11-B10)^2+(C11-C10)^2),IF((L24-C10)&gt;0,SQRT(((B10+((L24-C10)/((L24-C10)-(L24-C11)))*(B11-B10))-B10)^2+(L24-C10)^2),SQRT((B11-(B10+((L24-C10)/((L24-C10)-(L24-C11)))*(B11-B10)))^2+(L24-C11)^2)))))+(IF(AND((L24-C11)&lt;=0,(L24-C12)&lt;=0),0,IF(AND((L24-C11)&gt;=0,(L24-C12)&gt;=0),SQRT((B12-B11)^2+(C12-C11)^2),IF((L24-C11)&gt;0,SQRT(((B11+((L24-C11)/((L24-C11)-(L24-C12)))*(B12-B11))-B11)^2+(L24-C11)^2),SQRT((B12-(B11+((L24-C11)/((L24-C11)-(L24-C12)))*(B12-B11)))^2+(L24-C12)^2)))))+(IF(AND((L24-C12)&lt;=0,(L24-C13)&lt;=0),0,IF(AND((L24-C12)&gt;=0,(L24-C13)&gt;=0),SQRT((B13-B12)^2+(C13-C12)^2),IF((L24-C12)&gt;0,SQRT(((B12+((L24-C12)/((L24-C12)-(L24-C13)))*(B13-B12))-B12)^2+(L24-C12)^2),SQRT((B13-(B12+((L24-C12)/((L24-C12)-(L24-C13)))*(B13-B12)))^2+(L24-C13)^2)))))+(IF(AND((L24-C13)&lt;=0,(L24-C14)&lt;=0),0,IF(AND((L24-C13)&gt;=0,(L24-C14)&gt;=0),SQRT((B14-B13)^2+(C14-C13)^2),IF((L24-C13)&gt;0,SQRT(((B13+((L24-C13)/((L24-C13)-(L24-C14)))*(B14-B13))-B13)^2+(L24-C13)^2),SQRT((B14-(B13+((L24-C13)/((L24-C13)-(L24-C14)))*(B14-B13)))^2+(L24-C14)^2)))))</f>
        <v/>
      </c>
      <c r="O24">
        <f>IF(OR($B$6&lt;=0,M24&lt;=0,N24&lt;=0,$B$4&lt;=0),0,(1/$B$6)*M24*((M24/N24)^(2/3))*SQRT($B$4))</f>
        <v/>
      </c>
    </row>
    <row r="25">
      <c r="A25" t="inlineStr">
        <is>
          <t>Écart Q_manning − Q</t>
        </is>
      </c>
      <c r="B25" s="20">
        <f>B23-B5</f>
        <v/>
      </c>
      <c r="I25" t="n">
        <v>17</v>
      </c>
      <c r="J25">
        <f>IF(O24&lt;$B$5,L24,J24)</f>
        <v/>
      </c>
      <c r="K25">
        <f>IF(O24&lt;$B$5,K24,L24)</f>
        <v/>
      </c>
      <c r="L25">
        <f>(J25+K25)/2</f>
        <v/>
      </c>
      <c r="M25">
        <f>(IF(AND((L25-C9)&lt;=0,(L25-C10)&lt;=0),0,IF(AND((L25-C9)&gt;=0,(L25-C10)&gt;=0),0.5*((L25-C9)+(L25-C10))*ABS(B10-B9),IF((L25-C9)&gt;0,0.5*(L25-C9)*ABS((B9+((L25-C9)/((L25-C9)-(L25-C10)))*(B10-B9))-B9),0.5*(L25-C10)*ABS(B10-(B9+((L25-C9)/((L25-C9)-(L25-C10)))*(B10-B9)))))))+(IF(AND((L25-C10)&lt;=0,(L25-C11)&lt;=0),0,IF(AND((L25-C10)&gt;=0,(L25-C11)&gt;=0),0.5*((L25-C10)+(L25-C11))*ABS(B11-B10),IF((L25-C10)&gt;0,0.5*(L25-C10)*ABS((B10+((L25-C10)/((L25-C10)-(L25-C11)))*(B11-B10))-B10),0.5*(L25-C11)*ABS(B11-(B10+((L25-C10)/((L25-C10)-(L25-C11)))*(B11-B10)))))))+(IF(AND((L25-C11)&lt;=0,(L25-C12)&lt;=0),0,IF(AND((L25-C11)&gt;=0,(L25-C12)&gt;=0),0.5*((L25-C11)+(L25-C12))*ABS(B12-B11),IF((L25-C11)&gt;0,0.5*(L25-C11)*ABS((B11+((L25-C11)/((L25-C11)-(L25-C12)))*(B12-B11))-B11),0.5*(L25-C12)*ABS(B12-(B11+((L25-C11)/((L25-C11)-(L25-C12)))*(B12-B11)))))))+(IF(AND((L25-C12)&lt;=0,(L25-C13)&lt;=0),0,IF(AND((L25-C12)&gt;=0,(L25-C13)&gt;=0),0.5*((L25-C12)+(L25-C13))*ABS(B13-B12),IF((L25-C12)&gt;0,0.5*(L25-C12)*ABS((B12+((L25-C12)/((L25-C12)-(L25-C13)))*(B13-B12))-B12),0.5*(L25-C13)*ABS(B13-(B12+((L25-C12)/((L25-C12)-(L25-C13)))*(B13-B12)))))))+(IF(AND((L25-C13)&lt;=0,(L25-C14)&lt;=0),0,IF(AND((L25-C13)&gt;=0,(L25-C14)&gt;=0),0.5*((L25-C13)+(L25-C14))*ABS(B14-B13),IF((L25-C13)&gt;0,0.5*(L25-C13)*ABS((B13+((L25-C13)/((L25-C13)-(L25-C14)))*(B14-B13))-B13),0.5*(L25-C14)*ABS(B14-(B13+((L25-C13)/((L25-C13)-(L25-C14)))*(B14-B13)))))))</f>
        <v/>
      </c>
      <c r="N25">
        <f>(IF(AND((L25-C9)&lt;=0,(L25-C10)&lt;=0),0,IF(AND((L25-C9)&gt;=0,(L25-C10)&gt;=0),SQRT((B10-B9)^2+(C10-C9)^2),IF((L25-C9)&gt;0,SQRT(((B9+((L25-C9)/((L25-C9)-(L25-C10)))*(B10-B9))-B9)^2+(L25-C9)^2),SQRT((B10-(B9+((L25-C9)/((L25-C9)-(L25-C10)))*(B10-B9)))^2+(L25-C10)^2)))))+(IF(AND((L25-C10)&lt;=0,(L25-C11)&lt;=0),0,IF(AND((L25-C10)&gt;=0,(L25-C11)&gt;=0),SQRT((B11-B10)^2+(C11-C10)^2),IF((L25-C10)&gt;0,SQRT(((B10+((L25-C10)/((L25-C10)-(L25-C11)))*(B11-B10))-B10)^2+(L25-C10)^2),SQRT((B11-(B10+((L25-C10)/((L25-C10)-(L25-C11)))*(B11-B10)))^2+(L25-C11)^2)))))+(IF(AND((L25-C11)&lt;=0,(L25-C12)&lt;=0),0,IF(AND((L25-C11)&gt;=0,(L25-C12)&gt;=0),SQRT((B12-B11)^2+(C12-C11)^2),IF((L25-C11)&gt;0,SQRT(((B11+((L25-C11)/((L25-C11)-(L25-C12)))*(B12-B11))-B11)^2+(L25-C11)^2),SQRT((B12-(B11+((L25-C11)/((L25-C11)-(L25-C12)))*(B12-B11)))^2+(L25-C12)^2)))))+(IF(AND((L25-C12)&lt;=0,(L25-C13)&lt;=0),0,IF(AND((L25-C12)&gt;=0,(L25-C13)&gt;=0),SQRT((B13-B12)^2+(C13-C12)^2),IF((L25-C12)&gt;0,SQRT(((B12+((L25-C12)/((L25-C12)-(L25-C13)))*(B13-B12))-B12)^2+(L25-C12)^2),SQRT((B13-(B12+((L25-C12)/((L25-C12)-(L25-C13)))*(B13-B12)))^2+(L25-C13)^2)))))+(IF(AND((L25-C13)&lt;=0,(L25-C14)&lt;=0),0,IF(AND((L25-C13)&gt;=0,(L25-C14)&gt;=0),SQRT((B14-B13)^2+(C14-C13)^2),IF((L25-C13)&gt;0,SQRT(((B13+((L25-C13)/((L25-C13)-(L25-C14)))*(B14-B13))-B13)^2+(L25-C13)^2),SQRT((B14-(B13+((L25-C13)/((L25-C13)-(L25-C14)))*(B14-B13)))^2+(L25-C14)^2)))))</f>
        <v/>
      </c>
      <c r="O25">
        <f>IF(OR($B$6&lt;=0,M25&lt;=0,N25&lt;=0,$B$4&lt;=0),0,(1/$B$6)*M25*((M25/N25)^(2/3))*SQRT($B$4))</f>
        <v/>
      </c>
    </row>
    <row r="26">
      <c r="A26" t="inlineStr">
        <is>
          <t>Note</t>
        </is>
      </c>
      <c r="B26" t="inlineStr">
        <is>
          <t>Changer Q (B5) ou n (B6) → WSE, A, V se recalculent seuls. S0 vient du longitudinal.</t>
        </is>
      </c>
      <c r="I26" t="n">
        <v>18</v>
      </c>
      <c r="J26">
        <f>IF(O25&lt;$B$5,L25,J25)</f>
        <v/>
      </c>
      <c r="K26">
        <f>IF(O25&lt;$B$5,K25,L25)</f>
        <v/>
      </c>
      <c r="L26">
        <f>(J26+K26)/2</f>
        <v/>
      </c>
      <c r="M26">
        <f>(IF(AND((L26-C9)&lt;=0,(L26-C10)&lt;=0),0,IF(AND((L26-C9)&gt;=0,(L26-C10)&gt;=0),0.5*((L26-C9)+(L26-C10))*ABS(B10-B9),IF((L26-C9)&gt;0,0.5*(L26-C9)*ABS((B9+((L26-C9)/((L26-C9)-(L26-C10)))*(B10-B9))-B9),0.5*(L26-C10)*ABS(B10-(B9+((L26-C9)/((L26-C9)-(L26-C10)))*(B10-B9)))))))+(IF(AND((L26-C10)&lt;=0,(L26-C11)&lt;=0),0,IF(AND((L26-C10)&gt;=0,(L26-C11)&gt;=0),0.5*((L26-C10)+(L26-C11))*ABS(B11-B10),IF((L26-C10)&gt;0,0.5*(L26-C10)*ABS((B10+((L26-C10)/((L26-C10)-(L26-C11)))*(B11-B10))-B10),0.5*(L26-C11)*ABS(B11-(B10+((L26-C10)/((L26-C10)-(L26-C11)))*(B11-B10)))))))+(IF(AND((L26-C11)&lt;=0,(L26-C12)&lt;=0),0,IF(AND((L26-C11)&gt;=0,(L26-C12)&gt;=0),0.5*((L26-C11)+(L26-C12))*ABS(B12-B11),IF((L26-C11)&gt;0,0.5*(L26-C11)*ABS((B11+((L26-C11)/((L26-C11)-(L26-C12)))*(B12-B11))-B11),0.5*(L26-C12)*ABS(B12-(B11+((L26-C11)/((L26-C11)-(L26-C12)))*(B12-B11)))))))+(IF(AND((L26-C12)&lt;=0,(L26-C13)&lt;=0),0,IF(AND((L26-C12)&gt;=0,(L26-C13)&gt;=0),0.5*((L26-C12)+(L26-C13))*ABS(B13-B12),IF((L26-C12)&gt;0,0.5*(L26-C12)*ABS((B12+((L26-C12)/((L26-C12)-(L26-C13)))*(B13-B12))-B12),0.5*(L26-C13)*ABS(B13-(B12+((L26-C12)/((L26-C12)-(L26-C13)))*(B13-B12)))))))+(IF(AND((L26-C13)&lt;=0,(L26-C14)&lt;=0),0,IF(AND((L26-C13)&gt;=0,(L26-C14)&gt;=0),0.5*((L26-C13)+(L26-C14))*ABS(B14-B13),IF((L26-C13)&gt;0,0.5*(L26-C13)*ABS((B13+((L26-C13)/((L26-C13)-(L26-C14)))*(B14-B13))-B13),0.5*(L26-C14)*ABS(B14-(B13+((L26-C13)/((L26-C13)-(L26-C14)))*(B14-B13)))))))</f>
        <v/>
      </c>
      <c r="N26">
        <f>(IF(AND((L26-C9)&lt;=0,(L26-C10)&lt;=0),0,IF(AND((L26-C9)&gt;=0,(L26-C10)&gt;=0),SQRT((B10-B9)^2+(C10-C9)^2),IF((L26-C9)&gt;0,SQRT(((B9+((L26-C9)/((L26-C9)-(L26-C10)))*(B10-B9))-B9)^2+(L26-C9)^2),SQRT((B10-(B9+((L26-C9)/((L26-C9)-(L26-C10)))*(B10-B9)))^2+(L26-C10)^2)))))+(IF(AND((L26-C10)&lt;=0,(L26-C11)&lt;=0),0,IF(AND((L26-C10)&gt;=0,(L26-C11)&gt;=0),SQRT((B11-B10)^2+(C11-C10)^2),IF((L26-C10)&gt;0,SQRT(((B10+((L26-C10)/((L26-C10)-(L26-C11)))*(B11-B10))-B10)^2+(L26-C10)^2),SQRT((B11-(B10+((L26-C10)/((L26-C10)-(L26-C11)))*(B11-B10)))^2+(L26-C11)^2)))))+(IF(AND((L26-C11)&lt;=0,(L26-C12)&lt;=0),0,IF(AND((L26-C11)&gt;=0,(L26-C12)&gt;=0),SQRT((B12-B11)^2+(C12-C11)^2),IF((L26-C11)&gt;0,SQRT(((B11+((L26-C11)/((L26-C11)-(L26-C12)))*(B12-B11))-B11)^2+(L26-C11)^2),SQRT((B12-(B11+((L26-C11)/((L26-C11)-(L26-C12)))*(B12-B11)))^2+(L26-C12)^2)))))+(IF(AND((L26-C12)&lt;=0,(L26-C13)&lt;=0),0,IF(AND((L26-C12)&gt;=0,(L26-C13)&gt;=0),SQRT((B13-B12)^2+(C13-C12)^2),IF((L26-C12)&gt;0,SQRT(((B12+((L26-C12)/((L26-C12)-(L26-C13)))*(B13-B12))-B12)^2+(L26-C12)^2),SQRT((B13-(B12+((L26-C12)/((L26-C12)-(L26-C13)))*(B13-B12)))^2+(L26-C13)^2)))))+(IF(AND((L26-C13)&lt;=0,(L26-C14)&lt;=0),0,IF(AND((L26-C13)&gt;=0,(L26-C14)&gt;=0),SQRT((B14-B13)^2+(C14-C13)^2),IF((L26-C13)&gt;0,SQRT(((B13+((L26-C13)/((L26-C13)-(L26-C14)))*(B14-B13))-B13)^2+(L26-C13)^2),SQRT((B14-(B13+((L26-C13)/((L26-C13)-(L26-C14)))*(B14-B13)))^2+(L26-C14)^2)))))</f>
        <v/>
      </c>
      <c r="O26">
        <f>IF(OR($B$6&lt;=0,M26&lt;=0,N26&lt;=0,$B$4&lt;=0),0,(1/$B$6)*M26*((M26/N26)^(2/3))*SQRT($B$4))</f>
        <v/>
      </c>
    </row>
    <row r="27">
      <c r="I27" t="n">
        <v>19</v>
      </c>
      <c r="J27">
        <f>IF(O26&lt;$B$5,L26,J26)</f>
        <v/>
      </c>
      <c r="K27">
        <f>IF(O26&lt;$B$5,K26,L26)</f>
        <v/>
      </c>
      <c r="L27">
        <f>(J27+K27)/2</f>
        <v/>
      </c>
      <c r="M27">
        <f>(IF(AND((L27-C9)&lt;=0,(L27-C10)&lt;=0),0,IF(AND((L27-C9)&gt;=0,(L27-C10)&gt;=0),0.5*((L27-C9)+(L27-C10))*ABS(B10-B9),IF((L27-C9)&gt;0,0.5*(L27-C9)*ABS((B9+((L27-C9)/((L27-C9)-(L27-C10)))*(B10-B9))-B9),0.5*(L27-C10)*ABS(B10-(B9+((L27-C9)/((L27-C9)-(L27-C10)))*(B10-B9)))))))+(IF(AND((L27-C10)&lt;=0,(L27-C11)&lt;=0),0,IF(AND((L27-C10)&gt;=0,(L27-C11)&gt;=0),0.5*((L27-C10)+(L27-C11))*ABS(B11-B10),IF((L27-C10)&gt;0,0.5*(L27-C10)*ABS((B10+((L27-C10)/((L27-C10)-(L27-C11)))*(B11-B10))-B10),0.5*(L27-C11)*ABS(B11-(B10+((L27-C10)/((L27-C10)-(L27-C11)))*(B11-B10)))))))+(IF(AND((L27-C11)&lt;=0,(L27-C12)&lt;=0),0,IF(AND((L27-C11)&gt;=0,(L27-C12)&gt;=0),0.5*((L27-C11)+(L27-C12))*ABS(B12-B11),IF((L27-C11)&gt;0,0.5*(L27-C11)*ABS((B11+((L27-C11)/((L27-C11)-(L27-C12)))*(B12-B11))-B11),0.5*(L27-C12)*ABS(B12-(B11+((L27-C11)/((L27-C11)-(L27-C12)))*(B12-B11)))))))+(IF(AND((L27-C12)&lt;=0,(L27-C13)&lt;=0),0,IF(AND((L27-C12)&gt;=0,(L27-C13)&gt;=0),0.5*((L27-C12)+(L27-C13))*ABS(B13-B12),IF((L27-C12)&gt;0,0.5*(L27-C12)*ABS((B12+((L27-C12)/((L27-C12)-(L27-C13)))*(B13-B12))-B12),0.5*(L27-C13)*ABS(B13-(B12+((L27-C12)/((L27-C12)-(L27-C13)))*(B13-B12)))))))+(IF(AND((L27-C13)&lt;=0,(L27-C14)&lt;=0),0,IF(AND((L27-C13)&gt;=0,(L27-C14)&gt;=0),0.5*((L27-C13)+(L27-C14))*ABS(B14-B13),IF((L27-C13)&gt;0,0.5*(L27-C13)*ABS((B13+((L27-C13)/((L27-C13)-(L27-C14)))*(B14-B13))-B13),0.5*(L27-C14)*ABS(B14-(B13+((L27-C13)/((L27-C13)-(L27-C14)))*(B14-B13)))))))</f>
        <v/>
      </c>
      <c r="N27">
        <f>(IF(AND((L27-C9)&lt;=0,(L27-C10)&lt;=0),0,IF(AND((L27-C9)&gt;=0,(L27-C10)&gt;=0),SQRT((B10-B9)^2+(C10-C9)^2),IF((L27-C9)&gt;0,SQRT(((B9+((L27-C9)/((L27-C9)-(L27-C10)))*(B10-B9))-B9)^2+(L27-C9)^2),SQRT((B10-(B9+((L27-C9)/((L27-C9)-(L27-C10)))*(B10-B9)))^2+(L27-C10)^2)))))+(IF(AND((L27-C10)&lt;=0,(L27-C11)&lt;=0),0,IF(AND((L27-C10)&gt;=0,(L27-C11)&gt;=0),SQRT((B11-B10)^2+(C11-C10)^2),IF((L27-C10)&gt;0,SQRT(((B10+((L27-C10)/((L27-C10)-(L27-C11)))*(B11-B10))-B10)^2+(L27-C10)^2),SQRT((B11-(B10+((L27-C10)/((L27-C10)-(L27-C11)))*(B11-B10)))^2+(L27-C11)^2)))))+(IF(AND((L27-C11)&lt;=0,(L27-C12)&lt;=0),0,IF(AND((L27-C11)&gt;=0,(L27-C12)&gt;=0),SQRT((B12-B11)^2+(C12-C11)^2),IF((L27-C11)&gt;0,SQRT(((B11+((L27-C11)/((L27-C11)-(L27-C12)))*(B12-B11))-B11)^2+(L27-C11)^2),SQRT((B12-(B11+((L27-C11)/((L27-C11)-(L27-C12)))*(B12-B11)))^2+(L27-C12)^2)))))+(IF(AND((L27-C12)&lt;=0,(L27-C13)&lt;=0),0,IF(AND((L27-C12)&gt;=0,(L27-C13)&gt;=0),SQRT((B13-B12)^2+(C13-C12)^2),IF((L27-C12)&gt;0,SQRT(((B12+((L27-C12)/((L27-C12)-(L27-C13)))*(B13-B12))-B12)^2+(L27-C12)^2),SQRT((B13-(B12+((L27-C12)/((L27-C12)-(L27-C13)))*(B13-B12)))^2+(L27-C13)^2)))))+(IF(AND((L27-C13)&lt;=0,(L27-C14)&lt;=0),0,IF(AND((L27-C13)&gt;=0,(L27-C14)&gt;=0),SQRT((B14-B13)^2+(C14-C13)^2),IF((L27-C13)&gt;0,SQRT(((B13+((L27-C13)/((L27-C13)-(L27-C14)))*(B14-B13))-B13)^2+(L27-C13)^2),SQRT((B14-(B13+((L27-C13)/((L27-C13)-(L27-C14)))*(B14-B13)))^2+(L27-C14)^2)))))</f>
        <v/>
      </c>
      <c r="O27">
        <f>IF(OR($B$6&lt;=0,M27&lt;=0,N27&lt;=0,$B$4&lt;=0),0,(1/$B$6)*M27*((M27/N27)^(2/3))*SQRT($B$4))</f>
        <v/>
      </c>
    </row>
    <row r="28">
      <c r="I28" t="n">
        <v>20</v>
      </c>
      <c r="J28">
        <f>IF(O27&lt;$B$5,L27,J27)</f>
        <v/>
      </c>
      <c r="K28">
        <f>IF(O27&lt;$B$5,K27,L27)</f>
        <v/>
      </c>
      <c r="L28">
        <f>(J28+K28)/2</f>
        <v/>
      </c>
      <c r="M28">
        <f>(IF(AND((L28-C9)&lt;=0,(L28-C10)&lt;=0),0,IF(AND((L28-C9)&gt;=0,(L28-C10)&gt;=0),0.5*((L28-C9)+(L28-C10))*ABS(B10-B9),IF((L28-C9)&gt;0,0.5*(L28-C9)*ABS((B9+((L28-C9)/((L28-C9)-(L28-C10)))*(B10-B9))-B9),0.5*(L28-C10)*ABS(B10-(B9+((L28-C9)/((L28-C9)-(L28-C10)))*(B10-B9)))))))+(IF(AND((L28-C10)&lt;=0,(L28-C11)&lt;=0),0,IF(AND((L28-C10)&gt;=0,(L28-C11)&gt;=0),0.5*((L28-C10)+(L28-C11))*ABS(B11-B10),IF((L28-C10)&gt;0,0.5*(L28-C10)*ABS((B10+((L28-C10)/((L28-C10)-(L28-C11)))*(B11-B10))-B10),0.5*(L28-C11)*ABS(B11-(B10+((L28-C10)/((L28-C10)-(L28-C11)))*(B11-B10)))))))+(IF(AND((L28-C11)&lt;=0,(L28-C12)&lt;=0),0,IF(AND((L28-C11)&gt;=0,(L28-C12)&gt;=0),0.5*((L28-C11)+(L28-C12))*ABS(B12-B11),IF((L28-C11)&gt;0,0.5*(L28-C11)*ABS((B11+((L28-C11)/((L28-C11)-(L28-C12)))*(B12-B11))-B11),0.5*(L28-C12)*ABS(B12-(B11+((L28-C11)/((L28-C11)-(L28-C12)))*(B12-B11)))))))+(IF(AND((L28-C12)&lt;=0,(L28-C13)&lt;=0),0,IF(AND((L28-C12)&gt;=0,(L28-C13)&gt;=0),0.5*((L28-C12)+(L28-C13))*ABS(B13-B12),IF((L28-C12)&gt;0,0.5*(L28-C12)*ABS((B12+((L28-C12)/((L28-C12)-(L28-C13)))*(B13-B12))-B12),0.5*(L28-C13)*ABS(B13-(B12+((L28-C12)/((L28-C12)-(L28-C13)))*(B13-B12)))))))+(IF(AND((L28-C13)&lt;=0,(L28-C14)&lt;=0),0,IF(AND((L28-C13)&gt;=0,(L28-C14)&gt;=0),0.5*((L28-C13)+(L28-C14))*ABS(B14-B13),IF((L28-C13)&gt;0,0.5*(L28-C13)*ABS((B13+((L28-C13)/((L28-C13)-(L28-C14)))*(B14-B13))-B13),0.5*(L28-C14)*ABS(B14-(B13+((L28-C13)/((L28-C13)-(L28-C14)))*(B14-B13)))))))</f>
        <v/>
      </c>
      <c r="N28">
        <f>(IF(AND((L28-C9)&lt;=0,(L28-C10)&lt;=0),0,IF(AND((L28-C9)&gt;=0,(L28-C10)&gt;=0),SQRT((B10-B9)^2+(C10-C9)^2),IF((L28-C9)&gt;0,SQRT(((B9+((L28-C9)/((L28-C9)-(L28-C10)))*(B10-B9))-B9)^2+(L28-C9)^2),SQRT((B10-(B9+((L28-C9)/((L28-C9)-(L28-C10)))*(B10-B9)))^2+(L28-C10)^2)))))+(IF(AND((L28-C10)&lt;=0,(L28-C11)&lt;=0),0,IF(AND((L28-C10)&gt;=0,(L28-C11)&gt;=0),SQRT((B11-B10)^2+(C11-C10)^2),IF((L28-C10)&gt;0,SQRT(((B10+((L28-C10)/((L28-C10)-(L28-C11)))*(B11-B10))-B10)^2+(L28-C10)^2),SQRT((B11-(B10+((L28-C10)/((L28-C10)-(L28-C11)))*(B11-B10)))^2+(L28-C11)^2)))))+(IF(AND((L28-C11)&lt;=0,(L28-C12)&lt;=0),0,IF(AND((L28-C11)&gt;=0,(L28-C12)&gt;=0),SQRT((B12-B11)^2+(C12-C11)^2),IF((L28-C11)&gt;0,SQRT(((B11+((L28-C11)/((L28-C11)-(L28-C12)))*(B12-B11))-B11)^2+(L28-C11)^2),SQRT((B12-(B11+((L28-C11)/((L28-C11)-(L28-C12)))*(B12-B11)))^2+(L28-C12)^2)))))+(IF(AND((L28-C12)&lt;=0,(L28-C13)&lt;=0),0,IF(AND((L28-C12)&gt;=0,(L28-C13)&gt;=0),SQRT((B13-B12)^2+(C13-C12)^2),IF((L28-C12)&gt;0,SQRT(((B12+((L28-C12)/((L28-C12)-(L28-C13)))*(B13-B12))-B12)^2+(L28-C12)^2),SQRT((B13-(B12+((L28-C12)/((L28-C12)-(L28-C13)))*(B13-B12)))^2+(L28-C13)^2)))))+(IF(AND((L28-C13)&lt;=0,(L28-C14)&lt;=0),0,IF(AND((L28-C13)&gt;=0,(L28-C14)&gt;=0),SQRT((B14-B13)^2+(C14-C13)^2),IF((L28-C13)&gt;0,SQRT(((B13+((L28-C13)/((L28-C13)-(L28-C14)))*(B14-B13))-B13)^2+(L28-C13)^2),SQRT((B14-(B13+((L28-C13)/((L28-C13)-(L28-C14)))*(B14-B13)))^2+(L28-C14)^2)))))</f>
        <v/>
      </c>
      <c r="O28">
        <f>IF(OR($B$6&lt;=0,M28&lt;=0,N28&lt;=0,$B$4&lt;=0),0,(1/$B$6)*M28*((M28/N28)^(2/3))*SQRT($B$4))</f>
        <v/>
      </c>
    </row>
    <row r="29">
      <c r="I29" t="n">
        <v>21</v>
      </c>
      <c r="J29">
        <f>IF(O28&lt;$B$5,L28,J28)</f>
        <v/>
      </c>
      <c r="K29">
        <f>IF(O28&lt;$B$5,K28,L28)</f>
        <v/>
      </c>
      <c r="L29">
        <f>(J29+K29)/2</f>
        <v/>
      </c>
      <c r="M29">
        <f>(IF(AND((L29-C9)&lt;=0,(L29-C10)&lt;=0),0,IF(AND((L29-C9)&gt;=0,(L29-C10)&gt;=0),0.5*((L29-C9)+(L29-C10))*ABS(B10-B9),IF((L29-C9)&gt;0,0.5*(L29-C9)*ABS((B9+((L29-C9)/((L29-C9)-(L29-C10)))*(B10-B9))-B9),0.5*(L29-C10)*ABS(B10-(B9+((L29-C9)/((L29-C9)-(L29-C10)))*(B10-B9)))))))+(IF(AND((L29-C10)&lt;=0,(L29-C11)&lt;=0),0,IF(AND((L29-C10)&gt;=0,(L29-C11)&gt;=0),0.5*((L29-C10)+(L29-C11))*ABS(B11-B10),IF((L29-C10)&gt;0,0.5*(L29-C10)*ABS((B10+((L29-C10)/((L29-C10)-(L29-C11)))*(B11-B10))-B10),0.5*(L29-C11)*ABS(B11-(B10+((L29-C10)/((L29-C10)-(L29-C11)))*(B11-B10)))))))+(IF(AND((L29-C11)&lt;=0,(L29-C12)&lt;=0),0,IF(AND((L29-C11)&gt;=0,(L29-C12)&gt;=0),0.5*((L29-C11)+(L29-C12))*ABS(B12-B11),IF((L29-C11)&gt;0,0.5*(L29-C11)*ABS((B11+((L29-C11)/((L29-C11)-(L29-C12)))*(B12-B11))-B11),0.5*(L29-C12)*ABS(B12-(B11+((L29-C11)/((L29-C11)-(L29-C12)))*(B12-B11)))))))+(IF(AND((L29-C12)&lt;=0,(L29-C13)&lt;=0),0,IF(AND((L29-C12)&gt;=0,(L29-C13)&gt;=0),0.5*((L29-C12)+(L29-C13))*ABS(B13-B12),IF((L29-C12)&gt;0,0.5*(L29-C12)*ABS((B12+((L29-C12)/((L29-C12)-(L29-C13)))*(B13-B12))-B12),0.5*(L29-C13)*ABS(B13-(B12+((L29-C12)/((L29-C12)-(L29-C13)))*(B13-B12)))))))+(IF(AND((L29-C13)&lt;=0,(L29-C14)&lt;=0),0,IF(AND((L29-C13)&gt;=0,(L29-C14)&gt;=0),0.5*((L29-C13)+(L29-C14))*ABS(B14-B13),IF((L29-C13)&gt;0,0.5*(L29-C13)*ABS((B13+((L29-C13)/((L29-C13)-(L29-C14)))*(B14-B13))-B13),0.5*(L29-C14)*ABS(B14-(B13+((L29-C13)/((L29-C13)-(L29-C14)))*(B14-B13)))))))</f>
        <v/>
      </c>
      <c r="N29">
        <f>(IF(AND((L29-C9)&lt;=0,(L29-C10)&lt;=0),0,IF(AND((L29-C9)&gt;=0,(L29-C10)&gt;=0),SQRT((B10-B9)^2+(C10-C9)^2),IF((L29-C9)&gt;0,SQRT(((B9+((L29-C9)/((L29-C9)-(L29-C10)))*(B10-B9))-B9)^2+(L29-C9)^2),SQRT((B10-(B9+((L29-C9)/((L29-C9)-(L29-C10)))*(B10-B9)))^2+(L29-C10)^2)))))+(IF(AND((L29-C10)&lt;=0,(L29-C11)&lt;=0),0,IF(AND((L29-C10)&gt;=0,(L29-C11)&gt;=0),SQRT((B11-B10)^2+(C11-C10)^2),IF((L29-C10)&gt;0,SQRT(((B10+((L29-C10)/((L29-C10)-(L29-C11)))*(B11-B10))-B10)^2+(L29-C10)^2),SQRT((B11-(B10+((L29-C10)/((L29-C10)-(L29-C11)))*(B11-B10)))^2+(L29-C11)^2)))))+(IF(AND((L29-C11)&lt;=0,(L29-C12)&lt;=0),0,IF(AND((L29-C11)&gt;=0,(L29-C12)&gt;=0),SQRT((B12-B11)^2+(C12-C11)^2),IF((L29-C11)&gt;0,SQRT(((B11+((L29-C11)/((L29-C11)-(L29-C12)))*(B12-B11))-B11)^2+(L29-C11)^2),SQRT((B12-(B11+((L29-C11)/((L29-C11)-(L29-C12)))*(B12-B11)))^2+(L29-C12)^2)))))+(IF(AND((L29-C12)&lt;=0,(L29-C13)&lt;=0),0,IF(AND((L29-C12)&gt;=0,(L29-C13)&gt;=0),SQRT((B13-B12)^2+(C13-C12)^2),IF((L29-C12)&gt;0,SQRT(((B12+((L29-C12)/((L29-C12)-(L29-C13)))*(B13-B12))-B12)^2+(L29-C12)^2),SQRT((B13-(B12+((L29-C12)/((L29-C12)-(L29-C13)))*(B13-B12)))^2+(L29-C13)^2)))))+(IF(AND((L29-C13)&lt;=0,(L29-C14)&lt;=0),0,IF(AND((L29-C13)&gt;=0,(L29-C14)&gt;=0),SQRT((B14-B13)^2+(C14-C13)^2),IF((L29-C13)&gt;0,SQRT(((B13+((L29-C13)/((L29-C13)-(L29-C14)))*(B14-B13))-B13)^2+(L29-C13)^2),SQRT((B14-(B13+((L29-C13)/((L29-C13)-(L29-C14)))*(B14-B13)))^2+(L29-C14)^2)))))</f>
        <v/>
      </c>
      <c r="O29">
        <f>IF(OR($B$6&lt;=0,M29&lt;=0,N29&lt;=0,$B$4&lt;=0),0,(1/$B$6)*M29*((M29/N29)^(2/3))*SQRT($B$4))</f>
        <v/>
      </c>
    </row>
    <row r="30">
      <c r="I30" t="n">
        <v>22</v>
      </c>
      <c r="J30">
        <f>IF(O29&lt;$B$5,L29,J29)</f>
        <v/>
      </c>
      <c r="K30">
        <f>IF(O29&lt;$B$5,K29,L29)</f>
        <v/>
      </c>
      <c r="L30">
        <f>(J30+K30)/2</f>
        <v/>
      </c>
      <c r="M30">
        <f>(IF(AND((L30-C9)&lt;=0,(L30-C10)&lt;=0),0,IF(AND((L30-C9)&gt;=0,(L30-C10)&gt;=0),0.5*((L30-C9)+(L30-C10))*ABS(B10-B9),IF((L30-C9)&gt;0,0.5*(L30-C9)*ABS((B9+((L30-C9)/((L30-C9)-(L30-C10)))*(B10-B9))-B9),0.5*(L30-C10)*ABS(B10-(B9+((L30-C9)/((L30-C9)-(L30-C10)))*(B10-B9)))))))+(IF(AND((L30-C10)&lt;=0,(L30-C11)&lt;=0),0,IF(AND((L30-C10)&gt;=0,(L30-C11)&gt;=0),0.5*((L30-C10)+(L30-C11))*ABS(B11-B10),IF((L30-C10)&gt;0,0.5*(L30-C10)*ABS((B10+((L30-C10)/((L30-C10)-(L30-C11)))*(B11-B10))-B10),0.5*(L30-C11)*ABS(B11-(B10+((L30-C10)/((L30-C10)-(L30-C11)))*(B11-B10)))))))+(IF(AND((L30-C11)&lt;=0,(L30-C12)&lt;=0),0,IF(AND((L30-C11)&gt;=0,(L30-C12)&gt;=0),0.5*((L30-C11)+(L30-C12))*ABS(B12-B11),IF((L30-C11)&gt;0,0.5*(L30-C11)*ABS((B11+((L30-C11)/((L30-C11)-(L30-C12)))*(B12-B11))-B11),0.5*(L30-C12)*ABS(B12-(B11+((L30-C11)/((L30-C11)-(L30-C12)))*(B12-B11)))))))+(IF(AND((L30-C12)&lt;=0,(L30-C13)&lt;=0),0,IF(AND((L30-C12)&gt;=0,(L30-C13)&gt;=0),0.5*((L30-C12)+(L30-C13))*ABS(B13-B12),IF((L30-C12)&gt;0,0.5*(L30-C12)*ABS((B12+((L30-C12)/((L30-C12)-(L30-C13)))*(B13-B12))-B12),0.5*(L30-C13)*ABS(B13-(B12+((L30-C12)/((L30-C12)-(L30-C13)))*(B13-B12)))))))+(IF(AND((L30-C13)&lt;=0,(L30-C14)&lt;=0),0,IF(AND((L30-C13)&gt;=0,(L30-C14)&gt;=0),0.5*((L30-C13)+(L30-C14))*ABS(B14-B13),IF((L30-C13)&gt;0,0.5*(L30-C13)*ABS((B13+((L30-C13)/((L30-C13)-(L30-C14)))*(B14-B13))-B13),0.5*(L30-C14)*ABS(B14-(B13+((L30-C13)/((L30-C13)-(L30-C14)))*(B14-B13)))))))</f>
        <v/>
      </c>
      <c r="N30">
        <f>(IF(AND((L30-C9)&lt;=0,(L30-C10)&lt;=0),0,IF(AND((L30-C9)&gt;=0,(L30-C10)&gt;=0),SQRT((B10-B9)^2+(C10-C9)^2),IF((L30-C9)&gt;0,SQRT(((B9+((L30-C9)/((L30-C9)-(L30-C10)))*(B10-B9))-B9)^2+(L30-C9)^2),SQRT((B10-(B9+((L30-C9)/((L30-C9)-(L30-C10)))*(B10-B9)))^2+(L30-C10)^2)))))+(IF(AND((L30-C10)&lt;=0,(L30-C11)&lt;=0),0,IF(AND((L30-C10)&gt;=0,(L30-C11)&gt;=0),SQRT((B11-B10)^2+(C11-C10)^2),IF((L30-C10)&gt;0,SQRT(((B10+((L30-C10)/((L30-C10)-(L30-C11)))*(B11-B10))-B10)^2+(L30-C10)^2),SQRT((B11-(B10+((L30-C10)/((L30-C10)-(L30-C11)))*(B11-B10)))^2+(L30-C11)^2)))))+(IF(AND((L30-C11)&lt;=0,(L30-C12)&lt;=0),0,IF(AND((L30-C11)&gt;=0,(L30-C12)&gt;=0),SQRT((B12-B11)^2+(C12-C11)^2),IF((L30-C11)&gt;0,SQRT(((B11+((L30-C11)/((L30-C11)-(L30-C12)))*(B12-B11))-B11)^2+(L30-C11)^2),SQRT((B12-(B11+((L30-C11)/((L30-C11)-(L30-C12)))*(B12-B11)))^2+(L30-C12)^2)))))+(IF(AND((L30-C12)&lt;=0,(L30-C13)&lt;=0),0,IF(AND((L30-C12)&gt;=0,(L30-C13)&gt;=0),SQRT((B13-B12)^2+(C13-C12)^2),IF((L30-C12)&gt;0,SQRT(((B12+((L30-C12)/((L30-C12)-(L30-C13)))*(B13-B12))-B12)^2+(L30-C12)^2),SQRT((B13-(B12+((L30-C12)/((L30-C12)-(L30-C13)))*(B13-B12)))^2+(L30-C13)^2)))))+(IF(AND((L30-C13)&lt;=0,(L30-C14)&lt;=0),0,IF(AND((L30-C13)&gt;=0,(L30-C14)&gt;=0),SQRT((B14-B13)^2+(C14-C13)^2),IF((L30-C13)&gt;0,SQRT(((B13+((L30-C13)/((L30-C13)-(L30-C14)))*(B14-B13))-B13)^2+(L30-C13)^2),SQRT((B14-(B13+((L30-C13)/((L30-C13)-(L30-C14)))*(B14-B13)))^2+(L30-C14)^2)))))</f>
        <v/>
      </c>
      <c r="O30">
        <f>IF(OR($B$6&lt;=0,M30&lt;=0,N30&lt;=0,$B$4&lt;=0),0,(1/$B$6)*M30*((M30/N30)^(2/3))*SQRT($B$4))</f>
        <v/>
      </c>
    </row>
    <row r="31">
      <c r="I31" t="n">
        <v>23</v>
      </c>
      <c r="J31">
        <f>IF(O30&lt;$B$5,L30,J30)</f>
        <v/>
      </c>
      <c r="K31">
        <f>IF(O30&lt;$B$5,K30,L30)</f>
        <v/>
      </c>
      <c r="L31">
        <f>(J31+K31)/2</f>
        <v/>
      </c>
      <c r="M31">
        <f>(IF(AND((L31-C9)&lt;=0,(L31-C10)&lt;=0),0,IF(AND((L31-C9)&gt;=0,(L31-C10)&gt;=0),0.5*((L31-C9)+(L31-C10))*ABS(B10-B9),IF((L31-C9)&gt;0,0.5*(L31-C9)*ABS((B9+((L31-C9)/((L31-C9)-(L31-C10)))*(B10-B9))-B9),0.5*(L31-C10)*ABS(B10-(B9+((L31-C9)/((L31-C9)-(L31-C10)))*(B10-B9)))))))+(IF(AND((L31-C10)&lt;=0,(L31-C11)&lt;=0),0,IF(AND((L31-C10)&gt;=0,(L31-C11)&gt;=0),0.5*((L31-C10)+(L31-C11))*ABS(B11-B10),IF((L31-C10)&gt;0,0.5*(L31-C10)*ABS((B10+((L31-C10)/((L31-C10)-(L31-C11)))*(B11-B10))-B10),0.5*(L31-C11)*ABS(B11-(B10+((L31-C10)/((L31-C10)-(L31-C11)))*(B11-B10)))))))+(IF(AND((L31-C11)&lt;=0,(L31-C12)&lt;=0),0,IF(AND((L31-C11)&gt;=0,(L31-C12)&gt;=0),0.5*((L31-C11)+(L31-C12))*ABS(B12-B11),IF((L31-C11)&gt;0,0.5*(L31-C11)*ABS((B11+((L31-C11)/((L31-C11)-(L31-C12)))*(B12-B11))-B11),0.5*(L31-C12)*ABS(B12-(B11+((L31-C11)/((L31-C11)-(L31-C12)))*(B12-B11)))))))+(IF(AND((L31-C12)&lt;=0,(L31-C13)&lt;=0),0,IF(AND((L31-C12)&gt;=0,(L31-C13)&gt;=0),0.5*((L31-C12)+(L31-C13))*ABS(B13-B12),IF((L31-C12)&gt;0,0.5*(L31-C12)*ABS((B12+((L31-C12)/((L31-C12)-(L31-C13)))*(B13-B12))-B12),0.5*(L31-C13)*ABS(B13-(B12+((L31-C12)/((L31-C12)-(L31-C13)))*(B13-B12)))))))+(IF(AND((L31-C13)&lt;=0,(L31-C14)&lt;=0),0,IF(AND((L31-C13)&gt;=0,(L31-C14)&gt;=0),0.5*((L31-C13)+(L31-C14))*ABS(B14-B13),IF((L31-C13)&gt;0,0.5*(L31-C13)*ABS((B13+((L31-C13)/((L31-C13)-(L31-C14)))*(B14-B13))-B13),0.5*(L31-C14)*ABS(B14-(B13+((L31-C13)/((L31-C13)-(L31-C14)))*(B14-B13)))))))</f>
        <v/>
      </c>
      <c r="N31">
        <f>(IF(AND((L31-C9)&lt;=0,(L31-C10)&lt;=0),0,IF(AND((L31-C9)&gt;=0,(L31-C10)&gt;=0),SQRT((B10-B9)^2+(C10-C9)^2),IF((L31-C9)&gt;0,SQRT(((B9+((L31-C9)/((L31-C9)-(L31-C10)))*(B10-B9))-B9)^2+(L31-C9)^2),SQRT((B10-(B9+((L31-C9)/((L31-C9)-(L31-C10)))*(B10-B9)))^2+(L31-C10)^2)))))+(IF(AND((L31-C10)&lt;=0,(L31-C11)&lt;=0),0,IF(AND((L31-C10)&gt;=0,(L31-C11)&gt;=0),SQRT((B11-B10)^2+(C11-C10)^2),IF((L31-C10)&gt;0,SQRT(((B10+((L31-C10)/((L31-C10)-(L31-C11)))*(B11-B10))-B10)^2+(L31-C10)^2),SQRT((B11-(B10+((L31-C10)/((L31-C10)-(L31-C11)))*(B11-B10)))^2+(L31-C11)^2)))))+(IF(AND((L31-C11)&lt;=0,(L31-C12)&lt;=0),0,IF(AND((L31-C11)&gt;=0,(L31-C12)&gt;=0),SQRT((B12-B11)^2+(C12-C11)^2),IF((L31-C11)&gt;0,SQRT(((B11+((L31-C11)/((L31-C11)-(L31-C12)))*(B12-B11))-B11)^2+(L31-C11)^2),SQRT((B12-(B11+((L31-C11)/((L31-C11)-(L31-C12)))*(B12-B11)))^2+(L31-C12)^2)))))+(IF(AND((L31-C12)&lt;=0,(L31-C13)&lt;=0),0,IF(AND((L31-C12)&gt;=0,(L31-C13)&gt;=0),SQRT((B13-B12)^2+(C13-C12)^2),IF((L31-C12)&gt;0,SQRT(((B12+((L31-C12)/((L31-C12)-(L31-C13)))*(B13-B12))-B12)^2+(L31-C12)^2),SQRT((B13-(B12+((L31-C12)/((L31-C12)-(L31-C13)))*(B13-B12)))^2+(L31-C13)^2)))))+(IF(AND((L31-C13)&lt;=0,(L31-C14)&lt;=0),0,IF(AND((L31-C13)&gt;=0,(L31-C14)&gt;=0),SQRT((B14-B13)^2+(C14-C13)^2),IF((L31-C13)&gt;0,SQRT(((B13+((L31-C13)/((L31-C13)-(L31-C14)))*(B14-B13))-B13)^2+(L31-C13)^2),SQRT((B14-(B13+((L31-C13)/((L31-C13)-(L31-C14)))*(B14-B13)))^2+(L31-C14)^2)))))</f>
        <v/>
      </c>
      <c r="O31">
        <f>IF(OR($B$6&lt;=0,M31&lt;=0,N31&lt;=0,$B$4&lt;=0),0,(1/$B$6)*M31*((M31/N31)^(2/3))*SQRT($B$4))</f>
        <v/>
      </c>
    </row>
    <row r="32">
      <c r="I32" t="n">
        <v>24</v>
      </c>
      <c r="J32">
        <f>IF(O31&lt;$B$5,L31,J31)</f>
        <v/>
      </c>
      <c r="K32">
        <f>IF(O31&lt;$B$5,K31,L31)</f>
        <v/>
      </c>
      <c r="L32">
        <f>(J32+K32)/2</f>
        <v/>
      </c>
      <c r="M32">
        <f>(IF(AND((L32-C9)&lt;=0,(L32-C10)&lt;=0),0,IF(AND((L32-C9)&gt;=0,(L32-C10)&gt;=0),0.5*((L32-C9)+(L32-C10))*ABS(B10-B9),IF((L32-C9)&gt;0,0.5*(L32-C9)*ABS((B9+((L32-C9)/((L32-C9)-(L32-C10)))*(B10-B9))-B9),0.5*(L32-C10)*ABS(B10-(B9+((L32-C9)/((L32-C9)-(L32-C10)))*(B10-B9)))))))+(IF(AND((L32-C10)&lt;=0,(L32-C11)&lt;=0),0,IF(AND((L32-C10)&gt;=0,(L32-C11)&gt;=0),0.5*((L32-C10)+(L32-C11))*ABS(B11-B10),IF((L32-C10)&gt;0,0.5*(L32-C10)*ABS((B10+((L32-C10)/((L32-C10)-(L32-C11)))*(B11-B10))-B10),0.5*(L32-C11)*ABS(B11-(B10+((L32-C10)/((L32-C10)-(L32-C11)))*(B11-B10)))))))+(IF(AND((L32-C11)&lt;=0,(L32-C12)&lt;=0),0,IF(AND((L32-C11)&gt;=0,(L32-C12)&gt;=0),0.5*((L32-C11)+(L32-C12))*ABS(B12-B11),IF((L32-C11)&gt;0,0.5*(L32-C11)*ABS((B11+((L32-C11)/((L32-C11)-(L32-C12)))*(B12-B11))-B11),0.5*(L32-C12)*ABS(B12-(B11+((L32-C11)/((L32-C11)-(L32-C12)))*(B12-B11)))))))+(IF(AND((L32-C12)&lt;=0,(L32-C13)&lt;=0),0,IF(AND((L32-C12)&gt;=0,(L32-C13)&gt;=0),0.5*((L32-C12)+(L32-C13))*ABS(B13-B12),IF((L32-C12)&gt;0,0.5*(L32-C12)*ABS((B12+((L32-C12)/((L32-C12)-(L32-C13)))*(B13-B12))-B12),0.5*(L32-C13)*ABS(B13-(B12+((L32-C12)/((L32-C12)-(L32-C13)))*(B13-B12)))))))+(IF(AND((L32-C13)&lt;=0,(L32-C14)&lt;=0),0,IF(AND((L32-C13)&gt;=0,(L32-C14)&gt;=0),0.5*((L32-C13)+(L32-C14))*ABS(B14-B13),IF((L32-C13)&gt;0,0.5*(L32-C13)*ABS((B13+((L32-C13)/((L32-C13)-(L32-C14)))*(B14-B13))-B13),0.5*(L32-C14)*ABS(B14-(B13+((L32-C13)/((L32-C13)-(L32-C14)))*(B14-B13)))))))</f>
        <v/>
      </c>
      <c r="N32">
        <f>(IF(AND((L32-C9)&lt;=0,(L32-C10)&lt;=0),0,IF(AND((L32-C9)&gt;=0,(L32-C10)&gt;=0),SQRT((B10-B9)^2+(C10-C9)^2),IF((L32-C9)&gt;0,SQRT(((B9+((L32-C9)/((L32-C9)-(L32-C10)))*(B10-B9))-B9)^2+(L32-C9)^2),SQRT((B10-(B9+((L32-C9)/((L32-C9)-(L32-C10)))*(B10-B9)))^2+(L32-C10)^2)))))+(IF(AND((L32-C10)&lt;=0,(L32-C11)&lt;=0),0,IF(AND((L32-C10)&gt;=0,(L32-C11)&gt;=0),SQRT((B11-B10)^2+(C11-C10)^2),IF((L32-C10)&gt;0,SQRT(((B10+((L32-C10)/((L32-C10)-(L32-C11)))*(B11-B10))-B10)^2+(L32-C10)^2),SQRT((B11-(B10+((L32-C10)/((L32-C10)-(L32-C11)))*(B11-B10)))^2+(L32-C11)^2)))))+(IF(AND((L32-C11)&lt;=0,(L32-C12)&lt;=0),0,IF(AND((L32-C11)&gt;=0,(L32-C12)&gt;=0),SQRT((B12-B11)^2+(C12-C11)^2),IF((L32-C11)&gt;0,SQRT(((B11+((L32-C11)/((L32-C11)-(L32-C12)))*(B12-B11))-B11)^2+(L32-C11)^2),SQRT((B12-(B11+((L32-C11)/((L32-C11)-(L32-C12)))*(B12-B11)))^2+(L32-C12)^2)))))+(IF(AND((L32-C12)&lt;=0,(L32-C13)&lt;=0),0,IF(AND((L32-C12)&gt;=0,(L32-C13)&gt;=0),SQRT((B13-B12)^2+(C13-C12)^2),IF((L32-C12)&gt;0,SQRT(((B12+((L32-C12)/((L32-C12)-(L32-C13)))*(B13-B12))-B12)^2+(L32-C12)^2),SQRT((B13-(B12+((L32-C12)/((L32-C12)-(L32-C13)))*(B13-B12)))^2+(L32-C13)^2)))))+(IF(AND((L32-C13)&lt;=0,(L32-C14)&lt;=0),0,IF(AND((L32-C13)&gt;=0,(L32-C14)&gt;=0),SQRT((B14-B13)^2+(C14-C13)^2),IF((L32-C13)&gt;0,SQRT(((B13+((L32-C13)/((L32-C13)-(L32-C14)))*(B14-B13))-B13)^2+(L32-C13)^2),SQRT((B14-(B13+((L32-C13)/((L32-C13)-(L32-C14)))*(B14-B13)))^2+(L32-C14)^2)))))</f>
        <v/>
      </c>
      <c r="O32">
        <f>IF(OR($B$6&lt;=0,M32&lt;=0,N32&lt;=0,$B$4&lt;=0),0,(1/$B$6)*M32*((M32/N32)^(2/3))*SQRT($B$4))</f>
        <v/>
      </c>
    </row>
    <row r="33">
      <c r="I33" t="n">
        <v>25</v>
      </c>
      <c r="J33">
        <f>IF(O32&lt;$B$5,L32,J32)</f>
        <v/>
      </c>
      <c r="K33">
        <f>IF(O32&lt;$B$5,K32,L32)</f>
        <v/>
      </c>
      <c r="L33">
        <f>(J33+K33)/2</f>
        <v/>
      </c>
      <c r="M33">
        <f>(IF(AND((L33-C9)&lt;=0,(L33-C10)&lt;=0),0,IF(AND((L33-C9)&gt;=0,(L33-C10)&gt;=0),0.5*((L33-C9)+(L33-C10))*ABS(B10-B9),IF((L33-C9)&gt;0,0.5*(L33-C9)*ABS((B9+((L33-C9)/((L33-C9)-(L33-C10)))*(B10-B9))-B9),0.5*(L33-C10)*ABS(B10-(B9+((L33-C9)/((L33-C9)-(L33-C10)))*(B10-B9)))))))+(IF(AND((L33-C10)&lt;=0,(L33-C11)&lt;=0),0,IF(AND((L33-C10)&gt;=0,(L33-C11)&gt;=0),0.5*((L33-C10)+(L33-C11))*ABS(B11-B10),IF((L33-C10)&gt;0,0.5*(L33-C10)*ABS((B10+((L33-C10)/((L33-C10)-(L33-C11)))*(B11-B10))-B10),0.5*(L33-C11)*ABS(B11-(B10+((L33-C10)/((L33-C10)-(L33-C11)))*(B11-B10)))))))+(IF(AND((L33-C11)&lt;=0,(L33-C12)&lt;=0),0,IF(AND((L33-C11)&gt;=0,(L33-C12)&gt;=0),0.5*((L33-C11)+(L33-C12))*ABS(B12-B11),IF((L33-C11)&gt;0,0.5*(L33-C11)*ABS((B11+((L33-C11)/((L33-C11)-(L33-C12)))*(B12-B11))-B11),0.5*(L33-C12)*ABS(B12-(B11+((L33-C11)/((L33-C11)-(L33-C12)))*(B12-B11)))))))+(IF(AND((L33-C12)&lt;=0,(L33-C13)&lt;=0),0,IF(AND((L33-C12)&gt;=0,(L33-C13)&gt;=0),0.5*((L33-C12)+(L33-C13))*ABS(B13-B12),IF((L33-C12)&gt;0,0.5*(L33-C12)*ABS((B12+((L33-C12)/((L33-C12)-(L33-C13)))*(B13-B12))-B12),0.5*(L33-C13)*ABS(B13-(B12+((L33-C12)/((L33-C12)-(L33-C13)))*(B13-B12)))))))+(IF(AND((L33-C13)&lt;=0,(L33-C14)&lt;=0),0,IF(AND((L33-C13)&gt;=0,(L33-C14)&gt;=0),0.5*((L33-C13)+(L33-C14))*ABS(B14-B13),IF((L33-C13)&gt;0,0.5*(L33-C13)*ABS((B13+((L33-C13)/((L33-C13)-(L33-C14)))*(B14-B13))-B13),0.5*(L33-C14)*ABS(B14-(B13+((L33-C13)/((L33-C13)-(L33-C14)))*(B14-B13)))))))</f>
        <v/>
      </c>
      <c r="N33">
        <f>(IF(AND((L33-C9)&lt;=0,(L33-C10)&lt;=0),0,IF(AND((L33-C9)&gt;=0,(L33-C10)&gt;=0),SQRT((B10-B9)^2+(C10-C9)^2),IF((L33-C9)&gt;0,SQRT(((B9+((L33-C9)/((L33-C9)-(L33-C10)))*(B10-B9))-B9)^2+(L33-C9)^2),SQRT((B10-(B9+((L33-C9)/((L33-C9)-(L33-C10)))*(B10-B9)))^2+(L33-C10)^2)))))+(IF(AND((L33-C10)&lt;=0,(L33-C11)&lt;=0),0,IF(AND((L33-C10)&gt;=0,(L33-C11)&gt;=0),SQRT((B11-B10)^2+(C11-C10)^2),IF((L33-C10)&gt;0,SQRT(((B10+((L33-C10)/((L33-C10)-(L33-C11)))*(B11-B10))-B10)^2+(L33-C10)^2),SQRT((B11-(B10+((L33-C10)/((L33-C10)-(L33-C11)))*(B11-B10)))^2+(L33-C11)^2)))))+(IF(AND((L33-C11)&lt;=0,(L33-C12)&lt;=0),0,IF(AND((L33-C11)&gt;=0,(L33-C12)&gt;=0),SQRT((B12-B11)^2+(C12-C11)^2),IF((L33-C11)&gt;0,SQRT(((B11+((L33-C11)/((L33-C11)-(L33-C12)))*(B12-B11))-B11)^2+(L33-C11)^2),SQRT((B12-(B11+((L33-C11)/((L33-C11)-(L33-C12)))*(B12-B11)))^2+(L33-C12)^2)))))+(IF(AND((L33-C12)&lt;=0,(L33-C13)&lt;=0),0,IF(AND((L33-C12)&gt;=0,(L33-C13)&gt;=0),SQRT((B13-B12)^2+(C13-C12)^2),IF((L33-C12)&gt;0,SQRT(((B12+((L33-C12)/((L33-C12)-(L33-C13)))*(B13-B12))-B12)^2+(L33-C12)^2),SQRT((B13-(B12+((L33-C12)/((L33-C12)-(L33-C13)))*(B13-B12)))^2+(L33-C13)^2)))))+(IF(AND((L33-C13)&lt;=0,(L33-C14)&lt;=0),0,IF(AND((L33-C13)&gt;=0,(L33-C14)&gt;=0),SQRT((B14-B13)^2+(C14-C13)^2),IF((L33-C13)&gt;0,SQRT(((B13+((L33-C13)/((L33-C13)-(L33-C14)))*(B14-B13))-B13)^2+(L33-C13)^2),SQRT((B14-(B13+((L33-C13)/((L33-C13)-(L33-C14)))*(B14-B13)))^2+(L33-C14)^2)))))</f>
        <v/>
      </c>
      <c r="O33">
        <f>IF(OR($B$6&lt;=0,M33&lt;=0,N33&lt;=0,$B$4&lt;=0),0,(1/$B$6)*M33*((M33/N33)^(2/3))*SQRT($B$4))</f>
        <v/>
      </c>
    </row>
    <row r="34">
      <c r="I34" t="n">
        <v>26</v>
      </c>
      <c r="J34">
        <f>IF(O33&lt;$B$5,L33,J33)</f>
        <v/>
      </c>
      <c r="K34">
        <f>IF(O33&lt;$B$5,K33,L33)</f>
        <v/>
      </c>
      <c r="L34">
        <f>(J34+K34)/2</f>
        <v/>
      </c>
      <c r="M34">
        <f>(IF(AND((L34-C9)&lt;=0,(L34-C10)&lt;=0),0,IF(AND((L34-C9)&gt;=0,(L34-C10)&gt;=0),0.5*((L34-C9)+(L34-C10))*ABS(B10-B9),IF((L34-C9)&gt;0,0.5*(L34-C9)*ABS((B9+((L34-C9)/((L34-C9)-(L34-C10)))*(B10-B9))-B9),0.5*(L34-C10)*ABS(B10-(B9+((L34-C9)/((L34-C9)-(L34-C10)))*(B10-B9)))))))+(IF(AND((L34-C10)&lt;=0,(L34-C11)&lt;=0),0,IF(AND((L34-C10)&gt;=0,(L34-C11)&gt;=0),0.5*((L34-C10)+(L34-C11))*ABS(B11-B10),IF((L34-C10)&gt;0,0.5*(L34-C10)*ABS((B10+((L34-C10)/((L34-C10)-(L34-C11)))*(B11-B10))-B10),0.5*(L34-C11)*ABS(B11-(B10+((L34-C10)/((L34-C10)-(L34-C11)))*(B11-B10)))))))+(IF(AND((L34-C11)&lt;=0,(L34-C12)&lt;=0),0,IF(AND((L34-C11)&gt;=0,(L34-C12)&gt;=0),0.5*((L34-C11)+(L34-C12))*ABS(B12-B11),IF((L34-C11)&gt;0,0.5*(L34-C11)*ABS((B11+((L34-C11)/((L34-C11)-(L34-C12)))*(B12-B11))-B11),0.5*(L34-C12)*ABS(B12-(B11+((L34-C11)/((L34-C11)-(L34-C12)))*(B12-B11)))))))+(IF(AND((L34-C12)&lt;=0,(L34-C13)&lt;=0),0,IF(AND((L34-C12)&gt;=0,(L34-C13)&gt;=0),0.5*((L34-C12)+(L34-C13))*ABS(B13-B12),IF((L34-C12)&gt;0,0.5*(L34-C12)*ABS((B12+((L34-C12)/((L34-C12)-(L34-C13)))*(B13-B12))-B12),0.5*(L34-C13)*ABS(B13-(B12+((L34-C12)/((L34-C12)-(L34-C13)))*(B13-B12)))))))+(IF(AND((L34-C13)&lt;=0,(L34-C14)&lt;=0),0,IF(AND((L34-C13)&gt;=0,(L34-C14)&gt;=0),0.5*((L34-C13)+(L34-C14))*ABS(B14-B13),IF((L34-C13)&gt;0,0.5*(L34-C13)*ABS((B13+((L34-C13)/((L34-C13)-(L34-C14)))*(B14-B13))-B13),0.5*(L34-C14)*ABS(B14-(B13+((L34-C13)/((L34-C13)-(L34-C14)))*(B14-B13)))))))</f>
        <v/>
      </c>
      <c r="N34">
        <f>(IF(AND((L34-C9)&lt;=0,(L34-C10)&lt;=0),0,IF(AND((L34-C9)&gt;=0,(L34-C10)&gt;=0),SQRT((B10-B9)^2+(C10-C9)^2),IF((L34-C9)&gt;0,SQRT(((B9+((L34-C9)/((L34-C9)-(L34-C10)))*(B10-B9))-B9)^2+(L34-C9)^2),SQRT((B10-(B9+((L34-C9)/((L34-C9)-(L34-C10)))*(B10-B9)))^2+(L34-C10)^2)))))+(IF(AND((L34-C10)&lt;=0,(L34-C11)&lt;=0),0,IF(AND((L34-C10)&gt;=0,(L34-C11)&gt;=0),SQRT((B11-B10)^2+(C11-C10)^2),IF((L34-C10)&gt;0,SQRT(((B10+((L34-C10)/((L34-C10)-(L34-C11)))*(B11-B10))-B10)^2+(L34-C10)^2),SQRT((B11-(B10+((L34-C10)/((L34-C10)-(L34-C11)))*(B11-B10)))^2+(L34-C11)^2)))))+(IF(AND((L34-C11)&lt;=0,(L34-C12)&lt;=0),0,IF(AND((L34-C11)&gt;=0,(L34-C12)&gt;=0),SQRT((B12-B11)^2+(C12-C11)^2),IF((L34-C11)&gt;0,SQRT(((B11+((L34-C11)/((L34-C11)-(L34-C12)))*(B12-B11))-B11)^2+(L34-C11)^2),SQRT((B12-(B11+((L34-C11)/((L34-C11)-(L34-C12)))*(B12-B11)))^2+(L34-C12)^2)))))+(IF(AND((L34-C12)&lt;=0,(L34-C13)&lt;=0),0,IF(AND((L34-C12)&gt;=0,(L34-C13)&gt;=0),SQRT((B13-B12)^2+(C13-C12)^2),IF((L34-C12)&gt;0,SQRT(((B12+((L34-C12)/((L34-C12)-(L34-C13)))*(B13-B12))-B12)^2+(L34-C12)^2),SQRT((B13-(B12+((L34-C12)/((L34-C12)-(L34-C13)))*(B13-B12)))^2+(L34-C13)^2)))))+(IF(AND((L34-C13)&lt;=0,(L34-C14)&lt;=0),0,IF(AND((L34-C13)&gt;=0,(L34-C14)&gt;=0),SQRT((B14-B13)^2+(C14-C13)^2),IF((L34-C13)&gt;0,SQRT(((B13+((L34-C13)/((L34-C13)-(L34-C14)))*(B14-B13))-B13)^2+(L34-C13)^2),SQRT((B14-(B13+((L34-C13)/((L34-C13)-(L34-C14)))*(B14-B13)))^2+(L34-C14)^2)))))</f>
        <v/>
      </c>
      <c r="O34">
        <f>IF(OR($B$6&lt;=0,M34&lt;=0,N34&lt;=0,$B$4&lt;=0),0,(1/$B$6)*M34*((M34/N34)^(2/3))*SQRT($B$4))</f>
        <v/>
      </c>
    </row>
    <row r="35">
      <c r="I35" t="n">
        <v>27</v>
      </c>
      <c r="J35">
        <f>IF(O34&lt;$B$5,L34,J34)</f>
        <v/>
      </c>
      <c r="K35">
        <f>IF(O34&lt;$B$5,K34,L34)</f>
        <v/>
      </c>
      <c r="L35">
        <f>(J35+K35)/2</f>
        <v/>
      </c>
      <c r="M35">
        <f>(IF(AND((L35-C9)&lt;=0,(L35-C10)&lt;=0),0,IF(AND((L35-C9)&gt;=0,(L35-C10)&gt;=0),0.5*((L35-C9)+(L35-C10))*ABS(B10-B9),IF((L35-C9)&gt;0,0.5*(L35-C9)*ABS((B9+((L35-C9)/((L35-C9)-(L35-C10)))*(B10-B9))-B9),0.5*(L35-C10)*ABS(B10-(B9+((L35-C9)/((L35-C9)-(L35-C10)))*(B10-B9)))))))+(IF(AND((L35-C10)&lt;=0,(L35-C11)&lt;=0),0,IF(AND((L35-C10)&gt;=0,(L35-C11)&gt;=0),0.5*((L35-C10)+(L35-C11))*ABS(B11-B10),IF((L35-C10)&gt;0,0.5*(L35-C10)*ABS((B10+((L35-C10)/((L35-C10)-(L35-C11)))*(B11-B10))-B10),0.5*(L35-C11)*ABS(B11-(B10+((L35-C10)/((L35-C10)-(L35-C11)))*(B11-B10)))))))+(IF(AND((L35-C11)&lt;=0,(L35-C12)&lt;=0),0,IF(AND((L35-C11)&gt;=0,(L35-C12)&gt;=0),0.5*((L35-C11)+(L35-C12))*ABS(B12-B11),IF((L35-C11)&gt;0,0.5*(L35-C11)*ABS((B11+((L35-C11)/((L35-C11)-(L35-C12)))*(B12-B11))-B11),0.5*(L35-C12)*ABS(B12-(B11+((L35-C11)/((L35-C11)-(L35-C12)))*(B12-B11)))))))+(IF(AND((L35-C12)&lt;=0,(L35-C13)&lt;=0),0,IF(AND((L35-C12)&gt;=0,(L35-C13)&gt;=0),0.5*((L35-C12)+(L35-C13))*ABS(B13-B12),IF((L35-C12)&gt;0,0.5*(L35-C12)*ABS((B12+((L35-C12)/((L35-C12)-(L35-C13)))*(B13-B12))-B12),0.5*(L35-C13)*ABS(B13-(B12+((L35-C12)/((L35-C12)-(L35-C13)))*(B13-B12)))))))+(IF(AND((L35-C13)&lt;=0,(L35-C14)&lt;=0),0,IF(AND((L35-C13)&gt;=0,(L35-C14)&gt;=0),0.5*((L35-C13)+(L35-C14))*ABS(B14-B13),IF((L35-C13)&gt;0,0.5*(L35-C13)*ABS((B13+((L35-C13)/((L35-C13)-(L35-C14)))*(B14-B13))-B13),0.5*(L35-C14)*ABS(B14-(B13+((L35-C13)/((L35-C13)-(L35-C14)))*(B14-B13)))))))</f>
        <v/>
      </c>
      <c r="N35">
        <f>(IF(AND((L35-C9)&lt;=0,(L35-C10)&lt;=0),0,IF(AND((L35-C9)&gt;=0,(L35-C10)&gt;=0),SQRT((B10-B9)^2+(C10-C9)^2),IF((L35-C9)&gt;0,SQRT(((B9+((L35-C9)/((L35-C9)-(L35-C10)))*(B10-B9))-B9)^2+(L35-C9)^2),SQRT((B10-(B9+((L35-C9)/((L35-C9)-(L35-C10)))*(B10-B9)))^2+(L35-C10)^2)))))+(IF(AND((L35-C10)&lt;=0,(L35-C11)&lt;=0),0,IF(AND((L35-C10)&gt;=0,(L35-C11)&gt;=0),SQRT((B11-B10)^2+(C11-C10)^2),IF((L35-C10)&gt;0,SQRT(((B10+((L35-C10)/((L35-C10)-(L35-C11)))*(B11-B10))-B10)^2+(L35-C10)^2),SQRT((B11-(B10+((L35-C10)/((L35-C10)-(L35-C11)))*(B11-B10)))^2+(L35-C11)^2)))))+(IF(AND((L35-C11)&lt;=0,(L35-C12)&lt;=0),0,IF(AND((L35-C11)&gt;=0,(L35-C12)&gt;=0),SQRT((B12-B11)^2+(C12-C11)^2),IF((L35-C11)&gt;0,SQRT(((B11+((L35-C11)/((L35-C11)-(L35-C12)))*(B12-B11))-B11)^2+(L35-C11)^2),SQRT((B12-(B11+((L35-C11)/((L35-C11)-(L35-C12)))*(B12-B11)))^2+(L35-C12)^2)))))+(IF(AND((L35-C12)&lt;=0,(L35-C13)&lt;=0),0,IF(AND((L35-C12)&gt;=0,(L35-C13)&gt;=0),SQRT((B13-B12)^2+(C13-C12)^2),IF((L35-C12)&gt;0,SQRT(((B12+((L35-C12)/((L35-C12)-(L35-C13)))*(B13-B12))-B12)^2+(L35-C12)^2),SQRT((B13-(B12+((L35-C12)/((L35-C12)-(L35-C13)))*(B13-B12)))^2+(L35-C13)^2)))))+(IF(AND((L35-C13)&lt;=0,(L35-C14)&lt;=0),0,IF(AND((L35-C13)&gt;=0,(L35-C14)&gt;=0),SQRT((B14-B13)^2+(C14-C13)^2),IF((L35-C13)&gt;0,SQRT(((B13+((L35-C13)/((L35-C13)-(L35-C14)))*(B14-B13))-B13)^2+(L35-C13)^2),SQRT((B14-(B13+((L35-C13)/((L35-C13)-(L35-C14)))*(B14-B13)))^2+(L35-C14)^2)))))</f>
        <v/>
      </c>
      <c r="O35">
        <f>IF(OR($B$6&lt;=0,M35&lt;=0,N35&lt;=0,$B$4&lt;=0),0,(1/$B$6)*M35*((M35/N35)^(2/3))*SQRT($B$4))</f>
        <v/>
      </c>
    </row>
    <row r="36">
      <c r="I36" t="n">
        <v>28</v>
      </c>
      <c r="J36">
        <f>IF(O35&lt;$B$5,L35,J35)</f>
        <v/>
      </c>
      <c r="K36">
        <f>IF(O35&lt;$B$5,K35,L35)</f>
        <v/>
      </c>
      <c r="L36">
        <f>(J36+K36)/2</f>
        <v/>
      </c>
      <c r="M36">
        <f>(IF(AND((L36-C9)&lt;=0,(L36-C10)&lt;=0),0,IF(AND((L36-C9)&gt;=0,(L36-C10)&gt;=0),0.5*((L36-C9)+(L36-C10))*ABS(B10-B9),IF((L36-C9)&gt;0,0.5*(L36-C9)*ABS((B9+((L36-C9)/((L36-C9)-(L36-C10)))*(B10-B9))-B9),0.5*(L36-C10)*ABS(B10-(B9+((L36-C9)/((L36-C9)-(L36-C10)))*(B10-B9)))))))+(IF(AND((L36-C10)&lt;=0,(L36-C11)&lt;=0),0,IF(AND((L36-C10)&gt;=0,(L36-C11)&gt;=0),0.5*((L36-C10)+(L36-C11))*ABS(B11-B10),IF((L36-C10)&gt;0,0.5*(L36-C10)*ABS((B10+((L36-C10)/((L36-C10)-(L36-C11)))*(B11-B10))-B10),0.5*(L36-C11)*ABS(B11-(B10+((L36-C10)/((L36-C10)-(L36-C11)))*(B11-B10)))))))+(IF(AND((L36-C11)&lt;=0,(L36-C12)&lt;=0),0,IF(AND((L36-C11)&gt;=0,(L36-C12)&gt;=0),0.5*((L36-C11)+(L36-C12))*ABS(B12-B11),IF((L36-C11)&gt;0,0.5*(L36-C11)*ABS((B11+((L36-C11)/((L36-C11)-(L36-C12)))*(B12-B11))-B11),0.5*(L36-C12)*ABS(B12-(B11+((L36-C11)/((L36-C11)-(L36-C12)))*(B12-B11)))))))+(IF(AND((L36-C12)&lt;=0,(L36-C13)&lt;=0),0,IF(AND((L36-C12)&gt;=0,(L36-C13)&gt;=0),0.5*((L36-C12)+(L36-C13))*ABS(B13-B12),IF((L36-C12)&gt;0,0.5*(L36-C12)*ABS((B12+((L36-C12)/((L36-C12)-(L36-C13)))*(B13-B12))-B12),0.5*(L36-C13)*ABS(B13-(B12+((L36-C12)/((L36-C12)-(L36-C13)))*(B13-B12)))))))+(IF(AND((L36-C13)&lt;=0,(L36-C14)&lt;=0),0,IF(AND((L36-C13)&gt;=0,(L36-C14)&gt;=0),0.5*((L36-C13)+(L36-C14))*ABS(B14-B13),IF((L36-C13)&gt;0,0.5*(L36-C13)*ABS((B13+((L36-C13)/((L36-C13)-(L36-C14)))*(B14-B13))-B13),0.5*(L36-C14)*ABS(B14-(B13+((L36-C13)/((L36-C13)-(L36-C14)))*(B14-B13)))))))</f>
        <v/>
      </c>
      <c r="N36">
        <f>(IF(AND((L36-C9)&lt;=0,(L36-C10)&lt;=0),0,IF(AND((L36-C9)&gt;=0,(L36-C10)&gt;=0),SQRT((B10-B9)^2+(C10-C9)^2),IF((L36-C9)&gt;0,SQRT(((B9+((L36-C9)/((L36-C9)-(L36-C10)))*(B10-B9))-B9)^2+(L36-C9)^2),SQRT((B10-(B9+((L36-C9)/((L36-C9)-(L36-C10)))*(B10-B9)))^2+(L36-C10)^2)))))+(IF(AND((L36-C10)&lt;=0,(L36-C11)&lt;=0),0,IF(AND((L36-C10)&gt;=0,(L36-C11)&gt;=0),SQRT((B11-B10)^2+(C11-C10)^2),IF((L36-C10)&gt;0,SQRT(((B10+((L36-C10)/((L36-C10)-(L36-C11)))*(B11-B10))-B10)^2+(L36-C10)^2),SQRT((B11-(B10+((L36-C10)/((L36-C10)-(L36-C11)))*(B11-B10)))^2+(L36-C11)^2)))))+(IF(AND((L36-C11)&lt;=0,(L36-C12)&lt;=0),0,IF(AND((L36-C11)&gt;=0,(L36-C12)&gt;=0),SQRT((B12-B11)^2+(C12-C11)^2),IF((L36-C11)&gt;0,SQRT(((B11+((L36-C11)/((L36-C11)-(L36-C12)))*(B12-B11))-B11)^2+(L36-C11)^2),SQRT((B12-(B11+((L36-C11)/((L36-C11)-(L36-C12)))*(B12-B11)))^2+(L36-C12)^2)))))+(IF(AND((L36-C12)&lt;=0,(L36-C13)&lt;=0),0,IF(AND((L36-C12)&gt;=0,(L36-C13)&gt;=0),SQRT((B13-B12)^2+(C13-C12)^2),IF((L36-C12)&gt;0,SQRT(((B12+((L36-C12)/((L36-C12)-(L36-C13)))*(B13-B12))-B12)^2+(L36-C12)^2),SQRT((B13-(B12+((L36-C12)/((L36-C12)-(L36-C13)))*(B13-B12)))^2+(L36-C13)^2)))))+(IF(AND((L36-C13)&lt;=0,(L36-C14)&lt;=0),0,IF(AND((L36-C13)&gt;=0,(L36-C14)&gt;=0),SQRT((B14-B13)^2+(C14-C13)^2),IF((L36-C13)&gt;0,SQRT(((B13+((L36-C13)/((L36-C13)-(L36-C14)))*(B14-B13))-B13)^2+(L36-C13)^2),SQRT((B14-(B13+((L36-C13)/((L36-C13)-(L36-C14)))*(B14-B13)))^2+(L36-C14)^2)))))</f>
        <v/>
      </c>
      <c r="O36">
        <f>IF(OR($B$6&lt;=0,M36&lt;=0,N36&lt;=0,$B$4&lt;=0),0,(1/$B$6)*M36*((M36/N36)^(2/3))*SQRT($B$4))</f>
        <v/>
      </c>
    </row>
    <row r="37">
      <c r="I37" t="n">
        <v>29</v>
      </c>
      <c r="J37">
        <f>IF(O36&lt;$B$5,L36,J36)</f>
        <v/>
      </c>
      <c r="K37">
        <f>IF(O36&lt;$B$5,K36,L36)</f>
        <v/>
      </c>
      <c r="L37">
        <f>(J37+K37)/2</f>
        <v/>
      </c>
      <c r="M37">
        <f>(IF(AND((L37-C9)&lt;=0,(L37-C10)&lt;=0),0,IF(AND((L37-C9)&gt;=0,(L37-C10)&gt;=0),0.5*((L37-C9)+(L37-C10))*ABS(B10-B9),IF((L37-C9)&gt;0,0.5*(L37-C9)*ABS((B9+((L37-C9)/((L37-C9)-(L37-C10)))*(B10-B9))-B9),0.5*(L37-C10)*ABS(B10-(B9+((L37-C9)/((L37-C9)-(L37-C10)))*(B10-B9)))))))+(IF(AND((L37-C10)&lt;=0,(L37-C11)&lt;=0),0,IF(AND((L37-C10)&gt;=0,(L37-C11)&gt;=0),0.5*((L37-C10)+(L37-C11))*ABS(B11-B10),IF((L37-C10)&gt;0,0.5*(L37-C10)*ABS((B10+((L37-C10)/((L37-C10)-(L37-C11)))*(B11-B10))-B10),0.5*(L37-C11)*ABS(B11-(B10+((L37-C10)/((L37-C10)-(L37-C11)))*(B11-B10)))))))+(IF(AND((L37-C11)&lt;=0,(L37-C12)&lt;=0),0,IF(AND((L37-C11)&gt;=0,(L37-C12)&gt;=0),0.5*((L37-C11)+(L37-C12))*ABS(B12-B11),IF((L37-C11)&gt;0,0.5*(L37-C11)*ABS((B11+((L37-C11)/((L37-C11)-(L37-C12)))*(B12-B11))-B11),0.5*(L37-C12)*ABS(B12-(B11+((L37-C11)/((L37-C11)-(L37-C12)))*(B12-B11)))))))+(IF(AND((L37-C12)&lt;=0,(L37-C13)&lt;=0),0,IF(AND((L37-C12)&gt;=0,(L37-C13)&gt;=0),0.5*((L37-C12)+(L37-C13))*ABS(B13-B12),IF((L37-C12)&gt;0,0.5*(L37-C12)*ABS((B12+((L37-C12)/((L37-C12)-(L37-C13)))*(B13-B12))-B12),0.5*(L37-C13)*ABS(B13-(B12+((L37-C12)/((L37-C12)-(L37-C13)))*(B13-B12)))))))+(IF(AND((L37-C13)&lt;=0,(L37-C14)&lt;=0),0,IF(AND((L37-C13)&gt;=0,(L37-C14)&gt;=0),0.5*((L37-C13)+(L37-C14))*ABS(B14-B13),IF((L37-C13)&gt;0,0.5*(L37-C13)*ABS((B13+((L37-C13)/((L37-C13)-(L37-C14)))*(B14-B13))-B13),0.5*(L37-C14)*ABS(B14-(B13+((L37-C13)/((L37-C13)-(L37-C14)))*(B14-B13)))))))</f>
        <v/>
      </c>
      <c r="N37">
        <f>(IF(AND((L37-C9)&lt;=0,(L37-C10)&lt;=0),0,IF(AND((L37-C9)&gt;=0,(L37-C10)&gt;=0),SQRT((B10-B9)^2+(C10-C9)^2),IF((L37-C9)&gt;0,SQRT(((B9+((L37-C9)/((L37-C9)-(L37-C10)))*(B10-B9))-B9)^2+(L37-C9)^2),SQRT((B10-(B9+((L37-C9)/((L37-C9)-(L37-C10)))*(B10-B9)))^2+(L37-C10)^2)))))+(IF(AND((L37-C10)&lt;=0,(L37-C11)&lt;=0),0,IF(AND((L37-C10)&gt;=0,(L37-C11)&gt;=0),SQRT((B11-B10)^2+(C11-C10)^2),IF((L37-C10)&gt;0,SQRT(((B10+((L37-C10)/((L37-C10)-(L37-C11)))*(B11-B10))-B10)^2+(L37-C10)^2),SQRT((B11-(B10+((L37-C10)/((L37-C10)-(L37-C11)))*(B11-B10)))^2+(L37-C11)^2)))))+(IF(AND((L37-C11)&lt;=0,(L37-C12)&lt;=0),0,IF(AND((L37-C11)&gt;=0,(L37-C12)&gt;=0),SQRT((B12-B11)^2+(C12-C11)^2),IF((L37-C11)&gt;0,SQRT(((B11+((L37-C11)/((L37-C11)-(L37-C12)))*(B12-B11))-B11)^2+(L37-C11)^2),SQRT((B12-(B11+((L37-C11)/((L37-C11)-(L37-C12)))*(B12-B11)))^2+(L37-C12)^2)))))+(IF(AND((L37-C12)&lt;=0,(L37-C13)&lt;=0),0,IF(AND((L37-C12)&gt;=0,(L37-C13)&gt;=0),SQRT((B13-B12)^2+(C13-C12)^2),IF((L37-C12)&gt;0,SQRT(((B12+((L37-C12)/((L37-C12)-(L37-C13)))*(B13-B12))-B12)^2+(L37-C12)^2),SQRT((B13-(B12+((L37-C12)/((L37-C12)-(L37-C13)))*(B13-B12)))^2+(L37-C13)^2)))))+(IF(AND((L37-C13)&lt;=0,(L37-C14)&lt;=0),0,IF(AND((L37-C13)&gt;=0,(L37-C14)&gt;=0),SQRT((B14-B13)^2+(C14-C13)^2),IF((L37-C13)&gt;0,SQRT(((B13+((L37-C13)/((L37-C13)-(L37-C14)))*(B14-B13))-B13)^2+(L37-C13)^2),SQRT((B14-(B13+((L37-C13)/((L37-C13)-(L37-C14)))*(B14-B13)))^2+(L37-C14)^2)))))</f>
        <v/>
      </c>
      <c r="O37">
        <f>IF(OR($B$6&lt;=0,M37&lt;=0,N37&lt;=0,$B$4&lt;=0),0,(1/$B$6)*M37*((M37/N37)^(2/3))*SQRT($B$4))</f>
        <v/>
      </c>
    </row>
    <row r="38">
      <c r="I38" t="n">
        <v>30</v>
      </c>
      <c r="J38">
        <f>IF(O37&lt;$B$5,L37,J37)</f>
        <v/>
      </c>
      <c r="K38">
        <f>IF(O37&lt;$B$5,K37,L37)</f>
        <v/>
      </c>
      <c r="L38">
        <f>(J38+K38)/2</f>
        <v/>
      </c>
      <c r="M38">
        <f>(IF(AND((L38-C9)&lt;=0,(L38-C10)&lt;=0),0,IF(AND((L38-C9)&gt;=0,(L38-C10)&gt;=0),0.5*((L38-C9)+(L38-C10))*ABS(B10-B9),IF((L38-C9)&gt;0,0.5*(L38-C9)*ABS((B9+((L38-C9)/((L38-C9)-(L38-C10)))*(B10-B9))-B9),0.5*(L38-C10)*ABS(B10-(B9+((L38-C9)/((L38-C9)-(L38-C10)))*(B10-B9)))))))+(IF(AND((L38-C10)&lt;=0,(L38-C11)&lt;=0),0,IF(AND((L38-C10)&gt;=0,(L38-C11)&gt;=0),0.5*((L38-C10)+(L38-C11))*ABS(B11-B10),IF((L38-C10)&gt;0,0.5*(L38-C10)*ABS((B10+((L38-C10)/((L38-C10)-(L38-C11)))*(B11-B10))-B10),0.5*(L38-C11)*ABS(B11-(B10+((L38-C10)/((L38-C10)-(L38-C11)))*(B11-B10)))))))+(IF(AND((L38-C11)&lt;=0,(L38-C12)&lt;=0),0,IF(AND((L38-C11)&gt;=0,(L38-C12)&gt;=0),0.5*((L38-C11)+(L38-C12))*ABS(B12-B11),IF((L38-C11)&gt;0,0.5*(L38-C11)*ABS((B11+((L38-C11)/((L38-C11)-(L38-C12)))*(B12-B11))-B11),0.5*(L38-C12)*ABS(B12-(B11+((L38-C11)/((L38-C11)-(L38-C12)))*(B12-B11)))))))+(IF(AND((L38-C12)&lt;=0,(L38-C13)&lt;=0),0,IF(AND((L38-C12)&gt;=0,(L38-C13)&gt;=0),0.5*((L38-C12)+(L38-C13))*ABS(B13-B12),IF((L38-C12)&gt;0,0.5*(L38-C12)*ABS((B12+((L38-C12)/((L38-C12)-(L38-C13)))*(B13-B12))-B12),0.5*(L38-C13)*ABS(B13-(B12+((L38-C12)/((L38-C12)-(L38-C13)))*(B13-B12)))))))+(IF(AND((L38-C13)&lt;=0,(L38-C14)&lt;=0),0,IF(AND((L38-C13)&gt;=0,(L38-C14)&gt;=0),0.5*((L38-C13)+(L38-C14))*ABS(B14-B13),IF((L38-C13)&gt;0,0.5*(L38-C13)*ABS((B13+((L38-C13)/((L38-C13)-(L38-C14)))*(B14-B13))-B13),0.5*(L38-C14)*ABS(B14-(B13+((L38-C13)/((L38-C13)-(L38-C14)))*(B14-B13)))))))</f>
        <v/>
      </c>
      <c r="N38">
        <f>(IF(AND((L38-C9)&lt;=0,(L38-C10)&lt;=0),0,IF(AND((L38-C9)&gt;=0,(L38-C10)&gt;=0),SQRT((B10-B9)^2+(C10-C9)^2),IF((L38-C9)&gt;0,SQRT(((B9+((L38-C9)/((L38-C9)-(L38-C10)))*(B10-B9))-B9)^2+(L38-C9)^2),SQRT((B10-(B9+((L38-C9)/((L38-C9)-(L38-C10)))*(B10-B9)))^2+(L38-C10)^2)))))+(IF(AND((L38-C10)&lt;=0,(L38-C11)&lt;=0),0,IF(AND((L38-C10)&gt;=0,(L38-C11)&gt;=0),SQRT((B11-B10)^2+(C11-C10)^2),IF((L38-C10)&gt;0,SQRT(((B10+((L38-C10)/((L38-C10)-(L38-C11)))*(B11-B10))-B10)^2+(L38-C10)^2),SQRT((B11-(B10+((L38-C10)/((L38-C10)-(L38-C11)))*(B11-B10)))^2+(L38-C11)^2)))))+(IF(AND((L38-C11)&lt;=0,(L38-C12)&lt;=0),0,IF(AND((L38-C11)&gt;=0,(L38-C12)&gt;=0),SQRT((B12-B11)^2+(C12-C11)^2),IF((L38-C11)&gt;0,SQRT(((B11+((L38-C11)/((L38-C11)-(L38-C12)))*(B12-B11))-B11)^2+(L38-C11)^2),SQRT((B12-(B11+((L38-C11)/((L38-C11)-(L38-C12)))*(B12-B11)))^2+(L38-C12)^2)))))+(IF(AND((L38-C12)&lt;=0,(L38-C13)&lt;=0),0,IF(AND((L38-C12)&gt;=0,(L38-C13)&gt;=0),SQRT((B13-B12)^2+(C13-C12)^2),IF((L38-C12)&gt;0,SQRT(((B12+((L38-C12)/((L38-C12)-(L38-C13)))*(B13-B12))-B12)^2+(L38-C12)^2),SQRT((B13-(B12+((L38-C12)/((L38-C12)-(L38-C13)))*(B13-B12)))^2+(L38-C13)^2)))))+(IF(AND((L38-C13)&lt;=0,(L38-C14)&lt;=0),0,IF(AND((L38-C13)&gt;=0,(L38-C14)&gt;=0),SQRT((B14-B13)^2+(C14-C13)^2),IF((L38-C13)&gt;0,SQRT(((B13+((L38-C13)/((L38-C13)-(L38-C14)))*(B14-B13))-B13)^2+(L38-C13)^2),SQRT((B14-(B13+((L38-C13)/((L38-C13)-(L38-C14)))*(B14-B13)))^2+(L38-C14)^2)))))</f>
        <v/>
      </c>
      <c r="O38">
        <f>IF(OR($B$6&lt;=0,M38&lt;=0,N38&lt;=0,$B$4&lt;=0),0,(1/$B$6)*M38*((M38/N38)^(2/3))*SQRT($B$4))</f>
        <v/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0" customWidth="1" min="4" max="4"/>
    <col width="12" customWidth="1" min="5" max="5"/>
    <col width="16" customWidth="1" min="6" max="6"/>
    <col width="16" customWidth="1" min="7" max="7"/>
    <col width="6" customWidth="1" min="9" max="9"/>
    <col width="11" customWidth="1" min="10" max="10"/>
    <col width="11" customWidth="1" min="11" max="11"/>
    <col width="14" customWidth="1" min="12" max="12"/>
    <col width="11" customWidth="1" min="13" max="13"/>
    <col width="11" customWidth="1" min="14" max="14"/>
    <col width="16" customWidth="1" min="15" max="15"/>
  </cols>
  <sheetData>
    <row r="1">
      <c r="A1" s="13" t="inlineStr">
        <is>
          <t>Section 8+000 — profondeur normale + aire (formules Excel)</t>
        </is>
      </c>
    </row>
    <row r="2">
      <c r="A2" t="inlineStr">
        <is>
          <t>WSE = yn (m)</t>
        </is>
      </c>
      <c r="B2" s="18">
        <f>L38</f>
        <v/>
      </c>
      <c r="C2" s="2" t="inlineStr">
        <is>
          <t>← calculé par dichotomie (colonne L) pour Q_manning = Q ; pas une saisie</t>
        </is>
      </c>
    </row>
    <row r="3">
      <c r="A3" t="inlineStr">
        <is>
          <t>Station cum. (m)</t>
        </is>
      </c>
      <c r="B3" t="n">
        <v>89.361</v>
      </c>
    </row>
    <row r="4">
      <c r="A4" t="inlineStr">
        <is>
          <t>S0 réel</t>
        </is>
      </c>
      <c r="B4" t="n">
        <v>0.00175</v>
      </c>
    </row>
    <row r="5">
      <c r="A5" t="inlineStr">
        <is>
          <t>Q (m³/s)</t>
        </is>
      </c>
      <c r="B5" s="14" t="n">
        <v>7.36</v>
      </c>
    </row>
    <row r="6">
      <c r="A6" t="inlineStr">
        <is>
          <t>n Manning</t>
        </is>
      </c>
      <c r="B6" s="14" t="n">
        <v>0.035</v>
      </c>
      <c r="I6" s="16" t="inlineStr">
        <is>
          <t>Dichotomie yn (formules) — ne pas éditer</t>
        </is>
      </c>
    </row>
    <row r="8">
      <c r="A8" s="4" t="inlineStr">
        <is>
          <t>#</t>
        </is>
      </c>
      <c r="B8" s="4" t="inlineStr">
        <is>
          <t>Distance x (m)</t>
        </is>
      </c>
      <c r="C8" s="4" t="inlineStr">
        <is>
          <t>Elev z (m)</t>
        </is>
      </c>
      <c r="D8" s="4" t="inlineStr">
        <is>
          <t>Desc</t>
        </is>
      </c>
      <c r="E8" s="4" t="inlineStr">
        <is>
          <t>d=WSE−z</t>
        </is>
      </c>
      <c r="F8" s="4" t="inlineStr">
        <is>
          <t>Ai segment (m²)</t>
        </is>
      </c>
      <c r="G8" s="4" t="inlineStr">
        <is>
          <t>Pi segment (m)</t>
        </is>
      </c>
      <c r="I8" s="4" t="inlineStr">
        <is>
          <t>iter</t>
        </is>
      </c>
      <c r="J8" s="4" t="inlineStr">
        <is>
          <t>lo</t>
        </is>
      </c>
      <c r="K8" s="4" t="inlineStr">
        <is>
          <t>hi</t>
        </is>
      </c>
      <c r="L8" s="4" t="inlineStr">
        <is>
          <t>mid=WSE essai</t>
        </is>
      </c>
      <c r="M8" s="4" t="inlineStr">
        <is>
          <t>A(mid)</t>
        </is>
      </c>
      <c r="N8" s="4" t="inlineStr">
        <is>
          <t>P(mid)</t>
        </is>
      </c>
      <c r="O8" s="4" t="inlineStr">
        <is>
          <t>Q_manning(mid)</t>
        </is>
      </c>
    </row>
    <row r="9">
      <c r="A9" s="5" t="n">
        <v>1</v>
      </c>
      <c r="B9" s="5" t="n">
        <v>0</v>
      </c>
      <c r="C9" s="5" t="n">
        <v>39.29</v>
      </c>
      <c r="D9" s="5" t="inlineStr">
        <is>
          <t>BOR</t>
        </is>
      </c>
      <c r="E9" s="5">
        <f>$B$2-C9</f>
        <v/>
      </c>
      <c r="F9" s="5">
        <f>IF(AND(($B$2-C9)&lt;=0,($B$2-C10)&lt;=0),0,IF(AND(($B$2-C9)&gt;=0,($B$2-C10)&gt;=0),0.5*(($B$2-C9)+($B$2-C10))*ABS(B10-B9),IF(($B$2-C9)&gt;0,0.5*($B$2-C9)*ABS((B9+(($B$2-C9)/(($B$2-C9)-($B$2-C10)))*(B10-B9))-B9),0.5*($B$2-C10)*ABS(B10-(B9+(($B$2-C9)/(($B$2-C9)-($B$2-C10)))*(B10-B9))))))</f>
        <v/>
      </c>
      <c r="G9" s="5">
        <f>IF(AND(($B$2-C9)&lt;=0,($B$2-C10)&lt;=0),0,IF(AND(($B$2-C9)&gt;=0,($B$2-C10)&gt;=0),SQRT((B10-B9)^2+(C10-C9)^2),IF(($B$2-C9)&gt;0,SQRT(((B9+(($B$2-C9)/(($B$2-C9)-($B$2-C10)))*(B10-B9))-B9)^2+($B$2-C9)^2),SQRT((B10-(B9+(($B$2-C9)/(($B$2-C9)-($B$2-C10)))*(B10-B9)))^2+($B$2-C10)^2))))</f>
        <v/>
      </c>
      <c r="I9" t="n">
        <v>1</v>
      </c>
      <c r="J9">
        <f>B21+0.0001</f>
        <v/>
      </c>
      <c r="K9">
        <f>MAX(C9:C17)-0.0001</f>
        <v/>
      </c>
      <c r="L9">
        <f>(J9+K9)/2</f>
        <v/>
      </c>
      <c r="M9">
        <f>(IF(AND((L9-C9)&lt;=0,(L9-C10)&lt;=0),0,IF(AND((L9-C9)&gt;=0,(L9-C10)&gt;=0),0.5*((L9-C9)+(L9-C10))*ABS(B10-B9),IF((L9-C9)&gt;0,0.5*(L9-C9)*ABS((B9+((L9-C9)/((L9-C9)-(L9-C10)))*(B10-B9))-B9),0.5*(L9-C10)*ABS(B10-(B9+((L9-C9)/((L9-C9)-(L9-C10)))*(B10-B9)))))))+(IF(AND((L9-C10)&lt;=0,(L9-C11)&lt;=0),0,IF(AND((L9-C10)&gt;=0,(L9-C11)&gt;=0),0.5*((L9-C10)+(L9-C11))*ABS(B11-B10),IF((L9-C10)&gt;0,0.5*(L9-C10)*ABS((B10+((L9-C10)/((L9-C10)-(L9-C11)))*(B11-B10))-B10),0.5*(L9-C11)*ABS(B11-(B10+((L9-C10)/((L9-C10)-(L9-C11)))*(B11-B10)))))))+(IF(AND((L9-C11)&lt;=0,(L9-C12)&lt;=0),0,IF(AND((L9-C11)&gt;=0,(L9-C12)&gt;=0),0.5*((L9-C11)+(L9-C12))*ABS(B12-B11),IF((L9-C11)&gt;0,0.5*(L9-C11)*ABS((B11+((L9-C11)/((L9-C11)-(L9-C12)))*(B12-B11))-B11),0.5*(L9-C12)*ABS(B12-(B11+((L9-C11)/((L9-C11)-(L9-C12)))*(B12-B11)))))))+(IF(AND((L9-C12)&lt;=0,(L9-C13)&lt;=0),0,IF(AND((L9-C12)&gt;=0,(L9-C13)&gt;=0),0.5*((L9-C12)+(L9-C13))*ABS(B13-B12),IF((L9-C12)&gt;0,0.5*(L9-C12)*ABS((B12+((L9-C12)/((L9-C12)-(L9-C13)))*(B13-B12))-B12),0.5*(L9-C13)*ABS(B13-(B12+((L9-C12)/((L9-C12)-(L9-C13)))*(B13-B12)))))))+(IF(AND((L9-C13)&lt;=0,(L9-C14)&lt;=0),0,IF(AND((L9-C13)&gt;=0,(L9-C14)&gt;=0),0.5*((L9-C13)+(L9-C14))*ABS(B14-B13),IF((L9-C13)&gt;0,0.5*(L9-C13)*ABS((B13+((L9-C13)/((L9-C13)-(L9-C14)))*(B14-B13))-B13),0.5*(L9-C14)*ABS(B14-(B13+((L9-C13)/((L9-C13)-(L9-C14)))*(B14-B13)))))))+(IF(AND((L9-C14)&lt;=0,(L9-C15)&lt;=0),0,IF(AND((L9-C14)&gt;=0,(L9-C15)&gt;=0),0.5*((L9-C14)+(L9-C15))*ABS(B15-B14),IF((L9-C14)&gt;0,0.5*(L9-C14)*ABS((B14+((L9-C14)/((L9-C14)-(L9-C15)))*(B15-B14))-B14),0.5*(L9-C15)*ABS(B15-(B14+((L9-C14)/((L9-C14)-(L9-C15)))*(B15-B14)))))))+(IF(AND((L9-C15)&lt;=0,(L9-C16)&lt;=0),0,IF(AND((L9-C15)&gt;=0,(L9-C16)&gt;=0),0.5*((L9-C15)+(L9-C16))*ABS(B16-B15),IF((L9-C15)&gt;0,0.5*(L9-C15)*ABS((B15+((L9-C15)/((L9-C15)-(L9-C16)))*(B16-B15))-B15),0.5*(L9-C16)*ABS(B16-(B15+((L9-C15)/((L9-C15)-(L9-C16)))*(B16-B15)))))))+(IF(AND((L9-C16)&lt;=0,(L9-C17)&lt;=0),0,IF(AND((L9-C16)&gt;=0,(L9-C17)&gt;=0),0.5*((L9-C16)+(L9-C17))*ABS(B17-B16),IF((L9-C16)&gt;0,0.5*(L9-C16)*ABS((B16+((L9-C16)/((L9-C16)-(L9-C17)))*(B17-B16))-B16),0.5*(L9-C17)*ABS(B17-(B16+((L9-C16)/((L9-C16)-(L9-C17)))*(B17-B16)))))))</f>
        <v/>
      </c>
      <c r="N9">
        <f>(IF(AND((L9-C9)&lt;=0,(L9-C10)&lt;=0),0,IF(AND((L9-C9)&gt;=0,(L9-C10)&gt;=0),SQRT((B10-B9)^2+(C10-C9)^2),IF((L9-C9)&gt;0,SQRT(((B9+((L9-C9)/((L9-C9)-(L9-C10)))*(B10-B9))-B9)^2+(L9-C9)^2),SQRT((B10-(B9+((L9-C9)/((L9-C9)-(L9-C10)))*(B10-B9)))^2+(L9-C10)^2)))))+(IF(AND((L9-C10)&lt;=0,(L9-C11)&lt;=0),0,IF(AND((L9-C10)&gt;=0,(L9-C11)&gt;=0),SQRT((B11-B10)^2+(C11-C10)^2),IF((L9-C10)&gt;0,SQRT(((B10+((L9-C10)/((L9-C10)-(L9-C11)))*(B11-B10))-B10)^2+(L9-C10)^2),SQRT((B11-(B10+((L9-C10)/((L9-C10)-(L9-C11)))*(B11-B10)))^2+(L9-C11)^2)))))+(IF(AND((L9-C11)&lt;=0,(L9-C12)&lt;=0),0,IF(AND((L9-C11)&gt;=0,(L9-C12)&gt;=0),SQRT((B12-B11)^2+(C12-C11)^2),IF((L9-C11)&gt;0,SQRT(((B11+((L9-C11)/((L9-C11)-(L9-C12)))*(B12-B11))-B11)^2+(L9-C11)^2),SQRT((B12-(B11+((L9-C11)/((L9-C11)-(L9-C12)))*(B12-B11)))^2+(L9-C12)^2)))))+(IF(AND((L9-C12)&lt;=0,(L9-C13)&lt;=0),0,IF(AND((L9-C12)&gt;=0,(L9-C13)&gt;=0),SQRT((B13-B12)^2+(C13-C12)^2),IF((L9-C12)&gt;0,SQRT(((B12+((L9-C12)/((L9-C12)-(L9-C13)))*(B13-B12))-B12)^2+(L9-C12)^2),SQRT((B13-(B12+((L9-C12)/((L9-C12)-(L9-C13)))*(B13-B12)))^2+(L9-C13)^2)))))+(IF(AND((L9-C13)&lt;=0,(L9-C14)&lt;=0),0,IF(AND((L9-C13)&gt;=0,(L9-C14)&gt;=0),SQRT((B14-B13)^2+(C14-C13)^2),IF((L9-C13)&gt;0,SQRT(((B13+((L9-C13)/((L9-C13)-(L9-C14)))*(B14-B13))-B13)^2+(L9-C13)^2),SQRT((B14-(B13+((L9-C13)/((L9-C13)-(L9-C14)))*(B14-B13)))^2+(L9-C14)^2)))))+(IF(AND((L9-C14)&lt;=0,(L9-C15)&lt;=0),0,IF(AND((L9-C14)&gt;=0,(L9-C15)&gt;=0),SQRT((B15-B14)^2+(C15-C14)^2),IF((L9-C14)&gt;0,SQRT(((B14+((L9-C14)/((L9-C14)-(L9-C15)))*(B15-B14))-B14)^2+(L9-C14)^2),SQRT((B15-(B14+((L9-C14)/((L9-C14)-(L9-C15)))*(B15-B14)))^2+(L9-C15)^2)))))+(IF(AND((L9-C15)&lt;=0,(L9-C16)&lt;=0),0,IF(AND((L9-C15)&gt;=0,(L9-C16)&gt;=0),SQRT((B16-B15)^2+(C16-C15)^2),IF((L9-C15)&gt;0,SQRT(((B15+((L9-C15)/((L9-C15)-(L9-C16)))*(B16-B15))-B15)^2+(L9-C15)^2),SQRT((B16-(B15+((L9-C15)/((L9-C15)-(L9-C16)))*(B16-B15)))^2+(L9-C16)^2)))))+(IF(AND((L9-C16)&lt;=0,(L9-C17)&lt;=0),0,IF(AND((L9-C16)&gt;=0,(L9-C17)&gt;=0),SQRT((B17-B16)^2+(C17-C16)^2),IF((L9-C16)&gt;0,SQRT(((B16+((L9-C16)/((L9-C16)-(L9-C17)))*(B17-B16))-B16)^2+(L9-C16)^2),SQRT((B17-(B16+((L9-C16)/((L9-C16)-(L9-C17)))*(B17-B16)))^2+(L9-C17)^2)))))</f>
        <v/>
      </c>
      <c r="O9">
        <f>IF(OR($B$6&lt;=0,M9&lt;=0,N9&lt;=0,$B$4&lt;=0),0,(1/$B$6)*M9*((M9/N9)^(2/3))*SQRT($B$4))</f>
        <v/>
      </c>
    </row>
    <row r="10">
      <c r="A10" s="5" t="n">
        <v>2</v>
      </c>
      <c r="B10" s="5" t="n">
        <v>10.43</v>
      </c>
      <c r="C10" s="5" t="n">
        <v>37.89</v>
      </c>
      <c r="D10" s="5" t="inlineStr">
        <is>
          <t>THA</t>
        </is>
      </c>
      <c r="E10" s="5">
        <f>$B$2-C10</f>
        <v/>
      </c>
      <c r="F10" s="5">
        <f>IF(AND(($B$2-C10)&lt;=0,($B$2-C11)&lt;=0),0,IF(AND(($B$2-C10)&gt;=0,($B$2-C11)&gt;=0),0.5*(($B$2-C10)+($B$2-C11))*ABS(B11-B10),IF(($B$2-C10)&gt;0,0.5*($B$2-C10)*ABS((B10+(($B$2-C10)/(($B$2-C10)-($B$2-C11)))*(B11-B10))-B10),0.5*($B$2-C11)*ABS(B11-(B10+(($B$2-C10)/(($B$2-C10)-($B$2-C11)))*(B11-B10))))))</f>
        <v/>
      </c>
      <c r="G10" s="5">
        <f>IF(AND(($B$2-C10)&lt;=0,($B$2-C11)&lt;=0),0,IF(AND(($B$2-C10)&gt;=0,($B$2-C11)&gt;=0),SQRT((B11-B10)^2+(C11-C10)^2),IF(($B$2-C10)&gt;0,SQRT(((B10+(($B$2-C10)/(($B$2-C10)-($B$2-C11)))*(B11-B10))-B10)^2+($B$2-C10)^2),SQRT((B11-(B10+(($B$2-C10)/(($B$2-C10)-($B$2-C11)))*(B11-B10)))^2+($B$2-C11)^2))))</f>
        <v/>
      </c>
      <c r="I10" t="n">
        <v>2</v>
      </c>
      <c r="J10">
        <f>IF(O9&lt;$B$5,L9,J9)</f>
        <v/>
      </c>
      <c r="K10">
        <f>IF(O9&lt;$B$5,K9,L9)</f>
        <v/>
      </c>
      <c r="L10">
        <f>(J10+K10)/2</f>
        <v/>
      </c>
      <c r="M10">
        <f>(IF(AND((L10-C9)&lt;=0,(L10-C10)&lt;=0),0,IF(AND((L10-C9)&gt;=0,(L10-C10)&gt;=0),0.5*((L10-C9)+(L10-C10))*ABS(B10-B9),IF((L10-C9)&gt;0,0.5*(L10-C9)*ABS((B9+((L10-C9)/((L10-C9)-(L10-C10)))*(B10-B9))-B9),0.5*(L10-C10)*ABS(B10-(B9+((L10-C9)/((L10-C9)-(L10-C10)))*(B10-B9)))))))+(IF(AND((L10-C10)&lt;=0,(L10-C11)&lt;=0),0,IF(AND((L10-C10)&gt;=0,(L10-C11)&gt;=0),0.5*((L10-C10)+(L10-C11))*ABS(B11-B10),IF((L10-C10)&gt;0,0.5*(L10-C10)*ABS((B10+((L10-C10)/((L10-C10)-(L10-C11)))*(B11-B10))-B10),0.5*(L10-C11)*ABS(B11-(B10+((L10-C10)/((L10-C10)-(L10-C11)))*(B11-B10)))))))+(IF(AND((L10-C11)&lt;=0,(L10-C12)&lt;=0),0,IF(AND((L10-C11)&gt;=0,(L10-C12)&gt;=0),0.5*((L10-C11)+(L10-C12))*ABS(B12-B11),IF((L10-C11)&gt;0,0.5*(L10-C11)*ABS((B11+((L10-C11)/((L10-C11)-(L10-C12)))*(B12-B11))-B11),0.5*(L10-C12)*ABS(B12-(B11+((L10-C11)/((L10-C11)-(L10-C12)))*(B12-B11)))))))+(IF(AND((L10-C12)&lt;=0,(L10-C13)&lt;=0),0,IF(AND((L10-C12)&gt;=0,(L10-C13)&gt;=0),0.5*((L10-C12)+(L10-C13))*ABS(B13-B12),IF((L10-C12)&gt;0,0.5*(L10-C12)*ABS((B12+((L10-C12)/((L10-C12)-(L10-C13)))*(B13-B12))-B12),0.5*(L10-C13)*ABS(B13-(B12+((L10-C12)/((L10-C12)-(L10-C13)))*(B13-B12)))))))+(IF(AND((L10-C13)&lt;=0,(L10-C14)&lt;=0),0,IF(AND((L10-C13)&gt;=0,(L10-C14)&gt;=0),0.5*((L10-C13)+(L10-C14))*ABS(B14-B13),IF((L10-C13)&gt;0,0.5*(L10-C13)*ABS((B13+((L10-C13)/((L10-C13)-(L10-C14)))*(B14-B13))-B13),0.5*(L10-C14)*ABS(B14-(B13+((L10-C13)/((L10-C13)-(L10-C14)))*(B14-B13)))))))+(IF(AND((L10-C14)&lt;=0,(L10-C15)&lt;=0),0,IF(AND((L10-C14)&gt;=0,(L10-C15)&gt;=0),0.5*((L10-C14)+(L10-C15))*ABS(B15-B14),IF((L10-C14)&gt;0,0.5*(L10-C14)*ABS((B14+((L10-C14)/((L10-C14)-(L10-C15)))*(B15-B14))-B14),0.5*(L10-C15)*ABS(B15-(B14+((L10-C14)/((L10-C14)-(L10-C15)))*(B15-B14)))))))+(IF(AND((L10-C15)&lt;=0,(L10-C16)&lt;=0),0,IF(AND((L10-C15)&gt;=0,(L10-C16)&gt;=0),0.5*((L10-C15)+(L10-C16))*ABS(B16-B15),IF((L10-C15)&gt;0,0.5*(L10-C15)*ABS((B15+((L10-C15)/((L10-C15)-(L10-C16)))*(B16-B15))-B15),0.5*(L10-C16)*ABS(B16-(B15+((L10-C15)/((L10-C15)-(L10-C16)))*(B16-B15)))))))+(IF(AND((L10-C16)&lt;=0,(L10-C17)&lt;=0),0,IF(AND((L10-C16)&gt;=0,(L10-C17)&gt;=0),0.5*((L10-C16)+(L10-C17))*ABS(B17-B16),IF((L10-C16)&gt;0,0.5*(L10-C16)*ABS((B16+((L10-C16)/((L10-C16)-(L10-C17)))*(B17-B16))-B16),0.5*(L10-C17)*ABS(B17-(B16+((L10-C16)/((L10-C16)-(L10-C17)))*(B17-B16)))))))</f>
        <v/>
      </c>
      <c r="N10">
        <f>(IF(AND((L10-C9)&lt;=0,(L10-C10)&lt;=0),0,IF(AND((L10-C9)&gt;=0,(L10-C10)&gt;=0),SQRT((B10-B9)^2+(C10-C9)^2),IF((L10-C9)&gt;0,SQRT(((B9+((L10-C9)/((L10-C9)-(L10-C10)))*(B10-B9))-B9)^2+(L10-C9)^2),SQRT((B10-(B9+((L10-C9)/((L10-C9)-(L10-C10)))*(B10-B9)))^2+(L10-C10)^2)))))+(IF(AND((L10-C10)&lt;=0,(L10-C11)&lt;=0),0,IF(AND((L10-C10)&gt;=0,(L10-C11)&gt;=0),SQRT((B11-B10)^2+(C11-C10)^2),IF((L10-C10)&gt;0,SQRT(((B10+((L10-C10)/((L10-C10)-(L10-C11)))*(B11-B10))-B10)^2+(L10-C10)^2),SQRT((B11-(B10+((L10-C10)/((L10-C10)-(L10-C11)))*(B11-B10)))^2+(L10-C11)^2)))))+(IF(AND((L10-C11)&lt;=0,(L10-C12)&lt;=0),0,IF(AND((L10-C11)&gt;=0,(L10-C12)&gt;=0),SQRT((B12-B11)^2+(C12-C11)^2),IF((L10-C11)&gt;0,SQRT(((B11+((L10-C11)/((L10-C11)-(L10-C12)))*(B12-B11))-B11)^2+(L10-C11)^2),SQRT((B12-(B11+((L10-C11)/((L10-C11)-(L10-C12)))*(B12-B11)))^2+(L10-C12)^2)))))+(IF(AND((L10-C12)&lt;=0,(L10-C13)&lt;=0),0,IF(AND((L10-C12)&gt;=0,(L10-C13)&gt;=0),SQRT((B13-B12)^2+(C13-C12)^2),IF((L10-C12)&gt;0,SQRT(((B12+((L10-C12)/((L10-C12)-(L10-C13)))*(B13-B12))-B12)^2+(L10-C12)^2),SQRT((B13-(B12+((L10-C12)/((L10-C12)-(L10-C13)))*(B13-B12)))^2+(L10-C13)^2)))))+(IF(AND((L10-C13)&lt;=0,(L10-C14)&lt;=0),0,IF(AND((L10-C13)&gt;=0,(L10-C14)&gt;=0),SQRT((B14-B13)^2+(C14-C13)^2),IF((L10-C13)&gt;0,SQRT(((B13+((L10-C13)/((L10-C13)-(L10-C14)))*(B14-B13))-B13)^2+(L10-C13)^2),SQRT((B14-(B13+((L10-C13)/((L10-C13)-(L10-C14)))*(B14-B13)))^2+(L10-C14)^2)))))+(IF(AND((L10-C14)&lt;=0,(L10-C15)&lt;=0),0,IF(AND((L10-C14)&gt;=0,(L10-C15)&gt;=0),SQRT((B15-B14)^2+(C15-C14)^2),IF((L10-C14)&gt;0,SQRT(((B14+((L10-C14)/((L10-C14)-(L10-C15)))*(B15-B14))-B14)^2+(L10-C14)^2),SQRT((B15-(B14+((L10-C14)/((L10-C14)-(L10-C15)))*(B15-B14)))^2+(L10-C15)^2)))))+(IF(AND((L10-C15)&lt;=0,(L10-C16)&lt;=0),0,IF(AND((L10-C15)&gt;=0,(L10-C16)&gt;=0),SQRT((B16-B15)^2+(C16-C15)^2),IF((L10-C15)&gt;0,SQRT(((B15+((L10-C15)/((L10-C15)-(L10-C16)))*(B16-B15))-B15)^2+(L10-C15)^2),SQRT((B16-(B15+((L10-C15)/((L10-C15)-(L10-C16)))*(B16-B15)))^2+(L10-C16)^2)))))+(IF(AND((L10-C16)&lt;=0,(L10-C17)&lt;=0),0,IF(AND((L10-C16)&gt;=0,(L10-C17)&gt;=0),SQRT((B17-B16)^2+(C17-C16)^2),IF((L10-C16)&gt;0,SQRT(((B16+((L10-C16)/((L10-C16)-(L10-C17)))*(B17-B16))-B16)^2+(L10-C16)^2),SQRT((B17-(B16+((L10-C16)/((L10-C16)-(L10-C17)))*(B17-B16)))^2+(L10-C17)^2)))))</f>
        <v/>
      </c>
      <c r="O10">
        <f>IF(OR($B$6&lt;=0,M10&lt;=0,N10&lt;=0,$B$4&lt;=0),0,(1/$B$6)*M10*((M10/N10)^(2/3))*SQRT($B$4))</f>
        <v/>
      </c>
    </row>
    <row r="11">
      <c r="A11" s="5" t="n">
        <v>3</v>
      </c>
      <c r="B11" s="5" t="n">
        <v>15.156</v>
      </c>
      <c r="C11" s="5" t="n">
        <v>36.96</v>
      </c>
      <c r="D11" s="5" t="inlineStr">
        <is>
          <t>TN</t>
        </is>
      </c>
      <c r="E11" s="5">
        <f>$B$2-C11</f>
        <v/>
      </c>
      <c r="F11" s="5">
        <f>IF(AND(($B$2-C11)&lt;=0,($B$2-C12)&lt;=0),0,IF(AND(($B$2-C11)&gt;=0,($B$2-C12)&gt;=0),0.5*(($B$2-C11)+($B$2-C12))*ABS(B12-B11),IF(($B$2-C11)&gt;0,0.5*($B$2-C11)*ABS((B11+(($B$2-C11)/(($B$2-C11)-($B$2-C12)))*(B12-B11))-B11),0.5*($B$2-C12)*ABS(B12-(B11+(($B$2-C11)/(($B$2-C11)-($B$2-C12)))*(B12-B11))))))</f>
        <v/>
      </c>
      <c r="G11" s="5">
        <f>IF(AND(($B$2-C11)&lt;=0,($B$2-C12)&lt;=0),0,IF(AND(($B$2-C11)&gt;=0,($B$2-C12)&gt;=0),SQRT((B12-B11)^2+(C12-C11)^2),IF(($B$2-C11)&gt;0,SQRT(((B11+(($B$2-C11)/(($B$2-C11)-($B$2-C12)))*(B12-B11))-B11)^2+($B$2-C11)^2),SQRT((B12-(B11+(($B$2-C11)/(($B$2-C11)-($B$2-C12)))*(B12-B11)))^2+($B$2-C12)^2))))</f>
        <v/>
      </c>
      <c r="I11" t="n">
        <v>3</v>
      </c>
      <c r="J11">
        <f>IF(O10&lt;$B$5,L10,J10)</f>
        <v/>
      </c>
      <c r="K11">
        <f>IF(O10&lt;$B$5,K10,L10)</f>
        <v/>
      </c>
      <c r="L11">
        <f>(J11+K11)/2</f>
        <v/>
      </c>
      <c r="M11">
        <f>(IF(AND((L11-C9)&lt;=0,(L11-C10)&lt;=0),0,IF(AND((L11-C9)&gt;=0,(L11-C10)&gt;=0),0.5*((L11-C9)+(L11-C10))*ABS(B10-B9),IF((L11-C9)&gt;0,0.5*(L11-C9)*ABS((B9+((L11-C9)/((L11-C9)-(L11-C10)))*(B10-B9))-B9),0.5*(L11-C10)*ABS(B10-(B9+((L11-C9)/((L11-C9)-(L11-C10)))*(B10-B9)))))))+(IF(AND((L11-C10)&lt;=0,(L11-C11)&lt;=0),0,IF(AND((L11-C10)&gt;=0,(L11-C11)&gt;=0),0.5*((L11-C10)+(L11-C11))*ABS(B11-B10),IF((L11-C10)&gt;0,0.5*(L11-C10)*ABS((B10+((L11-C10)/((L11-C10)-(L11-C11)))*(B11-B10))-B10),0.5*(L11-C11)*ABS(B11-(B10+((L11-C10)/((L11-C10)-(L11-C11)))*(B11-B10)))))))+(IF(AND((L11-C11)&lt;=0,(L11-C12)&lt;=0),0,IF(AND((L11-C11)&gt;=0,(L11-C12)&gt;=0),0.5*((L11-C11)+(L11-C12))*ABS(B12-B11),IF((L11-C11)&gt;0,0.5*(L11-C11)*ABS((B11+((L11-C11)/((L11-C11)-(L11-C12)))*(B12-B11))-B11),0.5*(L11-C12)*ABS(B12-(B11+((L11-C11)/((L11-C11)-(L11-C12)))*(B12-B11)))))))+(IF(AND((L11-C12)&lt;=0,(L11-C13)&lt;=0),0,IF(AND((L11-C12)&gt;=0,(L11-C13)&gt;=0),0.5*((L11-C12)+(L11-C13))*ABS(B13-B12),IF((L11-C12)&gt;0,0.5*(L11-C12)*ABS((B12+((L11-C12)/((L11-C12)-(L11-C13)))*(B13-B12))-B12),0.5*(L11-C13)*ABS(B13-(B12+((L11-C12)/((L11-C12)-(L11-C13)))*(B13-B12)))))))+(IF(AND((L11-C13)&lt;=0,(L11-C14)&lt;=0),0,IF(AND((L11-C13)&gt;=0,(L11-C14)&gt;=0),0.5*((L11-C13)+(L11-C14))*ABS(B14-B13),IF((L11-C13)&gt;0,0.5*(L11-C13)*ABS((B13+((L11-C13)/((L11-C13)-(L11-C14)))*(B14-B13))-B13),0.5*(L11-C14)*ABS(B14-(B13+((L11-C13)/((L11-C13)-(L11-C14)))*(B14-B13)))))))+(IF(AND((L11-C14)&lt;=0,(L11-C15)&lt;=0),0,IF(AND((L11-C14)&gt;=0,(L11-C15)&gt;=0),0.5*((L11-C14)+(L11-C15))*ABS(B15-B14),IF((L11-C14)&gt;0,0.5*(L11-C14)*ABS((B14+((L11-C14)/((L11-C14)-(L11-C15)))*(B15-B14))-B14),0.5*(L11-C15)*ABS(B15-(B14+((L11-C14)/((L11-C14)-(L11-C15)))*(B15-B14)))))))+(IF(AND((L11-C15)&lt;=0,(L11-C16)&lt;=0),0,IF(AND((L11-C15)&gt;=0,(L11-C16)&gt;=0),0.5*((L11-C15)+(L11-C16))*ABS(B16-B15),IF((L11-C15)&gt;0,0.5*(L11-C15)*ABS((B15+((L11-C15)/((L11-C15)-(L11-C16)))*(B16-B15))-B15),0.5*(L11-C16)*ABS(B16-(B15+((L11-C15)/((L11-C15)-(L11-C16)))*(B16-B15)))))))+(IF(AND((L11-C16)&lt;=0,(L11-C17)&lt;=0),0,IF(AND((L11-C16)&gt;=0,(L11-C17)&gt;=0),0.5*((L11-C16)+(L11-C17))*ABS(B17-B16),IF((L11-C16)&gt;0,0.5*(L11-C16)*ABS((B16+((L11-C16)/((L11-C16)-(L11-C17)))*(B17-B16))-B16),0.5*(L11-C17)*ABS(B17-(B16+((L11-C16)/((L11-C16)-(L11-C17)))*(B17-B16)))))))</f>
        <v/>
      </c>
      <c r="N11">
        <f>(IF(AND((L11-C9)&lt;=0,(L11-C10)&lt;=0),0,IF(AND((L11-C9)&gt;=0,(L11-C10)&gt;=0),SQRT((B10-B9)^2+(C10-C9)^2),IF((L11-C9)&gt;0,SQRT(((B9+((L11-C9)/((L11-C9)-(L11-C10)))*(B10-B9))-B9)^2+(L11-C9)^2),SQRT((B10-(B9+((L11-C9)/((L11-C9)-(L11-C10)))*(B10-B9)))^2+(L11-C10)^2)))))+(IF(AND((L11-C10)&lt;=0,(L11-C11)&lt;=0),0,IF(AND((L11-C10)&gt;=0,(L11-C11)&gt;=0),SQRT((B11-B10)^2+(C11-C10)^2),IF((L11-C10)&gt;0,SQRT(((B10+((L11-C10)/((L11-C10)-(L11-C11)))*(B11-B10))-B10)^2+(L11-C10)^2),SQRT((B11-(B10+((L11-C10)/((L11-C10)-(L11-C11)))*(B11-B10)))^2+(L11-C11)^2)))))+(IF(AND((L11-C11)&lt;=0,(L11-C12)&lt;=0),0,IF(AND((L11-C11)&gt;=0,(L11-C12)&gt;=0),SQRT((B12-B11)^2+(C12-C11)^2),IF((L11-C11)&gt;0,SQRT(((B11+((L11-C11)/((L11-C11)-(L11-C12)))*(B12-B11))-B11)^2+(L11-C11)^2),SQRT((B12-(B11+((L11-C11)/((L11-C11)-(L11-C12)))*(B12-B11)))^2+(L11-C12)^2)))))+(IF(AND((L11-C12)&lt;=0,(L11-C13)&lt;=0),0,IF(AND((L11-C12)&gt;=0,(L11-C13)&gt;=0),SQRT((B13-B12)^2+(C13-C12)^2),IF((L11-C12)&gt;0,SQRT(((B12+((L11-C12)/((L11-C12)-(L11-C13)))*(B13-B12))-B12)^2+(L11-C12)^2),SQRT((B13-(B12+((L11-C12)/((L11-C12)-(L11-C13)))*(B13-B12)))^2+(L11-C13)^2)))))+(IF(AND((L11-C13)&lt;=0,(L11-C14)&lt;=0),0,IF(AND((L11-C13)&gt;=0,(L11-C14)&gt;=0),SQRT((B14-B13)^2+(C14-C13)^2),IF((L11-C13)&gt;0,SQRT(((B13+((L11-C13)/((L11-C13)-(L11-C14)))*(B14-B13))-B13)^2+(L11-C13)^2),SQRT((B14-(B13+((L11-C13)/((L11-C13)-(L11-C14)))*(B14-B13)))^2+(L11-C14)^2)))))+(IF(AND((L11-C14)&lt;=0,(L11-C15)&lt;=0),0,IF(AND((L11-C14)&gt;=0,(L11-C15)&gt;=0),SQRT((B15-B14)^2+(C15-C14)^2),IF((L11-C14)&gt;0,SQRT(((B14+((L11-C14)/((L11-C14)-(L11-C15)))*(B15-B14))-B14)^2+(L11-C14)^2),SQRT((B15-(B14+((L11-C14)/((L11-C14)-(L11-C15)))*(B15-B14)))^2+(L11-C15)^2)))))+(IF(AND((L11-C15)&lt;=0,(L11-C16)&lt;=0),0,IF(AND((L11-C15)&gt;=0,(L11-C16)&gt;=0),SQRT((B16-B15)^2+(C16-C15)^2),IF((L11-C15)&gt;0,SQRT(((B15+((L11-C15)/((L11-C15)-(L11-C16)))*(B16-B15))-B15)^2+(L11-C15)^2),SQRT((B16-(B15+((L11-C15)/((L11-C15)-(L11-C16)))*(B16-B15)))^2+(L11-C16)^2)))))+(IF(AND((L11-C16)&lt;=0,(L11-C17)&lt;=0),0,IF(AND((L11-C16)&gt;=0,(L11-C17)&gt;=0),SQRT((B17-B16)^2+(C17-C16)^2),IF((L11-C16)&gt;0,SQRT(((B16+((L11-C16)/((L11-C16)-(L11-C17)))*(B17-B16))-B16)^2+(L11-C16)^2),SQRT((B17-(B16+((L11-C16)/((L11-C16)-(L11-C17)))*(B17-B16)))^2+(L11-C17)^2)))))</f>
        <v/>
      </c>
      <c r="O11">
        <f>IF(OR($B$6&lt;=0,M11&lt;=0,N11&lt;=0,$B$4&lt;=0),0,(1/$B$6)*M11*((M11/N11)^(2/3))*SQRT($B$4))</f>
        <v/>
      </c>
    </row>
    <row r="12">
      <c r="A12" s="5" t="n">
        <v>4</v>
      </c>
      <c r="B12" s="5" t="n">
        <v>24.203</v>
      </c>
      <c r="C12" s="5" t="n">
        <v>35.22</v>
      </c>
      <c r="D12" s="5" t="inlineStr">
        <is>
          <t>TBA</t>
        </is>
      </c>
      <c r="E12" s="5">
        <f>$B$2-C12</f>
        <v/>
      </c>
      <c r="F12" s="5">
        <f>IF(AND(($B$2-C12)&lt;=0,($B$2-C13)&lt;=0),0,IF(AND(($B$2-C12)&gt;=0,($B$2-C13)&gt;=0),0.5*(($B$2-C12)+($B$2-C13))*ABS(B13-B12),IF(($B$2-C12)&gt;0,0.5*($B$2-C12)*ABS((B12+(($B$2-C12)/(($B$2-C12)-($B$2-C13)))*(B13-B12))-B12),0.5*($B$2-C13)*ABS(B13-(B12+(($B$2-C12)/(($B$2-C12)-($B$2-C13)))*(B13-B12))))))</f>
        <v/>
      </c>
      <c r="G12" s="5">
        <f>IF(AND(($B$2-C12)&lt;=0,($B$2-C13)&lt;=0),0,IF(AND(($B$2-C12)&gt;=0,($B$2-C13)&gt;=0),SQRT((B13-B12)^2+(C13-C12)^2),IF(($B$2-C12)&gt;0,SQRT(((B12+(($B$2-C12)/(($B$2-C12)-($B$2-C13)))*(B13-B12))-B12)^2+($B$2-C12)^2),SQRT((B13-(B12+(($B$2-C12)/(($B$2-C12)-($B$2-C13)))*(B13-B12)))^2+($B$2-C13)^2))))</f>
        <v/>
      </c>
      <c r="I12" t="n">
        <v>4</v>
      </c>
      <c r="J12">
        <f>IF(O11&lt;$B$5,L11,J11)</f>
        <v/>
      </c>
      <c r="K12">
        <f>IF(O11&lt;$B$5,K11,L11)</f>
        <v/>
      </c>
      <c r="L12">
        <f>(J12+K12)/2</f>
        <v/>
      </c>
      <c r="M12">
        <f>(IF(AND((L12-C9)&lt;=0,(L12-C10)&lt;=0),0,IF(AND((L12-C9)&gt;=0,(L12-C10)&gt;=0),0.5*((L12-C9)+(L12-C10))*ABS(B10-B9),IF((L12-C9)&gt;0,0.5*(L12-C9)*ABS((B9+((L12-C9)/((L12-C9)-(L12-C10)))*(B10-B9))-B9),0.5*(L12-C10)*ABS(B10-(B9+((L12-C9)/((L12-C9)-(L12-C10)))*(B10-B9)))))))+(IF(AND((L12-C10)&lt;=0,(L12-C11)&lt;=0),0,IF(AND((L12-C10)&gt;=0,(L12-C11)&gt;=0),0.5*((L12-C10)+(L12-C11))*ABS(B11-B10),IF((L12-C10)&gt;0,0.5*(L12-C10)*ABS((B10+((L12-C10)/((L12-C10)-(L12-C11)))*(B11-B10))-B10),0.5*(L12-C11)*ABS(B11-(B10+((L12-C10)/((L12-C10)-(L12-C11)))*(B11-B10)))))))+(IF(AND((L12-C11)&lt;=0,(L12-C12)&lt;=0),0,IF(AND((L12-C11)&gt;=0,(L12-C12)&gt;=0),0.5*((L12-C11)+(L12-C12))*ABS(B12-B11),IF((L12-C11)&gt;0,0.5*(L12-C11)*ABS((B11+((L12-C11)/((L12-C11)-(L12-C12)))*(B12-B11))-B11),0.5*(L12-C12)*ABS(B12-(B11+((L12-C11)/((L12-C11)-(L12-C12)))*(B12-B11)))))))+(IF(AND((L12-C12)&lt;=0,(L12-C13)&lt;=0),0,IF(AND((L12-C12)&gt;=0,(L12-C13)&gt;=0),0.5*((L12-C12)+(L12-C13))*ABS(B13-B12),IF((L12-C12)&gt;0,0.5*(L12-C12)*ABS((B12+((L12-C12)/((L12-C12)-(L12-C13)))*(B13-B12))-B12),0.5*(L12-C13)*ABS(B13-(B12+((L12-C12)/((L12-C12)-(L12-C13)))*(B13-B12)))))))+(IF(AND((L12-C13)&lt;=0,(L12-C14)&lt;=0),0,IF(AND((L12-C13)&gt;=0,(L12-C14)&gt;=0),0.5*((L12-C13)+(L12-C14))*ABS(B14-B13),IF((L12-C13)&gt;0,0.5*(L12-C13)*ABS((B13+((L12-C13)/((L12-C13)-(L12-C14)))*(B14-B13))-B13),0.5*(L12-C14)*ABS(B14-(B13+((L12-C13)/((L12-C13)-(L12-C14)))*(B14-B13)))))))+(IF(AND((L12-C14)&lt;=0,(L12-C15)&lt;=0),0,IF(AND((L12-C14)&gt;=0,(L12-C15)&gt;=0),0.5*((L12-C14)+(L12-C15))*ABS(B15-B14),IF((L12-C14)&gt;0,0.5*(L12-C14)*ABS((B14+((L12-C14)/((L12-C14)-(L12-C15)))*(B15-B14))-B14),0.5*(L12-C15)*ABS(B15-(B14+((L12-C14)/((L12-C14)-(L12-C15)))*(B15-B14)))))))+(IF(AND((L12-C15)&lt;=0,(L12-C16)&lt;=0),0,IF(AND((L12-C15)&gt;=0,(L12-C16)&gt;=0),0.5*((L12-C15)+(L12-C16))*ABS(B16-B15),IF((L12-C15)&gt;0,0.5*(L12-C15)*ABS((B15+((L12-C15)/((L12-C15)-(L12-C16)))*(B16-B15))-B15),0.5*(L12-C16)*ABS(B16-(B15+((L12-C15)/((L12-C15)-(L12-C16)))*(B16-B15)))))))+(IF(AND((L12-C16)&lt;=0,(L12-C17)&lt;=0),0,IF(AND((L12-C16)&gt;=0,(L12-C17)&gt;=0),0.5*((L12-C16)+(L12-C17))*ABS(B17-B16),IF((L12-C16)&gt;0,0.5*(L12-C16)*ABS((B16+((L12-C16)/((L12-C16)-(L12-C17)))*(B17-B16))-B16),0.5*(L12-C17)*ABS(B17-(B16+((L12-C16)/((L12-C16)-(L12-C17)))*(B17-B16)))))))</f>
        <v/>
      </c>
      <c r="N12">
        <f>(IF(AND((L12-C9)&lt;=0,(L12-C10)&lt;=0),0,IF(AND((L12-C9)&gt;=0,(L12-C10)&gt;=0),SQRT((B10-B9)^2+(C10-C9)^2),IF((L12-C9)&gt;0,SQRT(((B9+((L12-C9)/((L12-C9)-(L12-C10)))*(B10-B9))-B9)^2+(L12-C9)^2),SQRT((B10-(B9+((L12-C9)/((L12-C9)-(L12-C10)))*(B10-B9)))^2+(L12-C10)^2)))))+(IF(AND((L12-C10)&lt;=0,(L12-C11)&lt;=0),0,IF(AND((L12-C10)&gt;=0,(L12-C11)&gt;=0),SQRT((B11-B10)^2+(C11-C10)^2),IF((L12-C10)&gt;0,SQRT(((B10+((L12-C10)/((L12-C10)-(L12-C11)))*(B11-B10))-B10)^2+(L12-C10)^2),SQRT((B11-(B10+((L12-C10)/((L12-C10)-(L12-C11)))*(B11-B10)))^2+(L12-C11)^2)))))+(IF(AND((L12-C11)&lt;=0,(L12-C12)&lt;=0),0,IF(AND((L12-C11)&gt;=0,(L12-C12)&gt;=0),SQRT((B12-B11)^2+(C12-C11)^2),IF((L12-C11)&gt;0,SQRT(((B11+((L12-C11)/((L12-C11)-(L12-C12)))*(B12-B11))-B11)^2+(L12-C11)^2),SQRT((B12-(B11+((L12-C11)/((L12-C11)-(L12-C12)))*(B12-B11)))^2+(L12-C12)^2)))))+(IF(AND((L12-C12)&lt;=0,(L12-C13)&lt;=0),0,IF(AND((L12-C12)&gt;=0,(L12-C13)&gt;=0),SQRT((B13-B12)^2+(C13-C12)^2),IF((L12-C12)&gt;0,SQRT(((B12+((L12-C12)/((L12-C12)-(L12-C13)))*(B13-B12))-B12)^2+(L12-C12)^2),SQRT((B13-(B12+((L12-C12)/((L12-C12)-(L12-C13)))*(B13-B12)))^2+(L12-C13)^2)))))+(IF(AND((L12-C13)&lt;=0,(L12-C14)&lt;=0),0,IF(AND((L12-C13)&gt;=0,(L12-C14)&gt;=0),SQRT((B14-B13)^2+(C14-C13)^2),IF((L12-C13)&gt;0,SQRT(((B13+((L12-C13)/((L12-C13)-(L12-C14)))*(B14-B13))-B13)^2+(L12-C13)^2),SQRT((B14-(B13+((L12-C13)/((L12-C13)-(L12-C14)))*(B14-B13)))^2+(L12-C14)^2)))))+(IF(AND((L12-C14)&lt;=0,(L12-C15)&lt;=0),0,IF(AND((L12-C14)&gt;=0,(L12-C15)&gt;=0),SQRT((B15-B14)^2+(C15-C14)^2),IF((L12-C14)&gt;0,SQRT(((B14+((L12-C14)/((L12-C14)-(L12-C15)))*(B15-B14))-B14)^2+(L12-C14)^2),SQRT((B15-(B14+((L12-C14)/((L12-C14)-(L12-C15)))*(B15-B14)))^2+(L12-C15)^2)))))+(IF(AND((L12-C15)&lt;=0,(L12-C16)&lt;=0),0,IF(AND((L12-C15)&gt;=0,(L12-C16)&gt;=0),SQRT((B16-B15)^2+(C16-C15)^2),IF((L12-C15)&gt;0,SQRT(((B15+((L12-C15)/((L12-C15)-(L12-C16)))*(B16-B15))-B15)^2+(L12-C15)^2),SQRT((B16-(B15+((L12-C15)/((L12-C15)-(L12-C16)))*(B16-B15)))^2+(L12-C16)^2)))))+(IF(AND((L12-C16)&lt;=0,(L12-C17)&lt;=0),0,IF(AND((L12-C16)&gt;=0,(L12-C17)&gt;=0),SQRT((B17-B16)^2+(C17-C16)^2),IF((L12-C16)&gt;0,SQRT(((B16+((L12-C16)/((L12-C16)-(L12-C17)))*(B17-B16))-B16)^2+(L12-C16)^2),SQRT((B17-(B16+((L12-C16)/((L12-C16)-(L12-C17)))*(B17-B16)))^2+(L12-C17)^2)))))</f>
        <v/>
      </c>
      <c r="O12">
        <f>IF(OR($B$6&lt;=0,M12&lt;=0,N12&lt;=0,$B$4&lt;=0),0,(1/$B$6)*M12*((M12/N12)^(2/3))*SQRT($B$4))</f>
        <v/>
      </c>
    </row>
    <row r="13">
      <c r="A13" s="5" t="n">
        <v>5</v>
      </c>
      <c r="B13" s="5" t="n">
        <v>27.103</v>
      </c>
      <c r="C13" s="5" t="n">
        <v>33.89</v>
      </c>
      <c r="D13" s="5" t="inlineStr">
        <is>
          <t>FOND</t>
        </is>
      </c>
      <c r="E13" s="5">
        <f>$B$2-C13</f>
        <v/>
      </c>
      <c r="F13" s="5">
        <f>IF(AND(($B$2-C13)&lt;=0,($B$2-C14)&lt;=0),0,IF(AND(($B$2-C13)&gt;=0,($B$2-C14)&gt;=0),0.5*(($B$2-C13)+($B$2-C14))*ABS(B14-B13),IF(($B$2-C13)&gt;0,0.5*($B$2-C13)*ABS((B13+(($B$2-C13)/(($B$2-C13)-($B$2-C14)))*(B14-B13))-B13),0.5*($B$2-C14)*ABS(B14-(B13+(($B$2-C13)/(($B$2-C13)-($B$2-C14)))*(B14-B13))))))</f>
        <v/>
      </c>
      <c r="G13" s="5">
        <f>IF(AND(($B$2-C13)&lt;=0,($B$2-C14)&lt;=0),0,IF(AND(($B$2-C13)&gt;=0,($B$2-C14)&gt;=0),SQRT((B14-B13)^2+(C14-C13)^2),IF(($B$2-C13)&gt;0,SQRT(((B13+(($B$2-C13)/(($B$2-C13)-($B$2-C14)))*(B14-B13))-B13)^2+($B$2-C13)^2),SQRT((B14-(B13+(($B$2-C13)/(($B$2-C13)-($B$2-C14)))*(B14-B13)))^2+($B$2-C14)^2))))</f>
        <v/>
      </c>
      <c r="I13" t="n">
        <v>5</v>
      </c>
      <c r="J13">
        <f>IF(O12&lt;$B$5,L12,J12)</f>
        <v/>
      </c>
      <c r="K13">
        <f>IF(O12&lt;$B$5,K12,L12)</f>
        <v/>
      </c>
      <c r="L13">
        <f>(J13+K13)/2</f>
        <v/>
      </c>
      <c r="M13">
        <f>(IF(AND((L13-C9)&lt;=0,(L13-C10)&lt;=0),0,IF(AND((L13-C9)&gt;=0,(L13-C10)&gt;=0),0.5*((L13-C9)+(L13-C10))*ABS(B10-B9),IF((L13-C9)&gt;0,0.5*(L13-C9)*ABS((B9+((L13-C9)/((L13-C9)-(L13-C10)))*(B10-B9))-B9),0.5*(L13-C10)*ABS(B10-(B9+((L13-C9)/((L13-C9)-(L13-C10)))*(B10-B9)))))))+(IF(AND((L13-C10)&lt;=0,(L13-C11)&lt;=0),0,IF(AND((L13-C10)&gt;=0,(L13-C11)&gt;=0),0.5*((L13-C10)+(L13-C11))*ABS(B11-B10),IF((L13-C10)&gt;0,0.5*(L13-C10)*ABS((B10+((L13-C10)/((L13-C10)-(L13-C11)))*(B11-B10))-B10),0.5*(L13-C11)*ABS(B11-(B10+((L13-C10)/((L13-C10)-(L13-C11)))*(B11-B10)))))))+(IF(AND((L13-C11)&lt;=0,(L13-C12)&lt;=0),0,IF(AND((L13-C11)&gt;=0,(L13-C12)&gt;=0),0.5*((L13-C11)+(L13-C12))*ABS(B12-B11),IF((L13-C11)&gt;0,0.5*(L13-C11)*ABS((B11+((L13-C11)/((L13-C11)-(L13-C12)))*(B12-B11))-B11),0.5*(L13-C12)*ABS(B12-(B11+((L13-C11)/((L13-C11)-(L13-C12)))*(B12-B11)))))))+(IF(AND((L13-C12)&lt;=0,(L13-C13)&lt;=0),0,IF(AND((L13-C12)&gt;=0,(L13-C13)&gt;=0),0.5*((L13-C12)+(L13-C13))*ABS(B13-B12),IF((L13-C12)&gt;0,0.5*(L13-C12)*ABS((B12+((L13-C12)/((L13-C12)-(L13-C13)))*(B13-B12))-B12),0.5*(L13-C13)*ABS(B13-(B12+((L13-C12)/((L13-C12)-(L13-C13)))*(B13-B12)))))))+(IF(AND((L13-C13)&lt;=0,(L13-C14)&lt;=0),0,IF(AND((L13-C13)&gt;=0,(L13-C14)&gt;=0),0.5*((L13-C13)+(L13-C14))*ABS(B14-B13),IF((L13-C13)&gt;0,0.5*(L13-C13)*ABS((B13+((L13-C13)/((L13-C13)-(L13-C14)))*(B14-B13))-B13),0.5*(L13-C14)*ABS(B14-(B13+((L13-C13)/((L13-C13)-(L13-C14)))*(B14-B13)))))))+(IF(AND((L13-C14)&lt;=0,(L13-C15)&lt;=0),0,IF(AND((L13-C14)&gt;=0,(L13-C15)&gt;=0),0.5*((L13-C14)+(L13-C15))*ABS(B15-B14),IF((L13-C14)&gt;0,0.5*(L13-C14)*ABS((B14+((L13-C14)/((L13-C14)-(L13-C15)))*(B15-B14))-B14),0.5*(L13-C15)*ABS(B15-(B14+((L13-C14)/((L13-C14)-(L13-C15)))*(B15-B14)))))))+(IF(AND((L13-C15)&lt;=0,(L13-C16)&lt;=0),0,IF(AND((L13-C15)&gt;=0,(L13-C16)&gt;=0),0.5*((L13-C15)+(L13-C16))*ABS(B16-B15),IF((L13-C15)&gt;0,0.5*(L13-C15)*ABS((B15+((L13-C15)/((L13-C15)-(L13-C16)))*(B16-B15))-B15),0.5*(L13-C16)*ABS(B16-(B15+((L13-C15)/((L13-C15)-(L13-C16)))*(B16-B15)))))))+(IF(AND((L13-C16)&lt;=0,(L13-C17)&lt;=0),0,IF(AND((L13-C16)&gt;=0,(L13-C17)&gt;=0),0.5*((L13-C16)+(L13-C17))*ABS(B17-B16),IF((L13-C16)&gt;0,0.5*(L13-C16)*ABS((B16+((L13-C16)/((L13-C16)-(L13-C17)))*(B17-B16))-B16),0.5*(L13-C17)*ABS(B17-(B16+((L13-C16)/((L13-C16)-(L13-C17)))*(B17-B16)))))))</f>
        <v/>
      </c>
      <c r="N13">
        <f>(IF(AND((L13-C9)&lt;=0,(L13-C10)&lt;=0),0,IF(AND((L13-C9)&gt;=0,(L13-C10)&gt;=0),SQRT((B10-B9)^2+(C10-C9)^2),IF((L13-C9)&gt;0,SQRT(((B9+((L13-C9)/((L13-C9)-(L13-C10)))*(B10-B9))-B9)^2+(L13-C9)^2),SQRT((B10-(B9+((L13-C9)/((L13-C9)-(L13-C10)))*(B10-B9)))^2+(L13-C10)^2)))))+(IF(AND((L13-C10)&lt;=0,(L13-C11)&lt;=0),0,IF(AND((L13-C10)&gt;=0,(L13-C11)&gt;=0),SQRT((B11-B10)^2+(C11-C10)^2),IF((L13-C10)&gt;0,SQRT(((B10+((L13-C10)/((L13-C10)-(L13-C11)))*(B11-B10))-B10)^2+(L13-C10)^2),SQRT((B11-(B10+((L13-C10)/((L13-C10)-(L13-C11)))*(B11-B10)))^2+(L13-C11)^2)))))+(IF(AND((L13-C11)&lt;=0,(L13-C12)&lt;=0),0,IF(AND((L13-C11)&gt;=0,(L13-C12)&gt;=0),SQRT((B12-B11)^2+(C12-C11)^2),IF((L13-C11)&gt;0,SQRT(((B11+((L13-C11)/((L13-C11)-(L13-C12)))*(B12-B11))-B11)^2+(L13-C11)^2),SQRT((B12-(B11+((L13-C11)/((L13-C11)-(L13-C12)))*(B12-B11)))^2+(L13-C12)^2)))))+(IF(AND((L13-C12)&lt;=0,(L13-C13)&lt;=0),0,IF(AND((L13-C12)&gt;=0,(L13-C13)&gt;=0),SQRT((B13-B12)^2+(C13-C12)^2),IF((L13-C12)&gt;0,SQRT(((B12+((L13-C12)/((L13-C12)-(L13-C13)))*(B13-B12))-B12)^2+(L13-C12)^2),SQRT((B13-(B12+((L13-C12)/((L13-C12)-(L13-C13)))*(B13-B12)))^2+(L13-C13)^2)))))+(IF(AND((L13-C13)&lt;=0,(L13-C14)&lt;=0),0,IF(AND((L13-C13)&gt;=0,(L13-C14)&gt;=0),SQRT((B14-B13)^2+(C14-C13)^2),IF((L13-C13)&gt;0,SQRT(((B13+((L13-C13)/((L13-C13)-(L13-C14)))*(B14-B13))-B13)^2+(L13-C13)^2),SQRT((B14-(B13+((L13-C13)/((L13-C13)-(L13-C14)))*(B14-B13)))^2+(L13-C14)^2)))))+(IF(AND((L13-C14)&lt;=0,(L13-C15)&lt;=0),0,IF(AND((L13-C14)&gt;=0,(L13-C15)&gt;=0),SQRT((B15-B14)^2+(C15-C14)^2),IF((L13-C14)&gt;0,SQRT(((B14+((L13-C14)/((L13-C14)-(L13-C15)))*(B15-B14))-B14)^2+(L13-C14)^2),SQRT((B15-(B14+((L13-C14)/((L13-C14)-(L13-C15)))*(B15-B14)))^2+(L13-C15)^2)))))+(IF(AND((L13-C15)&lt;=0,(L13-C16)&lt;=0),0,IF(AND((L13-C15)&gt;=0,(L13-C16)&gt;=0),SQRT((B16-B15)^2+(C16-C15)^2),IF((L13-C15)&gt;0,SQRT(((B15+((L13-C15)/((L13-C15)-(L13-C16)))*(B16-B15))-B15)^2+(L13-C15)^2),SQRT((B16-(B15+((L13-C15)/((L13-C15)-(L13-C16)))*(B16-B15)))^2+(L13-C16)^2)))))+(IF(AND((L13-C16)&lt;=0,(L13-C17)&lt;=0),0,IF(AND((L13-C16)&gt;=0,(L13-C17)&gt;=0),SQRT((B17-B16)^2+(C17-C16)^2),IF((L13-C16)&gt;0,SQRT(((B16+((L13-C16)/((L13-C16)-(L13-C17)))*(B17-B16))-B16)^2+(L13-C16)^2),SQRT((B17-(B16+((L13-C16)/((L13-C16)-(L13-C17)))*(B17-B16)))^2+(L13-C17)^2)))))</f>
        <v/>
      </c>
      <c r="O13">
        <f>IF(OR($B$6&lt;=0,M13&lt;=0,N13&lt;=0,$B$4&lt;=0),0,(1/$B$6)*M13*((M13/N13)^(2/3))*SQRT($B$4))</f>
        <v/>
      </c>
    </row>
    <row r="14">
      <c r="A14" s="5" t="n">
        <v>6</v>
      </c>
      <c r="B14" s="5" t="n">
        <v>29.476</v>
      </c>
      <c r="C14" s="5" t="n">
        <v>33.72</v>
      </c>
      <c r="D14" s="5" t="inlineStr">
        <is>
          <t>FOND</t>
        </is>
      </c>
      <c r="E14" s="5">
        <f>$B$2-C14</f>
        <v/>
      </c>
      <c r="F14" s="5">
        <f>IF(AND(($B$2-C14)&lt;=0,($B$2-C15)&lt;=0),0,IF(AND(($B$2-C14)&gt;=0,($B$2-C15)&gt;=0),0.5*(($B$2-C14)+($B$2-C15))*ABS(B15-B14),IF(($B$2-C14)&gt;0,0.5*($B$2-C14)*ABS((B14+(($B$2-C14)/(($B$2-C14)-($B$2-C15)))*(B15-B14))-B14),0.5*($B$2-C15)*ABS(B15-(B14+(($B$2-C14)/(($B$2-C14)-($B$2-C15)))*(B15-B14))))))</f>
        <v/>
      </c>
      <c r="G14" s="5">
        <f>IF(AND(($B$2-C14)&lt;=0,($B$2-C15)&lt;=0),0,IF(AND(($B$2-C14)&gt;=0,($B$2-C15)&gt;=0),SQRT((B15-B14)^2+(C15-C14)^2),IF(($B$2-C14)&gt;0,SQRT(((B14+(($B$2-C14)/(($B$2-C14)-($B$2-C15)))*(B15-B14))-B14)^2+($B$2-C14)^2),SQRT((B15-(B14+(($B$2-C14)/(($B$2-C14)-($B$2-C15)))*(B15-B14)))^2+($B$2-C15)^2))))</f>
        <v/>
      </c>
      <c r="I14" t="n">
        <v>6</v>
      </c>
      <c r="J14">
        <f>IF(O13&lt;$B$5,L13,J13)</f>
        <v/>
      </c>
      <c r="K14">
        <f>IF(O13&lt;$B$5,K13,L13)</f>
        <v/>
      </c>
      <c r="L14">
        <f>(J14+K14)/2</f>
        <v/>
      </c>
      <c r="M14">
        <f>(IF(AND((L14-C9)&lt;=0,(L14-C10)&lt;=0),0,IF(AND((L14-C9)&gt;=0,(L14-C10)&gt;=0),0.5*((L14-C9)+(L14-C10))*ABS(B10-B9),IF((L14-C9)&gt;0,0.5*(L14-C9)*ABS((B9+((L14-C9)/((L14-C9)-(L14-C10)))*(B10-B9))-B9),0.5*(L14-C10)*ABS(B10-(B9+((L14-C9)/((L14-C9)-(L14-C10)))*(B10-B9)))))))+(IF(AND((L14-C10)&lt;=0,(L14-C11)&lt;=0),0,IF(AND((L14-C10)&gt;=0,(L14-C11)&gt;=0),0.5*((L14-C10)+(L14-C11))*ABS(B11-B10),IF((L14-C10)&gt;0,0.5*(L14-C10)*ABS((B10+((L14-C10)/((L14-C10)-(L14-C11)))*(B11-B10))-B10),0.5*(L14-C11)*ABS(B11-(B10+((L14-C10)/((L14-C10)-(L14-C11)))*(B11-B10)))))))+(IF(AND((L14-C11)&lt;=0,(L14-C12)&lt;=0),0,IF(AND((L14-C11)&gt;=0,(L14-C12)&gt;=0),0.5*((L14-C11)+(L14-C12))*ABS(B12-B11),IF((L14-C11)&gt;0,0.5*(L14-C11)*ABS((B11+((L14-C11)/((L14-C11)-(L14-C12)))*(B12-B11))-B11),0.5*(L14-C12)*ABS(B12-(B11+((L14-C11)/((L14-C11)-(L14-C12)))*(B12-B11)))))))+(IF(AND((L14-C12)&lt;=0,(L14-C13)&lt;=0),0,IF(AND((L14-C12)&gt;=0,(L14-C13)&gt;=0),0.5*((L14-C12)+(L14-C13))*ABS(B13-B12),IF((L14-C12)&gt;0,0.5*(L14-C12)*ABS((B12+((L14-C12)/((L14-C12)-(L14-C13)))*(B13-B12))-B12),0.5*(L14-C13)*ABS(B13-(B12+((L14-C12)/((L14-C12)-(L14-C13)))*(B13-B12)))))))+(IF(AND((L14-C13)&lt;=0,(L14-C14)&lt;=0),0,IF(AND((L14-C13)&gt;=0,(L14-C14)&gt;=0),0.5*((L14-C13)+(L14-C14))*ABS(B14-B13),IF((L14-C13)&gt;0,0.5*(L14-C13)*ABS((B13+((L14-C13)/((L14-C13)-(L14-C14)))*(B14-B13))-B13),0.5*(L14-C14)*ABS(B14-(B13+((L14-C13)/((L14-C13)-(L14-C14)))*(B14-B13)))))))+(IF(AND((L14-C14)&lt;=0,(L14-C15)&lt;=0),0,IF(AND((L14-C14)&gt;=0,(L14-C15)&gt;=0),0.5*((L14-C14)+(L14-C15))*ABS(B15-B14),IF((L14-C14)&gt;0,0.5*(L14-C14)*ABS((B14+((L14-C14)/((L14-C14)-(L14-C15)))*(B15-B14))-B14),0.5*(L14-C15)*ABS(B15-(B14+((L14-C14)/((L14-C14)-(L14-C15)))*(B15-B14)))))))+(IF(AND((L14-C15)&lt;=0,(L14-C16)&lt;=0),0,IF(AND((L14-C15)&gt;=0,(L14-C16)&gt;=0),0.5*((L14-C15)+(L14-C16))*ABS(B16-B15),IF((L14-C15)&gt;0,0.5*(L14-C15)*ABS((B15+((L14-C15)/((L14-C15)-(L14-C16)))*(B16-B15))-B15),0.5*(L14-C16)*ABS(B16-(B15+((L14-C15)/((L14-C15)-(L14-C16)))*(B16-B15)))))))+(IF(AND((L14-C16)&lt;=0,(L14-C17)&lt;=0),0,IF(AND((L14-C16)&gt;=0,(L14-C17)&gt;=0),0.5*((L14-C16)+(L14-C17))*ABS(B17-B16),IF((L14-C16)&gt;0,0.5*(L14-C16)*ABS((B16+((L14-C16)/((L14-C16)-(L14-C17)))*(B17-B16))-B16),0.5*(L14-C17)*ABS(B17-(B16+((L14-C16)/((L14-C16)-(L14-C17)))*(B17-B16)))))))</f>
        <v/>
      </c>
      <c r="N14">
        <f>(IF(AND((L14-C9)&lt;=0,(L14-C10)&lt;=0),0,IF(AND((L14-C9)&gt;=0,(L14-C10)&gt;=0),SQRT((B10-B9)^2+(C10-C9)^2),IF((L14-C9)&gt;0,SQRT(((B9+((L14-C9)/((L14-C9)-(L14-C10)))*(B10-B9))-B9)^2+(L14-C9)^2),SQRT((B10-(B9+((L14-C9)/((L14-C9)-(L14-C10)))*(B10-B9)))^2+(L14-C10)^2)))))+(IF(AND((L14-C10)&lt;=0,(L14-C11)&lt;=0),0,IF(AND((L14-C10)&gt;=0,(L14-C11)&gt;=0),SQRT((B11-B10)^2+(C11-C10)^2),IF((L14-C10)&gt;0,SQRT(((B10+((L14-C10)/((L14-C10)-(L14-C11)))*(B11-B10))-B10)^2+(L14-C10)^2),SQRT((B11-(B10+((L14-C10)/((L14-C10)-(L14-C11)))*(B11-B10)))^2+(L14-C11)^2)))))+(IF(AND((L14-C11)&lt;=0,(L14-C12)&lt;=0),0,IF(AND((L14-C11)&gt;=0,(L14-C12)&gt;=0),SQRT((B12-B11)^2+(C12-C11)^2),IF((L14-C11)&gt;0,SQRT(((B11+((L14-C11)/((L14-C11)-(L14-C12)))*(B12-B11))-B11)^2+(L14-C11)^2),SQRT((B12-(B11+((L14-C11)/((L14-C11)-(L14-C12)))*(B12-B11)))^2+(L14-C12)^2)))))+(IF(AND((L14-C12)&lt;=0,(L14-C13)&lt;=0),0,IF(AND((L14-C12)&gt;=0,(L14-C13)&gt;=0),SQRT((B13-B12)^2+(C13-C12)^2),IF((L14-C12)&gt;0,SQRT(((B12+((L14-C12)/((L14-C12)-(L14-C13)))*(B13-B12))-B12)^2+(L14-C12)^2),SQRT((B13-(B12+((L14-C12)/((L14-C12)-(L14-C13)))*(B13-B12)))^2+(L14-C13)^2)))))+(IF(AND((L14-C13)&lt;=0,(L14-C14)&lt;=0),0,IF(AND((L14-C13)&gt;=0,(L14-C14)&gt;=0),SQRT((B14-B13)^2+(C14-C13)^2),IF((L14-C13)&gt;0,SQRT(((B13+((L14-C13)/((L14-C13)-(L14-C14)))*(B14-B13))-B13)^2+(L14-C13)^2),SQRT((B14-(B13+((L14-C13)/((L14-C13)-(L14-C14)))*(B14-B13)))^2+(L14-C14)^2)))))+(IF(AND((L14-C14)&lt;=0,(L14-C15)&lt;=0),0,IF(AND((L14-C14)&gt;=0,(L14-C15)&gt;=0),SQRT((B15-B14)^2+(C15-C14)^2),IF((L14-C14)&gt;0,SQRT(((B14+((L14-C14)/((L14-C14)-(L14-C15)))*(B15-B14))-B14)^2+(L14-C14)^2),SQRT((B15-(B14+((L14-C14)/((L14-C14)-(L14-C15)))*(B15-B14)))^2+(L14-C15)^2)))))+(IF(AND((L14-C15)&lt;=0,(L14-C16)&lt;=0),0,IF(AND((L14-C15)&gt;=0,(L14-C16)&gt;=0),SQRT((B16-B15)^2+(C16-C15)^2),IF((L14-C15)&gt;0,SQRT(((B15+((L14-C15)/((L14-C15)-(L14-C16)))*(B16-B15))-B15)^2+(L14-C15)^2),SQRT((B16-(B15+((L14-C15)/((L14-C15)-(L14-C16)))*(B16-B15)))^2+(L14-C16)^2)))))+(IF(AND((L14-C16)&lt;=0,(L14-C17)&lt;=0),0,IF(AND((L14-C16)&gt;=0,(L14-C17)&gt;=0),SQRT((B17-B16)^2+(C17-C16)^2),IF((L14-C16)&gt;0,SQRT(((B16+((L14-C16)/((L14-C16)-(L14-C17)))*(B17-B16))-B16)^2+(L14-C16)^2),SQRT((B17-(B16+((L14-C16)/((L14-C16)-(L14-C17)))*(B17-B16)))^2+(L14-C17)^2)))))</f>
        <v/>
      </c>
      <c r="O14">
        <f>IF(OR($B$6&lt;=0,M14&lt;=0,N14&lt;=0,$B$4&lt;=0),0,(1/$B$6)*M14*((M14/N14)^(2/3))*SQRT($B$4))</f>
        <v/>
      </c>
    </row>
    <row r="15">
      <c r="A15" s="5" t="n">
        <v>7</v>
      </c>
      <c r="B15" s="5" t="n">
        <v>30.08</v>
      </c>
      <c r="C15" s="5" t="n">
        <v>34.37</v>
      </c>
      <c r="D15" s="5" t="inlineStr">
        <is>
          <t>BLOC</t>
        </is>
      </c>
      <c r="E15" s="5">
        <f>$B$2-C15</f>
        <v/>
      </c>
      <c r="F15" s="5">
        <f>IF(AND(($B$2-C15)&lt;=0,($B$2-C16)&lt;=0),0,IF(AND(($B$2-C15)&gt;=0,($B$2-C16)&gt;=0),0.5*(($B$2-C15)+($B$2-C16))*ABS(B16-B15),IF(($B$2-C15)&gt;0,0.5*($B$2-C15)*ABS((B15+(($B$2-C15)/(($B$2-C15)-($B$2-C16)))*(B16-B15))-B15),0.5*($B$2-C16)*ABS(B16-(B15+(($B$2-C15)/(($B$2-C15)-($B$2-C16)))*(B16-B15))))))</f>
        <v/>
      </c>
      <c r="G15" s="5">
        <f>IF(AND(($B$2-C15)&lt;=0,($B$2-C16)&lt;=0),0,IF(AND(($B$2-C15)&gt;=0,($B$2-C16)&gt;=0),SQRT((B16-B15)^2+(C16-C15)^2),IF(($B$2-C15)&gt;0,SQRT(((B15+(($B$2-C15)/(($B$2-C15)-($B$2-C16)))*(B16-B15))-B15)^2+($B$2-C15)^2),SQRT((B16-(B15+(($B$2-C15)/(($B$2-C15)-($B$2-C16)))*(B16-B15)))^2+($B$2-C16)^2))))</f>
        <v/>
      </c>
      <c r="I15" t="n">
        <v>7</v>
      </c>
      <c r="J15">
        <f>IF(O14&lt;$B$5,L14,J14)</f>
        <v/>
      </c>
      <c r="K15">
        <f>IF(O14&lt;$B$5,K14,L14)</f>
        <v/>
      </c>
      <c r="L15">
        <f>(J15+K15)/2</f>
        <v/>
      </c>
      <c r="M15">
        <f>(IF(AND((L15-C9)&lt;=0,(L15-C10)&lt;=0),0,IF(AND((L15-C9)&gt;=0,(L15-C10)&gt;=0),0.5*((L15-C9)+(L15-C10))*ABS(B10-B9),IF((L15-C9)&gt;0,0.5*(L15-C9)*ABS((B9+((L15-C9)/((L15-C9)-(L15-C10)))*(B10-B9))-B9),0.5*(L15-C10)*ABS(B10-(B9+((L15-C9)/((L15-C9)-(L15-C10)))*(B10-B9)))))))+(IF(AND((L15-C10)&lt;=0,(L15-C11)&lt;=0),0,IF(AND((L15-C10)&gt;=0,(L15-C11)&gt;=0),0.5*((L15-C10)+(L15-C11))*ABS(B11-B10),IF((L15-C10)&gt;0,0.5*(L15-C10)*ABS((B10+((L15-C10)/((L15-C10)-(L15-C11)))*(B11-B10))-B10),0.5*(L15-C11)*ABS(B11-(B10+((L15-C10)/((L15-C10)-(L15-C11)))*(B11-B10)))))))+(IF(AND((L15-C11)&lt;=0,(L15-C12)&lt;=0),0,IF(AND((L15-C11)&gt;=0,(L15-C12)&gt;=0),0.5*((L15-C11)+(L15-C12))*ABS(B12-B11),IF((L15-C11)&gt;0,0.5*(L15-C11)*ABS((B11+((L15-C11)/((L15-C11)-(L15-C12)))*(B12-B11))-B11),0.5*(L15-C12)*ABS(B12-(B11+((L15-C11)/((L15-C11)-(L15-C12)))*(B12-B11)))))))+(IF(AND((L15-C12)&lt;=0,(L15-C13)&lt;=0),0,IF(AND((L15-C12)&gt;=0,(L15-C13)&gt;=0),0.5*((L15-C12)+(L15-C13))*ABS(B13-B12),IF((L15-C12)&gt;0,0.5*(L15-C12)*ABS((B12+((L15-C12)/((L15-C12)-(L15-C13)))*(B13-B12))-B12),0.5*(L15-C13)*ABS(B13-(B12+((L15-C12)/((L15-C12)-(L15-C13)))*(B13-B12)))))))+(IF(AND((L15-C13)&lt;=0,(L15-C14)&lt;=0),0,IF(AND((L15-C13)&gt;=0,(L15-C14)&gt;=0),0.5*((L15-C13)+(L15-C14))*ABS(B14-B13),IF((L15-C13)&gt;0,0.5*(L15-C13)*ABS((B13+((L15-C13)/((L15-C13)-(L15-C14)))*(B14-B13))-B13),0.5*(L15-C14)*ABS(B14-(B13+((L15-C13)/((L15-C13)-(L15-C14)))*(B14-B13)))))))+(IF(AND((L15-C14)&lt;=0,(L15-C15)&lt;=0),0,IF(AND((L15-C14)&gt;=0,(L15-C15)&gt;=0),0.5*((L15-C14)+(L15-C15))*ABS(B15-B14),IF((L15-C14)&gt;0,0.5*(L15-C14)*ABS((B14+((L15-C14)/((L15-C14)-(L15-C15)))*(B15-B14))-B14),0.5*(L15-C15)*ABS(B15-(B14+((L15-C14)/((L15-C14)-(L15-C15)))*(B15-B14)))))))+(IF(AND((L15-C15)&lt;=0,(L15-C16)&lt;=0),0,IF(AND((L15-C15)&gt;=0,(L15-C16)&gt;=0),0.5*((L15-C15)+(L15-C16))*ABS(B16-B15),IF((L15-C15)&gt;0,0.5*(L15-C15)*ABS((B15+((L15-C15)/((L15-C15)-(L15-C16)))*(B16-B15))-B15),0.5*(L15-C16)*ABS(B16-(B15+((L15-C15)/((L15-C15)-(L15-C16)))*(B16-B15)))))))+(IF(AND((L15-C16)&lt;=0,(L15-C17)&lt;=0),0,IF(AND((L15-C16)&gt;=0,(L15-C17)&gt;=0),0.5*((L15-C16)+(L15-C17))*ABS(B17-B16),IF((L15-C16)&gt;0,0.5*(L15-C16)*ABS((B16+((L15-C16)/((L15-C16)-(L15-C17)))*(B17-B16))-B16),0.5*(L15-C17)*ABS(B17-(B16+((L15-C16)/((L15-C16)-(L15-C17)))*(B17-B16)))))))</f>
        <v/>
      </c>
      <c r="N15">
        <f>(IF(AND((L15-C9)&lt;=0,(L15-C10)&lt;=0),0,IF(AND((L15-C9)&gt;=0,(L15-C10)&gt;=0),SQRT((B10-B9)^2+(C10-C9)^2),IF((L15-C9)&gt;0,SQRT(((B9+((L15-C9)/((L15-C9)-(L15-C10)))*(B10-B9))-B9)^2+(L15-C9)^2),SQRT((B10-(B9+((L15-C9)/((L15-C9)-(L15-C10)))*(B10-B9)))^2+(L15-C10)^2)))))+(IF(AND((L15-C10)&lt;=0,(L15-C11)&lt;=0),0,IF(AND((L15-C10)&gt;=0,(L15-C11)&gt;=0),SQRT((B11-B10)^2+(C11-C10)^2),IF((L15-C10)&gt;0,SQRT(((B10+((L15-C10)/((L15-C10)-(L15-C11)))*(B11-B10))-B10)^2+(L15-C10)^2),SQRT((B11-(B10+((L15-C10)/((L15-C10)-(L15-C11)))*(B11-B10)))^2+(L15-C11)^2)))))+(IF(AND((L15-C11)&lt;=0,(L15-C12)&lt;=0),0,IF(AND((L15-C11)&gt;=0,(L15-C12)&gt;=0),SQRT((B12-B11)^2+(C12-C11)^2),IF((L15-C11)&gt;0,SQRT(((B11+((L15-C11)/((L15-C11)-(L15-C12)))*(B12-B11))-B11)^2+(L15-C11)^2),SQRT((B12-(B11+((L15-C11)/((L15-C11)-(L15-C12)))*(B12-B11)))^2+(L15-C12)^2)))))+(IF(AND((L15-C12)&lt;=0,(L15-C13)&lt;=0),0,IF(AND((L15-C12)&gt;=0,(L15-C13)&gt;=0),SQRT((B13-B12)^2+(C13-C12)^2),IF((L15-C12)&gt;0,SQRT(((B12+((L15-C12)/((L15-C12)-(L15-C13)))*(B13-B12))-B12)^2+(L15-C12)^2),SQRT((B13-(B12+((L15-C12)/((L15-C12)-(L15-C13)))*(B13-B12)))^2+(L15-C13)^2)))))+(IF(AND((L15-C13)&lt;=0,(L15-C14)&lt;=0),0,IF(AND((L15-C13)&gt;=0,(L15-C14)&gt;=0),SQRT((B14-B13)^2+(C14-C13)^2),IF((L15-C13)&gt;0,SQRT(((B13+((L15-C13)/((L15-C13)-(L15-C14)))*(B14-B13))-B13)^2+(L15-C13)^2),SQRT((B14-(B13+((L15-C13)/((L15-C13)-(L15-C14)))*(B14-B13)))^2+(L15-C14)^2)))))+(IF(AND((L15-C14)&lt;=0,(L15-C15)&lt;=0),0,IF(AND((L15-C14)&gt;=0,(L15-C15)&gt;=0),SQRT((B15-B14)^2+(C15-C14)^2),IF((L15-C14)&gt;0,SQRT(((B14+((L15-C14)/((L15-C14)-(L15-C15)))*(B15-B14))-B14)^2+(L15-C14)^2),SQRT((B15-(B14+((L15-C14)/((L15-C14)-(L15-C15)))*(B15-B14)))^2+(L15-C15)^2)))))+(IF(AND((L15-C15)&lt;=0,(L15-C16)&lt;=0),0,IF(AND((L15-C15)&gt;=0,(L15-C16)&gt;=0),SQRT((B16-B15)^2+(C16-C15)^2),IF((L15-C15)&gt;0,SQRT(((B15+((L15-C15)/((L15-C15)-(L15-C16)))*(B16-B15))-B15)^2+(L15-C15)^2),SQRT((B16-(B15+((L15-C15)/((L15-C15)-(L15-C16)))*(B16-B15)))^2+(L15-C16)^2)))))+(IF(AND((L15-C16)&lt;=0,(L15-C17)&lt;=0),0,IF(AND((L15-C16)&gt;=0,(L15-C17)&gt;=0),SQRT((B17-B16)^2+(C17-C16)^2),IF((L15-C16)&gt;0,SQRT(((B16+((L15-C16)/((L15-C16)-(L15-C17)))*(B17-B16))-B16)^2+(L15-C16)^2),SQRT((B17-(B16+((L15-C16)/((L15-C16)-(L15-C17)))*(B17-B16)))^2+(L15-C17)^2)))))</f>
        <v/>
      </c>
      <c r="O15">
        <f>IF(OR($B$6&lt;=0,M15&lt;=0,N15&lt;=0,$B$4&lt;=0),0,(1/$B$6)*M15*((M15/N15)^(2/3))*SQRT($B$4))</f>
        <v/>
      </c>
    </row>
    <row r="16">
      <c r="A16" s="5" t="n">
        <v>8</v>
      </c>
      <c r="B16" s="5" t="n">
        <v>30.297</v>
      </c>
      <c r="C16" s="5" t="n">
        <v>35.66</v>
      </c>
      <c r="D16" s="5" t="inlineStr">
        <is>
          <t>TBA</t>
        </is>
      </c>
      <c r="E16" s="5">
        <f>$B$2-C16</f>
        <v/>
      </c>
      <c r="F16" s="5">
        <f>IF(AND(($B$2-C16)&lt;=0,($B$2-C17)&lt;=0),0,IF(AND(($B$2-C16)&gt;=0,($B$2-C17)&gt;=0),0.5*(($B$2-C16)+($B$2-C17))*ABS(B17-B16),IF(($B$2-C16)&gt;0,0.5*($B$2-C16)*ABS((B16+(($B$2-C16)/(($B$2-C16)-($B$2-C17)))*(B17-B16))-B16),0.5*($B$2-C17)*ABS(B17-(B16+(($B$2-C16)/(($B$2-C16)-($B$2-C17)))*(B17-B16))))))</f>
        <v/>
      </c>
      <c r="G16" s="5">
        <f>IF(AND(($B$2-C16)&lt;=0,($B$2-C17)&lt;=0),0,IF(AND(($B$2-C16)&gt;=0,($B$2-C17)&gt;=0),SQRT((B17-B16)^2+(C17-C16)^2),IF(($B$2-C16)&gt;0,SQRT(((B16+(($B$2-C16)/(($B$2-C16)-($B$2-C17)))*(B17-B16))-B16)^2+($B$2-C16)^2),SQRT((B17-(B16+(($B$2-C16)/(($B$2-C16)-($B$2-C17)))*(B17-B16)))^2+($B$2-C17)^2))))</f>
        <v/>
      </c>
      <c r="I16" t="n">
        <v>8</v>
      </c>
      <c r="J16">
        <f>IF(O15&lt;$B$5,L15,J15)</f>
        <v/>
      </c>
      <c r="K16">
        <f>IF(O15&lt;$B$5,K15,L15)</f>
        <v/>
      </c>
      <c r="L16">
        <f>(J16+K16)/2</f>
        <v/>
      </c>
      <c r="M16">
        <f>(IF(AND((L16-C9)&lt;=0,(L16-C10)&lt;=0),0,IF(AND((L16-C9)&gt;=0,(L16-C10)&gt;=0),0.5*((L16-C9)+(L16-C10))*ABS(B10-B9),IF((L16-C9)&gt;0,0.5*(L16-C9)*ABS((B9+((L16-C9)/((L16-C9)-(L16-C10)))*(B10-B9))-B9),0.5*(L16-C10)*ABS(B10-(B9+((L16-C9)/((L16-C9)-(L16-C10)))*(B10-B9)))))))+(IF(AND((L16-C10)&lt;=0,(L16-C11)&lt;=0),0,IF(AND((L16-C10)&gt;=0,(L16-C11)&gt;=0),0.5*((L16-C10)+(L16-C11))*ABS(B11-B10),IF((L16-C10)&gt;0,0.5*(L16-C10)*ABS((B10+((L16-C10)/((L16-C10)-(L16-C11)))*(B11-B10))-B10),0.5*(L16-C11)*ABS(B11-(B10+((L16-C10)/((L16-C10)-(L16-C11)))*(B11-B10)))))))+(IF(AND((L16-C11)&lt;=0,(L16-C12)&lt;=0),0,IF(AND((L16-C11)&gt;=0,(L16-C12)&gt;=0),0.5*((L16-C11)+(L16-C12))*ABS(B12-B11),IF((L16-C11)&gt;0,0.5*(L16-C11)*ABS((B11+((L16-C11)/((L16-C11)-(L16-C12)))*(B12-B11))-B11),0.5*(L16-C12)*ABS(B12-(B11+((L16-C11)/((L16-C11)-(L16-C12)))*(B12-B11)))))))+(IF(AND((L16-C12)&lt;=0,(L16-C13)&lt;=0),0,IF(AND((L16-C12)&gt;=0,(L16-C13)&gt;=0),0.5*((L16-C12)+(L16-C13))*ABS(B13-B12),IF((L16-C12)&gt;0,0.5*(L16-C12)*ABS((B12+((L16-C12)/((L16-C12)-(L16-C13)))*(B13-B12))-B12),0.5*(L16-C13)*ABS(B13-(B12+((L16-C12)/((L16-C12)-(L16-C13)))*(B13-B12)))))))+(IF(AND((L16-C13)&lt;=0,(L16-C14)&lt;=0),0,IF(AND((L16-C13)&gt;=0,(L16-C14)&gt;=0),0.5*((L16-C13)+(L16-C14))*ABS(B14-B13),IF((L16-C13)&gt;0,0.5*(L16-C13)*ABS((B13+((L16-C13)/((L16-C13)-(L16-C14)))*(B14-B13))-B13),0.5*(L16-C14)*ABS(B14-(B13+((L16-C13)/((L16-C13)-(L16-C14)))*(B14-B13)))))))+(IF(AND((L16-C14)&lt;=0,(L16-C15)&lt;=0),0,IF(AND((L16-C14)&gt;=0,(L16-C15)&gt;=0),0.5*((L16-C14)+(L16-C15))*ABS(B15-B14),IF((L16-C14)&gt;0,0.5*(L16-C14)*ABS((B14+((L16-C14)/((L16-C14)-(L16-C15)))*(B15-B14))-B14),0.5*(L16-C15)*ABS(B15-(B14+((L16-C14)/((L16-C14)-(L16-C15)))*(B15-B14)))))))+(IF(AND((L16-C15)&lt;=0,(L16-C16)&lt;=0),0,IF(AND((L16-C15)&gt;=0,(L16-C16)&gt;=0),0.5*((L16-C15)+(L16-C16))*ABS(B16-B15),IF((L16-C15)&gt;0,0.5*(L16-C15)*ABS((B15+((L16-C15)/((L16-C15)-(L16-C16)))*(B16-B15))-B15),0.5*(L16-C16)*ABS(B16-(B15+((L16-C15)/((L16-C15)-(L16-C16)))*(B16-B15)))))))+(IF(AND((L16-C16)&lt;=0,(L16-C17)&lt;=0),0,IF(AND((L16-C16)&gt;=0,(L16-C17)&gt;=0),0.5*((L16-C16)+(L16-C17))*ABS(B17-B16),IF((L16-C16)&gt;0,0.5*(L16-C16)*ABS((B16+((L16-C16)/((L16-C16)-(L16-C17)))*(B17-B16))-B16),0.5*(L16-C17)*ABS(B17-(B16+((L16-C16)/((L16-C16)-(L16-C17)))*(B17-B16)))))))</f>
        <v/>
      </c>
      <c r="N16">
        <f>(IF(AND((L16-C9)&lt;=0,(L16-C10)&lt;=0),0,IF(AND((L16-C9)&gt;=0,(L16-C10)&gt;=0),SQRT((B10-B9)^2+(C10-C9)^2),IF((L16-C9)&gt;0,SQRT(((B9+((L16-C9)/((L16-C9)-(L16-C10)))*(B10-B9))-B9)^2+(L16-C9)^2),SQRT((B10-(B9+((L16-C9)/((L16-C9)-(L16-C10)))*(B10-B9)))^2+(L16-C10)^2)))))+(IF(AND((L16-C10)&lt;=0,(L16-C11)&lt;=0),0,IF(AND((L16-C10)&gt;=0,(L16-C11)&gt;=0),SQRT((B11-B10)^2+(C11-C10)^2),IF((L16-C10)&gt;0,SQRT(((B10+((L16-C10)/((L16-C10)-(L16-C11)))*(B11-B10))-B10)^2+(L16-C10)^2),SQRT((B11-(B10+((L16-C10)/((L16-C10)-(L16-C11)))*(B11-B10)))^2+(L16-C11)^2)))))+(IF(AND((L16-C11)&lt;=0,(L16-C12)&lt;=0),0,IF(AND((L16-C11)&gt;=0,(L16-C12)&gt;=0),SQRT((B12-B11)^2+(C12-C11)^2),IF((L16-C11)&gt;0,SQRT(((B11+((L16-C11)/((L16-C11)-(L16-C12)))*(B12-B11))-B11)^2+(L16-C11)^2),SQRT((B12-(B11+((L16-C11)/((L16-C11)-(L16-C12)))*(B12-B11)))^2+(L16-C12)^2)))))+(IF(AND((L16-C12)&lt;=0,(L16-C13)&lt;=0),0,IF(AND((L16-C12)&gt;=0,(L16-C13)&gt;=0),SQRT((B13-B12)^2+(C13-C12)^2),IF((L16-C12)&gt;0,SQRT(((B12+((L16-C12)/((L16-C12)-(L16-C13)))*(B13-B12))-B12)^2+(L16-C12)^2),SQRT((B13-(B12+((L16-C12)/((L16-C12)-(L16-C13)))*(B13-B12)))^2+(L16-C13)^2)))))+(IF(AND((L16-C13)&lt;=0,(L16-C14)&lt;=0),0,IF(AND((L16-C13)&gt;=0,(L16-C14)&gt;=0),SQRT((B14-B13)^2+(C14-C13)^2),IF((L16-C13)&gt;0,SQRT(((B13+((L16-C13)/((L16-C13)-(L16-C14)))*(B14-B13))-B13)^2+(L16-C13)^2),SQRT((B14-(B13+((L16-C13)/((L16-C13)-(L16-C14)))*(B14-B13)))^2+(L16-C14)^2)))))+(IF(AND((L16-C14)&lt;=0,(L16-C15)&lt;=0),0,IF(AND((L16-C14)&gt;=0,(L16-C15)&gt;=0),SQRT((B15-B14)^2+(C15-C14)^2),IF((L16-C14)&gt;0,SQRT(((B14+((L16-C14)/((L16-C14)-(L16-C15)))*(B15-B14))-B14)^2+(L16-C14)^2),SQRT((B15-(B14+((L16-C14)/((L16-C14)-(L16-C15)))*(B15-B14)))^2+(L16-C15)^2)))))+(IF(AND((L16-C15)&lt;=0,(L16-C16)&lt;=0),0,IF(AND((L16-C15)&gt;=0,(L16-C16)&gt;=0),SQRT((B16-B15)^2+(C16-C15)^2),IF((L16-C15)&gt;0,SQRT(((B15+((L16-C15)/((L16-C15)-(L16-C16)))*(B16-B15))-B15)^2+(L16-C15)^2),SQRT((B16-(B15+((L16-C15)/((L16-C15)-(L16-C16)))*(B16-B15)))^2+(L16-C16)^2)))))+(IF(AND((L16-C16)&lt;=0,(L16-C17)&lt;=0),0,IF(AND((L16-C16)&gt;=0,(L16-C17)&gt;=0),SQRT((B17-B16)^2+(C17-C16)^2),IF((L16-C16)&gt;0,SQRT(((B16+((L16-C16)/((L16-C16)-(L16-C17)))*(B17-B16))-B16)^2+(L16-C16)^2),SQRT((B17-(B16+((L16-C16)/((L16-C16)-(L16-C17)))*(B17-B16)))^2+(L16-C17)^2)))))</f>
        <v/>
      </c>
      <c r="O16">
        <f>IF(OR($B$6&lt;=0,M16&lt;=0,N16&lt;=0,$B$4&lt;=0),0,(1/$B$6)*M16*((M16/N16)^(2/3))*SQRT($B$4))</f>
        <v/>
      </c>
    </row>
    <row r="17">
      <c r="A17" s="5" t="n">
        <v>9</v>
      </c>
      <c r="B17" s="5" t="n">
        <v>33.235</v>
      </c>
      <c r="C17" s="5" t="n">
        <v>34.54</v>
      </c>
      <c r="D17" s="5" t="inlineStr">
        <is>
          <t>BLOC</t>
        </is>
      </c>
      <c r="E17" s="5">
        <f>$B$2-C17</f>
        <v/>
      </c>
      <c r="F17" s="5" t="n"/>
      <c r="G17" s="5" t="n"/>
      <c r="I17" t="n">
        <v>9</v>
      </c>
      <c r="J17">
        <f>IF(O16&lt;$B$5,L16,J16)</f>
        <v/>
      </c>
      <c r="K17">
        <f>IF(O16&lt;$B$5,K16,L16)</f>
        <v/>
      </c>
      <c r="L17">
        <f>(J17+K17)/2</f>
        <v/>
      </c>
      <c r="M17">
        <f>(IF(AND((L17-C9)&lt;=0,(L17-C10)&lt;=0),0,IF(AND((L17-C9)&gt;=0,(L17-C10)&gt;=0),0.5*((L17-C9)+(L17-C10))*ABS(B10-B9),IF((L17-C9)&gt;0,0.5*(L17-C9)*ABS((B9+((L17-C9)/((L17-C9)-(L17-C10)))*(B10-B9))-B9),0.5*(L17-C10)*ABS(B10-(B9+((L17-C9)/((L17-C9)-(L17-C10)))*(B10-B9)))))))+(IF(AND((L17-C10)&lt;=0,(L17-C11)&lt;=0),0,IF(AND((L17-C10)&gt;=0,(L17-C11)&gt;=0),0.5*((L17-C10)+(L17-C11))*ABS(B11-B10),IF((L17-C10)&gt;0,0.5*(L17-C10)*ABS((B10+((L17-C10)/((L17-C10)-(L17-C11)))*(B11-B10))-B10),0.5*(L17-C11)*ABS(B11-(B10+((L17-C10)/((L17-C10)-(L17-C11)))*(B11-B10)))))))+(IF(AND((L17-C11)&lt;=0,(L17-C12)&lt;=0),0,IF(AND((L17-C11)&gt;=0,(L17-C12)&gt;=0),0.5*((L17-C11)+(L17-C12))*ABS(B12-B11),IF((L17-C11)&gt;0,0.5*(L17-C11)*ABS((B11+((L17-C11)/((L17-C11)-(L17-C12)))*(B12-B11))-B11),0.5*(L17-C12)*ABS(B12-(B11+((L17-C11)/((L17-C11)-(L17-C12)))*(B12-B11)))))))+(IF(AND((L17-C12)&lt;=0,(L17-C13)&lt;=0),0,IF(AND((L17-C12)&gt;=0,(L17-C13)&gt;=0),0.5*((L17-C12)+(L17-C13))*ABS(B13-B12),IF((L17-C12)&gt;0,0.5*(L17-C12)*ABS((B12+((L17-C12)/((L17-C12)-(L17-C13)))*(B13-B12))-B12),0.5*(L17-C13)*ABS(B13-(B12+((L17-C12)/((L17-C12)-(L17-C13)))*(B13-B12)))))))+(IF(AND((L17-C13)&lt;=0,(L17-C14)&lt;=0),0,IF(AND((L17-C13)&gt;=0,(L17-C14)&gt;=0),0.5*((L17-C13)+(L17-C14))*ABS(B14-B13),IF((L17-C13)&gt;0,0.5*(L17-C13)*ABS((B13+((L17-C13)/((L17-C13)-(L17-C14)))*(B14-B13))-B13),0.5*(L17-C14)*ABS(B14-(B13+((L17-C13)/((L17-C13)-(L17-C14)))*(B14-B13)))))))+(IF(AND((L17-C14)&lt;=0,(L17-C15)&lt;=0),0,IF(AND((L17-C14)&gt;=0,(L17-C15)&gt;=0),0.5*((L17-C14)+(L17-C15))*ABS(B15-B14),IF((L17-C14)&gt;0,0.5*(L17-C14)*ABS((B14+((L17-C14)/((L17-C14)-(L17-C15)))*(B15-B14))-B14),0.5*(L17-C15)*ABS(B15-(B14+((L17-C14)/((L17-C14)-(L17-C15)))*(B15-B14)))))))+(IF(AND((L17-C15)&lt;=0,(L17-C16)&lt;=0),0,IF(AND((L17-C15)&gt;=0,(L17-C16)&gt;=0),0.5*((L17-C15)+(L17-C16))*ABS(B16-B15),IF((L17-C15)&gt;0,0.5*(L17-C15)*ABS((B15+((L17-C15)/((L17-C15)-(L17-C16)))*(B16-B15))-B15),0.5*(L17-C16)*ABS(B16-(B15+((L17-C15)/((L17-C15)-(L17-C16)))*(B16-B15)))))))+(IF(AND((L17-C16)&lt;=0,(L17-C17)&lt;=0),0,IF(AND((L17-C16)&gt;=0,(L17-C17)&gt;=0),0.5*((L17-C16)+(L17-C17))*ABS(B17-B16),IF((L17-C16)&gt;0,0.5*(L17-C16)*ABS((B16+((L17-C16)/((L17-C16)-(L17-C17)))*(B17-B16))-B16),0.5*(L17-C17)*ABS(B17-(B16+((L17-C16)/((L17-C16)-(L17-C17)))*(B17-B16)))))))</f>
        <v/>
      </c>
      <c r="N17">
        <f>(IF(AND((L17-C9)&lt;=0,(L17-C10)&lt;=0),0,IF(AND((L17-C9)&gt;=0,(L17-C10)&gt;=0),SQRT((B10-B9)^2+(C10-C9)^2),IF((L17-C9)&gt;0,SQRT(((B9+((L17-C9)/((L17-C9)-(L17-C10)))*(B10-B9))-B9)^2+(L17-C9)^2),SQRT((B10-(B9+((L17-C9)/((L17-C9)-(L17-C10)))*(B10-B9)))^2+(L17-C10)^2)))))+(IF(AND((L17-C10)&lt;=0,(L17-C11)&lt;=0),0,IF(AND((L17-C10)&gt;=0,(L17-C11)&gt;=0),SQRT((B11-B10)^2+(C11-C10)^2),IF((L17-C10)&gt;0,SQRT(((B10+((L17-C10)/((L17-C10)-(L17-C11)))*(B11-B10))-B10)^2+(L17-C10)^2),SQRT((B11-(B10+((L17-C10)/((L17-C10)-(L17-C11)))*(B11-B10)))^2+(L17-C11)^2)))))+(IF(AND((L17-C11)&lt;=0,(L17-C12)&lt;=0),0,IF(AND((L17-C11)&gt;=0,(L17-C12)&gt;=0),SQRT((B12-B11)^2+(C12-C11)^2),IF((L17-C11)&gt;0,SQRT(((B11+((L17-C11)/((L17-C11)-(L17-C12)))*(B12-B11))-B11)^2+(L17-C11)^2),SQRT((B12-(B11+((L17-C11)/((L17-C11)-(L17-C12)))*(B12-B11)))^2+(L17-C12)^2)))))+(IF(AND((L17-C12)&lt;=0,(L17-C13)&lt;=0),0,IF(AND((L17-C12)&gt;=0,(L17-C13)&gt;=0),SQRT((B13-B12)^2+(C13-C12)^2),IF((L17-C12)&gt;0,SQRT(((B12+((L17-C12)/((L17-C12)-(L17-C13)))*(B13-B12))-B12)^2+(L17-C12)^2),SQRT((B13-(B12+((L17-C12)/((L17-C12)-(L17-C13)))*(B13-B12)))^2+(L17-C13)^2)))))+(IF(AND((L17-C13)&lt;=0,(L17-C14)&lt;=0),0,IF(AND((L17-C13)&gt;=0,(L17-C14)&gt;=0),SQRT((B14-B13)^2+(C14-C13)^2),IF((L17-C13)&gt;0,SQRT(((B13+((L17-C13)/((L17-C13)-(L17-C14)))*(B14-B13))-B13)^2+(L17-C13)^2),SQRT((B14-(B13+((L17-C13)/((L17-C13)-(L17-C14)))*(B14-B13)))^2+(L17-C14)^2)))))+(IF(AND((L17-C14)&lt;=0,(L17-C15)&lt;=0),0,IF(AND((L17-C14)&gt;=0,(L17-C15)&gt;=0),SQRT((B15-B14)^2+(C15-C14)^2),IF((L17-C14)&gt;0,SQRT(((B14+((L17-C14)/((L17-C14)-(L17-C15)))*(B15-B14))-B14)^2+(L17-C14)^2),SQRT((B15-(B14+((L17-C14)/((L17-C14)-(L17-C15)))*(B15-B14)))^2+(L17-C15)^2)))))+(IF(AND((L17-C15)&lt;=0,(L17-C16)&lt;=0),0,IF(AND((L17-C15)&gt;=0,(L17-C16)&gt;=0),SQRT((B16-B15)^2+(C16-C15)^2),IF((L17-C15)&gt;0,SQRT(((B15+((L17-C15)/((L17-C15)-(L17-C16)))*(B16-B15))-B15)^2+(L17-C15)^2),SQRT((B16-(B15+((L17-C15)/((L17-C15)-(L17-C16)))*(B16-B15)))^2+(L17-C16)^2)))))+(IF(AND((L17-C16)&lt;=0,(L17-C17)&lt;=0),0,IF(AND((L17-C16)&gt;=0,(L17-C17)&gt;=0),SQRT((B17-B16)^2+(C17-C16)^2),IF((L17-C16)&gt;0,SQRT(((B16+((L17-C16)/((L17-C16)-(L17-C17)))*(B17-B16))-B16)^2+(L17-C16)^2),SQRT((B17-(B16+((L17-C16)/((L17-C16)-(L17-C17)))*(B17-B16)))^2+(L17-C17)^2)))))</f>
        <v/>
      </c>
      <c r="O17">
        <f>IF(OR($B$6&lt;=0,M17&lt;=0,N17&lt;=0,$B$4&lt;=0),0,(1/$B$6)*M17*((M17/N17)^(2/3))*SQRT($B$4))</f>
        <v/>
      </c>
    </row>
    <row r="18">
      <c r="G18" t="inlineStr">
        <is>
          <t>P = Σ Pi</t>
        </is>
      </c>
      <c r="I18" t="n">
        <v>10</v>
      </c>
      <c r="J18">
        <f>IF(O17&lt;$B$5,L17,J17)</f>
        <v/>
      </c>
      <c r="K18">
        <f>IF(O17&lt;$B$5,K17,L17)</f>
        <v/>
      </c>
      <c r="L18">
        <f>(J18+K18)/2</f>
        <v/>
      </c>
      <c r="M18">
        <f>(IF(AND((L18-C9)&lt;=0,(L18-C10)&lt;=0),0,IF(AND((L18-C9)&gt;=0,(L18-C10)&gt;=0),0.5*((L18-C9)+(L18-C10))*ABS(B10-B9),IF((L18-C9)&gt;0,0.5*(L18-C9)*ABS((B9+((L18-C9)/((L18-C9)-(L18-C10)))*(B10-B9))-B9),0.5*(L18-C10)*ABS(B10-(B9+((L18-C9)/((L18-C9)-(L18-C10)))*(B10-B9)))))))+(IF(AND((L18-C10)&lt;=0,(L18-C11)&lt;=0),0,IF(AND((L18-C10)&gt;=0,(L18-C11)&gt;=0),0.5*((L18-C10)+(L18-C11))*ABS(B11-B10),IF((L18-C10)&gt;0,0.5*(L18-C10)*ABS((B10+((L18-C10)/((L18-C10)-(L18-C11)))*(B11-B10))-B10),0.5*(L18-C11)*ABS(B11-(B10+((L18-C10)/((L18-C10)-(L18-C11)))*(B11-B10)))))))+(IF(AND((L18-C11)&lt;=0,(L18-C12)&lt;=0),0,IF(AND((L18-C11)&gt;=0,(L18-C12)&gt;=0),0.5*((L18-C11)+(L18-C12))*ABS(B12-B11),IF((L18-C11)&gt;0,0.5*(L18-C11)*ABS((B11+((L18-C11)/((L18-C11)-(L18-C12)))*(B12-B11))-B11),0.5*(L18-C12)*ABS(B12-(B11+((L18-C11)/((L18-C11)-(L18-C12)))*(B12-B11)))))))+(IF(AND((L18-C12)&lt;=0,(L18-C13)&lt;=0),0,IF(AND((L18-C12)&gt;=0,(L18-C13)&gt;=0),0.5*((L18-C12)+(L18-C13))*ABS(B13-B12),IF((L18-C12)&gt;0,0.5*(L18-C12)*ABS((B12+((L18-C12)/((L18-C12)-(L18-C13)))*(B13-B12))-B12),0.5*(L18-C13)*ABS(B13-(B12+((L18-C12)/((L18-C12)-(L18-C13)))*(B13-B12)))))))+(IF(AND((L18-C13)&lt;=0,(L18-C14)&lt;=0),0,IF(AND((L18-C13)&gt;=0,(L18-C14)&gt;=0),0.5*((L18-C13)+(L18-C14))*ABS(B14-B13),IF((L18-C13)&gt;0,0.5*(L18-C13)*ABS((B13+((L18-C13)/((L18-C13)-(L18-C14)))*(B14-B13))-B13),0.5*(L18-C14)*ABS(B14-(B13+((L18-C13)/((L18-C13)-(L18-C14)))*(B14-B13)))))))+(IF(AND((L18-C14)&lt;=0,(L18-C15)&lt;=0),0,IF(AND((L18-C14)&gt;=0,(L18-C15)&gt;=0),0.5*((L18-C14)+(L18-C15))*ABS(B15-B14),IF((L18-C14)&gt;0,0.5*(L18-C14)*ABS((B14+((L18-C14)/((L18-C14)-(L18-C15)))*(B15-B14))-B14),0.5*(L18-C15)*ABS(B15-(B14+((L18-C14)/((L18-C14)-(L18-C15)))*(B15-B14)))))))+(IF(AND((L18-C15)&lt;=0,(L18-C16)&lt;=0),0,IF(AND((L18-C15)&gt;=0,(L18-C16)&gt;=0),0.5*((L18-C15)+(L18-C16))*ABS(B16-B15),IF((L18-C15)&gt;0,0.5*(L18-C15)*ABS((B15+((L18-C15)/((L18-C15)-(L18-C16)))*(B16-B15))-B15),0.5*(L18-C16)*ABS(B16-(B15+((L18-C15)/((L18-C15)-(L18-C16)))*(B16-B15)))))))+(IF(AND((L18-C16)&lt;=0,(L18-C17)&lt;=0),0,IF(AND((L18-C16)&gt;=0,(L18-C17)&gt;=0),0.5*((L18-C16)+(L18-C17))*ABS(B17-B16),IF((L18-C16)&gt;0,0.5*(L18-C16)*ABS((B16+((L18-C16)/((L18-C16)-(L18-C17)))*(B17-B16))-B16),0.5*(L18-C17)*ABS(B17-(B16+((L18-C16)/((L18-C16)-(L18-C17)))*(B17-B16)))))))</f>
        <v/>
      </c>
      <c r="N18">
        <f>(IF(AND((L18-C9)&lt;=0,(L18-C10)&lt;=0),0,IF(AND((L18-C9)&gt;=0,(L18-C10)&gt;=0),SQRT((B10-B9)^2+(C10-C9)^2),IF((L18-C9)&gt;0,SQRT(((B9+((L18-C9)/((L18-C9)-(L18-C10)))*(B10-B9))-B9)^2+(L18-C9)^2),SQRT((B10-(B9+((L18-C9)/((L18-C9)-(L18-C10)))*(B10-B9)))^2+(L18-C10)^2)))))+(IF(AND((L18-C10)&lt;=0,(L18-C11)&lt;=0),0,IF(AND((L18-C10)&gt;=0,(L18-C11)&gt;=0),SQRT((B11-B10)^2+(C11-C10)^2),IF((L18-C10)&gt;0,SQRT(((B10+((L18-C10)/((L18-C10)-(L18-C11)))*(B11-B10))-B10)^2+(L18-C10)^2),SQRT((B11-(B10+((L18-C10)/((L18-C10)-(L18-C11)))*(B11-B10)))^2+(L18-C11)^2)))))+(IF(AND((L18-C11)&lt;=0,(L18-C12)&lt;=0),0,IF(AND((L18-C11)&gt;=0,(L18-C12)&gt;=0),SQRT((B12-B11)^2+(C12-C11)^2),IF((L18-C11)&gt;0,SQRT(((B11+((L18-C11)/((L18-C11)-(L18-C12)))*(B12-B11))-B11)^2+(L18-C11)^2),SQRT((B12-(B11+((L18-C11)/((L18-C11)-(L18-C12)))*(B12-B11)))^2+(L18-C12)^2)))))+(IF(AND((L18-C12)&lt;=0,(L18-C13)&lt;=0),0,IF(AND((L18-C12)&gt;=0,(L18-C13)&gt;=0),SQRT((B13-B12)^2+(C13-C12)^2),IF((L18-C12)&gt;0,SQRT(((B12+((L18-C12)/((L18-C12)-(L18-C13)))*(B13-B12))-B12)^2+(L18-C12)^2),SQRT((B13-(B12+((L18-C12)/((L18-C12)-(L18-C13)))*(B13-B12)))^2+(L18-C13)^2)))))+(IF(AND((L18-C13)&lt;=0,(L18-C14)&lt;=0),0,IF(AND((L18-C13)&gt;=0,(L18-C14)&gt;=0),SQRT((B14-B13)^2+(C14-C13)^2),IF((L18-C13)&gt;0,SQRT(((B13+((L18-C13)/((L18-C13)-(L18-C14)))*(B14-B13))-B13)^2+(L18-C13)^2),SQRT((B14-(B13+((L18-C13)/((L18-C13)-(L18-C14)))*(B14-B13)))^2+(L18-C14)^2)))))+(IF(AND((L18-C14)&lt;=0,(L18-C15)&lt;=0),0,IF(AND((L18-C14)&gt;=0,(L18-C15)&gt;=0),SQRT((B15-B14)^2+(C15-C14)^2),IF((L18-C14)&gt;0,SQRT(((B14+((L18-C14)/((L18-C14)-(L18-C15)))*(B15-B14))-B14)^2+(L18-C14)^2),SQRT((B15-(B14+((L18-C14)/((L18-C14)-(L18-C15)))*(B15-B14)))^2+(L18-C15)^2)))))+(IF(AND((L18-C15)&lt;=0,(L18-C16)&lt;=0),0,IF(AND((L18-C15)&gt;=0,(L18-C16)&gt;=0),SQRT((B16-B15)^2+(C16-C15)^2),IF((L18-C15)&gt;0,SQRT(((B15+((L18-C15)/((L18-C15)-(L18-C16)))*(B16-B15))-B15)^2+(L18-C15)^2),SQRT((B16-(B15+((L18-C15)/((L18-C15)-(L18-C16)))*(B16-B15)))^2+(L18-C16)^2)))))+(IF(AND((L18-C16)&lt;=0,(L18-C17)&lt;=0),0,IF(AND((L18-C16)&gt;=0,(L18-C17)&gt;=0),SQRT((B17-B16)^2+(C17-C16)^2),IF((L18-C16)&gt;0,SQRT(((B16+((L18-C16)/((L18-C16)-(L18-C17)))*(B17-B16))-B16)^2+(L18-C16)^2),SQRT((B17-(B16+((L18-C16)/((L18-C16)-(L18-C17)))*(B17-B16)))^2+(L18-C17)^2)))))</f>
        <v/>
      </c>
      <c r="O18">
        <f>IF(OR($B$6&lt;=0,M18&lt;=0,N18&lt;=0,$B$4&lt;=0),0,(1/$B$6)*M18*((M18/N18)^(2/3))*SQRT($B$4))</f>
        <v/>
      </c>
    </row>
    <row r="19">
      <c r="A19" s="10" t="inlineStr">
        <is>
          <t>Totaux</t>
        </is>
      </c>
      <c r="E19" t="inlineStr">
        <is>
          <t>A = Σ Ai</t>
        </is>
      </c>
      <c r="F19" s="17">
        <f>SUM(F9:F16)</f>
        <v/>
      </c>
      <c r="G19" s="17">
        <f>SUM(G9:G16)</f>
        <v/>
      </c>
      <c r="I19" t="n">
        <v>11</v>
      </c>
      <c r="J19">
        <f>IF(O18&lt;$B$5,L18,J18)</f>
        <v/>
      </c>
      <c r="K19">
        <f>IF(O18&lt;$B$5,K18,L18)</f>
        <v/>
      </c>
      <c r="L19">
        <f>(J19+K19)/2</f>
        <v/>
      </c>
      <c r="M19">
        <f>(IF(AND((L19-C9)&lt;=0,(L19-C10)&lt;=0),0,IF(AND((L19-C9)&gt;=0,(L19-C10)&gt;=0),0.5*((L19-C9)+(L19-C10))*ABS(B10-B9),IF((L19-C9)&gt;0,0.5*(L19-C9)*ABS((B9+((L19-C9)/((L19-C9)-(L19-C10)))*(B10-B9))-B9),0.5*(L19-C10)*ABS(B10-(B9+((L19-C9)/((L19-C9)-(L19-C10)))*(B10-B9)))))))+(IF(AND((L19-C10)&lt;=0,(L19-C11)&lt;=0),0,IF(AND((L19-C10)&gt;=0,(L19-C11)&gt;=0),0.5*((L19-C10)+(L19-C11))*ABS(B11-B10),IF((L19-C10)&gt;0,0.5*(L19-C10)*ABS((B10+((L19-C10)/((L19-C10)-(L19-C11)))*(B11-B10))-B10),0.5*(L19-C11)*ABS(B11-(B10+((L19-C10)/((L19-C10)-(L19-C11)))*(B11-B10)))))))+(IF(AND((L19-C11)&lt;=0,(L19-C12)&lt;=0),0,IF(AND((L19-C11)&gt;=0,(L19-C12)&gt;=0),0.5*((L19-C11)+(L19-C12))*ABS(B12-B11),IF((L19-C11)&gt;0,0.5*(L19-C11)*ABS((B11+((L19-C11)/((L19-C11)-(L19-C12)))*(B12-B11))-B11),0.5*(L19-C12)*ABS(B12-(B11+((L19-C11)/((L19-C11)-(L19-C12)))*(B12-B11)))))))+(IF(AND((L19-C12)&lt;=0,(L19-C13)&lt;=0),0,IF(AND((L19-C12)&gt;=0,(L19-C13)&gt;=0),0.5*((L19-C12)+(L19-C13))*ABS(B13-B12),IF((L19-C12)&gt;0,0.5*(L19-C12)*ABS((B12+((L19-C12)/((L19-C12)-(L19-C13)))*(B13-B12))-B12),0.5*(L19-C13)*ABS(B13-(B12+((L19-C12)/((L19-C12)-(L19-C13)))*(B13-B12)))))))+(IF(AND((L19-C13)&lt;=0,(L19-C14)&lt;=0),0,IF(AND((L19-C13)&gt;=0,(L19-C14)&gt;=0),0.5*((L19-C13)+(L19-C14))*ABS(B14-B13),IF((L19-C13)&gt;0,0.5*(L19-C13)*ABS((B13+((L19-C13)/((L19-C13)-(L19-C14)))*(B14-B13))-B13),0.5*(L19-C14)*ABS(B14-(B13+((L19-C13)/((L19-C13)-(L19-C14)))*(B14-B13)))))))+(IF(AND((L19-C14)&lt;=0,(L19-C15)&lt;=0),0,IF(AND((L19-C14)&gt;=0,(L19-C15)&gt;=0),0.5*((L19-C14)+(L19-C15))*ABS(B15-B14),IF((L19-C14)&gt;0,0.5*(L19-C14)*ABS((B14+((L19-C14)/((L19-C14)-(L19-C15)))*(B15-B14))-B14),0.5*(L19-C15)*ABS(B15-(B14+((L19-C14)/((L19-C14)-(L19-C15)))*(B15-B14)))))))+(IF(AND((L19-C15)&lt;=0,(L19-C16)&lt;=0),0,IF(AND((L19-C15)&gt;=0,(L19-C16)&gt;=0),0.5*((L19-C15)+(L19-C16))*ABS(B16-B15),IF((L19-C15)&gt;0,0.5*(L19-C15)*ABS((B15+((L19-C15)/((L19-C15)-(L19-C16)))*(B16-B15))-B15),0.5*(L19-C16)*ABS(B16-(B15+((L19-C15)/((L19-C15)-(L19-C16)))*(B16-B15)))))))+(IF(AND((L19-C16)&lt;=0,(L19-C17)&lt;=0),0,IF(AND((L19-C16)&gt;=0,(L19-C17)&gt;=0),0.5*((L19-C16)+(L19-C17))*ABS(B17-B16),IF((L19-C16)&gt;0,0.5*(L19-C16)*ABS((B16+((L19-C16)/((L19-C16)-(L19-C17)))*(B17-B16))-B16),0.5*(L19-C17)*ABS(B17-(B16+((L19-C16)/((L19-C16)-(L19-C17)))*(B17-B16)))))))</f>
        <v/>
      </c>
      <c r="N19">
        <f>(IF(AND((L19-C9)&lt;=0,(L19-C10)&lt;=0),0,IF(AND((L19-C9)&gt;=0,(L19-C10)&gt;=0),SQRT((B10-B9)^2+(C10-C9)^2),IF((L19-C9)&gt;0,SQRT(((B9+((L19-C9)/((L19-C9)-(L19-C10)))*(B10-B9))-B9)^2+(L19-C9)^2),SQRT((B10-(B9+((L19-C9)/((L19-C9)-(L19-C10)))*(B10-B9)))^2+(L19-C10)^2)))))+(IF(AND((L19-C10)&lt;=0,(L19-C11)&lt;=0),0,IF(AND((L19-C10)&gt;=0,(L19-C11)&gt;=0),SQRT((B11-B10)^2+(C11-C10)^2),IF((L19-C10)&gt;0,SQRT(((B10+((L19-C10)/((L19-C10)-(L19-C11)))*(B11-B10))-B10)^2+(L19-C10)^2),SQRT((B11-(B10+((L19-C10)/((L19-C10)-(L19-C11)))*(B11-B10)))^2+(L19-C11)^2)))))+(IF(AND((L19-C11)&lt;=0,(L19-C12)&lt;=0),0,IF(AND((L19-C11)&gt;=0,(L19-C12)&gt;=0),SQRT((B12-B11)^2+(C12-C11)^2),IF((L19-C11)&gt;0,SQRT(((B11+((L19-C11)/((L19-C11)-(L19-C12)))*(B12-B11))-B11)^2+(L19-C11)^2),SQRT((B12-(B11+((L19-C11)/((L19-C11)-(L19-C12)))*(B12-B11)))^2+(L19-C12)^2)))))+(IF(AND((L19-C12)&lt;=0,(L19-C13)&lt;=0),0,IF(AND((L19-C12)&gt;=0,(L19-C13)&gt;=0),SQRT((B13-B12)^2+(C13-C12)^2),IF((L19-C12)&gt;0,SQRT(((B12+((L19-C12)/((L19-C12)-(L19-C13)))*(B13-B12))-B12)^2+(L19-C12)^2),SQRT((B13-(B12+((L19-C12)/((L19-C12)-(L19-C13)))*(B13-B12)))^2+(L19-C13)^2)))))+(IF(AND((L19-C13)&lt;=0,(L19-C14)&lt;=0),0,IF(AND((L19-C13)&gt;=0,(L19-C14)&gt;=0),SQRT((B14-B13)^2+(C14-C13)^2),IF((L19-C13)&gt;0,SQRT(((B13+((L19-C13)/((L19-C13)-(L19-C14)))*(B14-B13))-B13)^2+(L19-C13)^2),SQRT((B14-(B13+((L19-C13)/((L19-C13)-(L19-C14)))*(B14-B13)))^2+(L19-C14)^2)))))+(IF(AND((L19-C14)&lt;=0,(L19-C15)&lt;=0),0,IF(AND((L19-C14)&gt;=0,(L19-C15)&gt;=0),SQRT((B15-B14)^2+(C15-C14)^2),IF((L19-C14)&gt;0,SQRT(((B14+((L19-C14)/((L19-C14)-(L19-C15)))*(B15-B14))-B14)^2+(L19-C14)^2),SQRT((B15-(B14+((L19-C14)/((L19-C14)-(L19-C15)))*(B15-B14)))^2+(L19-C15)^2)))))+(IF(AND((L19-C15)&lt;=0,(L19-C16)&lt;=0),0,IF(AND((L19-C15)&gt;=0,(L19-C16)&gt;=0),SQRT((B16-B15)^2+(C16-C15)^2),IF((L19-C15)&gt;0,SQRT(((B15+((L19-C15)/((L19-C15)-(L19-C16)))*(B16-B15))-B15)^2+(L19-C15)^2),SQRT((B16-(B15+((L19-C15)/((L19-C15)-(L19-C16)))*(B16-B15)))^2+(L19-C16)^2)))))+(IF(AND((L19-C16)&lt;=0,(L19-C17)&lt;=0),0,IF(AND((L19-C16)&gt;=0,(L19-C17)&gt;=0),SQRT((B17-B16)^2+(C17-C16)^2),IF((L19-C16)&gt;0,SQRT(((B16+((L19-C16)/((L19-C16)-(L19-C17)))*(B17-B16))-B16)^2+(L19-C16)^2),SQRT((B17-(B16+((L19-C16)/((L19-C16)-(L19-C17)))*(B17-B16)))^2+(L19-C17)^2)))))</f>
        <v/>
      </c>
      <c r="O19">
        <f>IF(OR($B$6&lt;=0,M19&lt;=0,N19&lt;=0,$B$4&lt;=0),0,(1/$B$6)*M19*((M19/N19)^(2/3))*SQRT($B$4))</f>
        <v/>
      </c>
    </row>
    <row r="20">
      <c r="I20" t="n">
        <v>12</v>
      </c>
      <c r="J20">
        <f>IF(O19&lt;$B$5,L19,J19)</f>
        <v/>
      </c>
      <c r="K20">
        <f>IF(O19&lt;$B$5,K19,L19)</f>
        <v/>
      </c>
      <c r="L20">
        <f>(J20+K20)/2</f>
        <v/>
      </c>
      <c r="M20">
        <f>(IF(AND((L20-C9)&lt;=0,(L20-C10)&lt;=0),0,IF(AND((L20-C9)&gt;=0,(L20-C10)&gt;=0),0.5*((L20-C9)+(L20-C10))*ABS(B10-B9),IF((L20-C9)&gt;0,0.5*(L20-C9)*ABS((B9+((L20-C9)/((L20-C9)-(L20-C10)))*(B10-B9))-B9),0.5*(L20-C10)*ABS(B10-(B9+((L20-C9)/((L20-C9)-(L20-C10)))*(B10-B9)))))))+(IF(AND((L20-C10)&lt;=0,(L20-C11)&lt;=0),0,IF(AND((L20-C10)&gt;=0,(L20-C11)&gt;=0),0.5*((L20-C10)+(L20-C11))*ABS(B11-B10),IF((L20-C10)&gt;0,0.5*(L20-C10)*ABS((B10+((L20-C10)/((L20-C10)-(L20-C11)))*(B11-B10))-B10),0.5*(L20-C11)*ABS(B11-(B10+((L20-C10)/((L20-C10)-(L20-C11)))*(B11-B10)))))))+(IF(AND((L20-C11)&lt;=0,(L20-C12)&lt;=0),0,IF(AND((L20-C11)&gt;=0,(L20-C12)&gt;=0),0.5*((L20-C11)+(L20-C12))*ABS(B12-B11),IF((L20-C11)&gt;0,0.5*(L20-C11)*ABS((B11+((L20-C11)/((L20-C11)-(L20-C12)))*(B12-B11))-B11),0.5*(L20-C12)*ABS(B12-(B11+((L20-C11)/((L20-C11)-(L20-C12)))*(B12-B11)))))))+(IF(AND((L20-C12)&lt;=0,(L20-C13)&lt;=0),0,IF(AND((L20-C12)&gt;=0,(L20-C13)&gt;=0),0.5*((L20-C12)+(L20-C13))*ABS(B13-B12),IF((L20-C12)&gt;0,0.5*(L20-C12)*ABS((B12+((L20-C12)/((L20-C12)-(L20-C13)))*(B13-B12))-B12),0.5*(L20-C13)*ABS(B13-(B12+((L20-C12)/((L20-C12)-(L20-C13)))*(B13-B12)))))))+(IF(AND((L20-C13)&lt;=0,(L20-C14)&lt;=0),0,IF(AND((L20-C13)&gt;=0,(L20-C14)&gt;=0),0.5*((L20-C13)+(L20-C14))*ABS(B14-B13),IF((L20-C13)&gt;0,0.5*(L20-C13)*ABS((B13+((L20-C13)/((L20-C13)-(L20-C14)))*(B14-B13))-B13),0.5*(L20-C14)*ABS(B14-(B13+((L20-C13)/((L20-C13)-(L20-C14)))*(B14-B13)))))))+(IF(AND((L20-C14)&lt;=0,(L20-C15)&lt;=0),0,IF(AND((L20-C14)&gt;=0,(L20-C15)&gt;=0),0.5*((L20-C14)+(L20-C15))*ABS(B15-B14),IF((L20-C14)&gt;0,0.5*(L20-C14)*ABS((B14+((L20-C14)/((L20-C14)-(L20-C15)))*(B15-B14))-B14),0.5*(L20-C15)*ABS(B15-(B14+((L20-C14)/((L20-C14)-(L20-C15)))*(B15-B14)))))))+(IF(AND((L20-C15)&lt;=0,(L20-C16)&lt;=0),0,IF(AND((L20-C15)&gt;=0,(L20-C16)&gt;=0),0.5*((L20-C15)+(L20-C16))*ABS(B16-B15),IF((L20-C15)&gt;0,0.5*(L20-C15)*ABS((B15+((L20-C15)/((L20-C15)-(L20-C16)))*(B16-B15))-B15),0.5*(L20-C16)*ABS(B16-(B15+((L20-C15)/((L20-C15)-(L20-C16)))*(B16-B15)))))))+(IF(AND((L20-C16)&lt;=0,(L20-C17)&lt;=0),0,IF(AND((L20-C16)&gt;=0,(L20-C17)&gt;=0),0.5*((L20-C16)+(L20-C17))*ABS(B17-B16),IF((L20-C16)&gt;0,0.5*(L20-C16)*ABS((B16+((L20-C16)/((L20-C16)-(L20-C17)))*(B17-B16))-B16),0.5*(L20-C17)*ABS(B17-(B16+((L20-C16)/((L20-C16)-(L20-C17)))*(B17-B16)))))))</f>
        <v/>
      </c>
      <c r="N20">
        <f>(IF(AND((L20-C9)&lt;=0,(L20-C10)&lt;=0),0,IF(AND((L20-C9)&gt;=0,(L20-C10)&gt;=0),SQRT((B10-B9)^2+(C10-C9)^2),IF((L20-C9)&gt;0,SQRT(((B9+((L20-C9)/((L20-C9)-(L20-C10)))*(B10-B9))-B9)^2+(L20-C9)^2),SQRT((B10-(B9+((L20-C9)/((L20-C9)-(L20-C10)))*(B10-B9)))^2+(L20-C10)^2)))))+(IF(AND((L20-C10)&lt;=0,(L20-C11)&lt;=0),0,IF(AND((L20-C10)&gt;=0,(L20-C11)&gt;=0),SQRT((B11-B10)^2+(C11-C10)^2),IF((L20-C10)&gt;0,SQRT(((B10+((L20-C10)/((L20-C10)-(L20-C11)))*(B11-B10))-B10)^2+(L20-C10)^2),SQRT((B11-(B10+((L20-C10)/((L20-C10)-(L20-C11)))*(B11-B10)))^2+(L20-C11)^2)))))+(IF(AND((L20-C11)&lt;=0,(L20-C12)&lt;=0),0,IF(AND((L20-C11)&gt;=0,(L20-C12)&gt;=0),SQRT((B12-B11)^2+(C12-C11)^2),IF((L20-C11)&gt;0,SQRT(((B11+((L20-C11)/((L20-C11)-(L20-C12)))*(B12-B11))-B11)^2+(L20-C11)^2),SQRT((B12-(B11+((L20-C11)/((L20-C11)-(L20-C12)))*(B12-B11)))^2+(L20-C12)^2)))))+(IF(AND((L20-C12)&lt;=0,(L20-C13)&lt;=0),0,IF(AND((L20-C12)&gt;=0,(L20-C13)&gt;=0),SQRT((B13-B12)^2+(C13-C12)^2),IF((L20-C12)&gt;0,SQRT(((B12+((L20-C12)/((L20-C12)-(L20-C13)))*(B13-B12))-B12)^2+(L20-C12)^2),SQRT((B13-(B12+((L20-C12)/((L20-C12)-(L20-C13)))*(B13-B12)))^2+(L20-C13)^2)))))+(IF(AND((L20-C13)&lt;=0,(L20-C14)&lt;=0),0,IF(AND((L20-C13)&gt;=0,(L20-C14)&gt;=0),SQRT((B14-B13)^2+(C14-C13)^2),IF((L20-C13)&gt;0,SQRT(((B13+((L20-C13)/((L20-C13)-(L20-C14)))*(B14-B13))-B13)^2+(L20-C13)^2),SQRT((B14-(B13+((L20-C13)/((L20-C13)-(L20-C14)))*(B14-B13)))^2+(L20-C14)^2)))))+(IF(AND((L20-C14)&lt;=0,(L20-C15)&lt;=0),0,IF(AND((L20-C14)&gt;=0,(L20-C15)&gt;=0),SQRT((B15-B14)^2+(C15-C14)^2),IF((L20-C14)&gt;0,SQRT(((B14+((L20-C14)/((L20-C14)-(L20-C15)))*(B15-B14))-B14)^2+(L20-C14)^2),SQRT((B15-(B14+((L20-C14)/((L20-C14)-(L20-C15)))*(B15-B14)))^2+(L20-C15)^2)))))+(IF(AND((L20-C15)&lt;=0,(L20-C16)&lt;=0),0,IF(AND((L20-C15)&gt;=0,(L20-C16)&gt;=0),SQRT((B16-B15)^2+(C16-C15)^2),IF((L20-C15)&gt;0,SQRT(((B15+((L20-C15)/((L20-C15)-(L20-C16)))*(B16-B15))-B15)^2+(L20-C15)^2),SQRT((B16-(B15+((L20-C15)/((L20-C15)-(L20-C16)))*(B16-B15)))^2+(L20-C16)^2)))))+(IF(AND((L20-C16)&lt;=0,(L20-C17)&lt;=0),0,IF(AND((L20-C16)&gt;=0,(L20-C17)&gt;=0),SQRT((B17-B16)^2+(C17-C16)^2),IF((L20-C16)&gt;0,SQRT(((B16+((L20-C16)/((L20-C16)-(L20-C17)))*(B17-B16))-B16)^2+(L20-C16)^2),SQRT((B17-(B16+((L20-C16)/((L20-C16)-(L20-C17)))*(B17-B16)))^2+(L20-C17)^2)))))</f>
        <v/>
      </c>
      <c r="O20">
        <f>IF(OR($B$6&lt;=0,M20&lt;=0,N20&lt;=0,$B$4&lt;=0),0,(1/$B$6)*M20*((M20/N20)^(2/3))*SQRT($B$4))</f>
        <v/>
      </c>
    </row>
    <row r="21">
      <c r="A21" t="inlineStr">
        <is>
          <t>Fond min (m)</t>
        </is>
      </c>
      <c r="B21">
        <f>MIN(C9:C17)</f>
        <v/>
      </c>
      <c r="I21" t="n">
        <v>13</v>
      </c>
      <c r="J21">
        <f>IF(O20&lt;$B$5,L20,J20)</f>
        <v/>
      </c>
      <c r="K21">
        <f>IF(O20&lt;$B$5,K20,L20)</f>
        <v/>
      </c>
      <c r="L21">
        <f>(J21+K21)/2</f>
        <v/>
      </c>
      <c r="M21">
        <f>(IF(AND((L21-C9)&lt;=0,(L21-C10)&lt;=0),0,IF(AND((L21-C9)&gt;=0,(L21-C10)&gt;=0),0.5*((L21-C9)+(L21-C10))*ABS(B10-B9),IF((L21-C9)&gt;0,0.5*(L21-C9)*ABS((B9+((L21-C9)/((L21-C9)-(L21-C10)))*(B10-B9))-B9),0.5*(L21-C10)*ABS(B10-(B9+((L21-C9)/((L21-C9)-(L21-C10)))*(B10-B9)))))))+(IF(AND((L21-C10)&lt;=0,(L21-C11)&lt;=0),0,IF(AND((L21-C10)&gt;=0,(L21-C11)&gt;=0),0.5*((L21-C10)+(L21-C11))*ABS(B11-B10),IF((L21-C10)&gt;0,0.5*(L21-C10)*ABS((B10+((L21-C10)/((L21-C10)-(L21-C11)))*(B11-B10))-B10),0.5*(L21-C11)*ABS(B11-(B10+((L21-C10)/((L21-C10)-(L21-C11)))*(B11-B10)))))))+(IF(AND((L21-C11)&lt;=0,(L21-C12)&lt;=0),0,IF(AND((L21-C11)&gt;=0,(L21-C12)&gt;=0),0.5*((L21-C11)+(L21-C12))*ABS(B12-B11),IF((L21-C11)&gt;0,0.5*(L21-C11)*ABS((B11+((L21-C11)/((L21-C11)-(L21-C12)))*(B12-B11))-B11),0.5*(L21-C12)*ABS(B12-(B11+((L21-C11)/((L21-C11)-(L21-C12)))*(B12-B11)))))))+(IF(AND((L21-C12)&lt;=0,(L21-C13)&lt;=0),0,IF(AND((L21-C12)&gt;=0,(L21-C13)&gt;=0),0.5*((L21-C12)+(L21-C13))*ABS(B13-B12),IF((L21-C12)&gt;0,0.5*(L21-C12)*ABS((B12+((L21-C12)/((L21-C12)-(L21-C13)))*(B13-B12))-B12),0.5*(L21-C13)*ABS(B13-(B12+((L21-C12)/((L21-C12)-(L21-C13)))*(B13-B12)))))))+(IF(AND((L21-C13)&lt;=0,(L21-C14)&lt;=0),0,IF(AND((L21-C13)&gt;=0,(L21-C14)&gt;=0),0.5*((L21-C13)+(L21-C14))*ABS(B14-B13),IF((L21-C13)&gt;0,0.5*(L21-C13)*ABS((B13+((L21-C13)/((L21-C13)-(L21-C14)))*(B14-B13))-B13),0.5*(L21-C14)*ABS(B14-(B13+((L21-C13)/((L21-C13)-(L21-C14)))*(B14-B13)))))))+(IF(AND((L21-C14)&lt;=0,(L21-C15)&lt;=0),0,IF(AND((L21-C14)&gt;=0,(L21-C15)&gt;=0),0.5*((L21-C14)+(L21-C15))*ABS(B15-B14),IF((L21-C14)&gt;0,0.5*(L21-C14)*ABS((B14+((L21-C14)/((L21-C14)-(L21-C15)))*(B15-B14))-B14),0.5*(L21-C15)*ABS(B15-(B14+((L21-C14)/((L21-C14)-(L21-C15)))*(B15-B14)))))))+(IF(AND((L21-C15)&lt;=0,(L21-C16)&lt;=0),0,IF(AND((L21-C15)&gt;=0,(L21-C16)&gt;=0),0.5*((L21-C15)+(L21-C16))*ABS(B16-B15),IF((L21-C15)&gt;0,0.5*(L21-C15)*ABS((B15+((L21-C15)/((L21-C15)-(L21-C16)))*(B16-B15))-B15),0.5*(L21-C16)*ABS(B16-(B15+((L21-C15)/((L21-C15)-(L21-C16)))*(B16-B15)))))))+(IF(AND((L21-C16)&lt;=0,(L21-C17)&lt;=0),0,IF(AND((L21-C16)&gt;=0,(L21-C17)&gt;=0),0.5*((L21-C16)+(L21-C17))*ABS(B17-B16),IF((L21-C16)&gt;0,0.5*(L21-C16)*ABS((B16+((L21-C16)/((L21-C16)-(L21-C17)))*(B17-B16))-B16),0.5*(L21-C17)*ABS(B17-(B16+((L21-C16)/((L21-C16)-(L21-C17)))*(B17-B16)))))))</f>
        <v/>
      </c>
      <c r="N21">
        <f>(IF(AND((L21-C9)&lt;=0,(L21-C10)&lt;=0),0,IF(AND((L21-C9)&gt;=0,(L21-C10)&gt;=0),SQRT((B10-B9)^2+(C10-C9)^2),IF((L21-C9)&gt;0,SQRT(((B9+((L21-C9)/((L21-C9)-(L21-C10)))*(B10-B9))-B9)^2+(L21-C9)^2),SQRT((B10-(B9+((L21-C9)/((L21-C9)-(L21-C10)))*(B10-B9)))^2+(L21-C10)^2)))))+(IF(AND((L21-C10)&lt;=0,(L21-C11)&lt;=0),0,IF(AND((L21-C10)&gt;=0,(L21-C11)&gt;=0),SQRT((B11-B10)^2+(C11-C10)^2),IF((L21-C10)&gt;0,SQRT(((B10+((L21-C10)/((L21-C10)-(L21-C11)))*(B11-B10))-B10)^2+(L21-C10)^2),SQRT((B11-(B10+((L21-C10)/((L21-C10)-(L21-C11)))*(B11-B10)))^2+(L21-C11)^2)))))+(IF(AND((L21-C11)&lt;=0,(L21-C12)&lt;=0),0,IF(AND((L21-C11)&gt;=0,(L21-C12)&gt;=0),SQRT((B12-B11)^2+(C12-C11)^2),IF((L21-C11)&gt;0,SQRT(((B11+((L21-C11)/((L21-C11)-(L21-C12)))*(B12-B11))-B11)^2+(L21-C11)^2),SQRT((B12-(B11+((L21-C11)/((L21-C11)-(L21-C12)))*(B12-B11)))^2+(L21-C12)^2)))))+(IF(AND((L21-C12)&lt;=0,(L21-C13)&lt;=0),0,IF(AND((L21-C12)&gt;=0,(L21-C13)&gt;=0),SQRT((B13-B12)^2+(C13-C12)^2),IF((L21-C12)&gt;0,SQRT(((B12+((L21-C12)/((L21-C12)-(L21-C13)))*(B13-B12))-B12)^2+(L21-C12)^2),SQRT((B13-(B12+((L21-C12)/((L21-C12)-(L21-C13)))*(B13-B12)))^2+(L21-C13)^2)))))+(IF(AND((L21-C13)&lt;=0,(L21-C14)&lt;=0),0,IF(AND((L21-C13)&gt;=0,(L21-C14)&gt;=0),SQRT((B14-B13)^2+(C14-C13)^2),IF((L21-C13)&gt;0,SQRT(((B13+((L21-C13)/((L21-C13)-(L21-C14)))*(B14-B13))-B13)^2+(L21-C13)^2),SQRT((B14-(B13+((L21-C13)/((L21-C13)-(L21-C14)))*(B14-B13)))^2+(L21-C14)^2)))))+(IF(AND((L21-C14)&lt;=0,(L21-C15)&lt;=0),0,IF(AND((L21-C14)&gt;=0,(L21-C15)&gt;=0),SQRT((B15-B14)^2+(C15-C14)^2),IF((L21-C14)&gt;0,SQRT(((B14+((L21-C14)/((L21-C14)-(L21-C15)))*(B15-B14))-B14)^2+(L21-C14)^2),SQRT((B15-(B14+((L21-C14)/((L21-C14)-(L21-C15)))*(B15-B14)))^2+(L21-C15)^2)))))+(IF(AND((L21-C15)&lt;=0,(L21-C16)&lt;=0),0,IF(AND((L21-C15)&gt;=0,(L21-C16)&gt;=0),SQRT((B16-B15)^2+(C16-C15)^2),IF((L21-C15)&gt;0,SQRT(((B15+((L21-C15)/((L21-C15)-(L21-C16)))*(B16-B15))-B15)^2+(L21-C15)^2),SQRT((B16-(B15+((L21-C15)/((L21-C15)-(L21-C16)))*(B16-B15)))^2+(L21-C16)^2)))))+(IF(AND((L21-C16)&lt;=0,(L21-C17)&lt;=0),0,IF(AND((L21-C16)&gt;=0,(L21-C17)&gt;=0),SQRT((B17-B16)^2+(C17-C16)^2),IF((L21-C16)&gt;0,SQRT(((B16+((L21-C16)/((L21-C16)-(L21-C17)))*(B17-B16))-B16)^2+(L21-C16)^2),SQRT((B17-(B16+((L21-C16)/((L21-C16)-(L21-C17)))*(B17-B16)))^2+(L21-C17)^2)))))</f>
        <v/>
      </c>
      <c r="O21">
        <f>IF(OR($B$6&lt;=0,M21&lt;=0,N21&lt;=0,$B$4&lt;=0),0,(1/$B$6)*M21*((M21/N21)^(2/3))*SQRT($B$4))</f>
        <v/>
      </c>
    </row>
    <row r="22">
      <c r="A22" t="inlineStr">
        <is>
          <t>y = WSE − fond (m)</t>
        </is>
      </c>
      <c r="B22">
        <f>IF(ISNUMBER(B2),B2-B21,"")</f>
        <v/>
      </c>
      <c r="I22" t="n">
        <v>14</v>
      </c>
      <c r="J22">
        <f>IF(O21&lt;$B$5,L21,J21)</f>
        <v/>
      </c>
      <c r="K22">
        <f>IF(O21&lt;$B$5,K21,L21)</f>
        <v/>
      </c>
      <c r="L22">
        <f>(J22+K22)/2</f>
        <v/>
      </c>
      <c r="M22">
        <f>(IF(AND((L22-C9)&lt;=0,(L22-C10)&lt;=0),0,IF(AND((L22-C9)&gt;=0,(L22-C10)&gt;=0),0.5*((L22-C9)+(L22-C10))*ABS(B10-B9),IF((L22-C9)&gt;0,0.5*(L22-C9)*ABS((B9+((L22-C9)/((L22-C9)-(L22-C10)))*(B10-B9))-B9),0.5*(L22-C10)*ABS(B10-(B9+((L22-C9)/((L22-C9)-(L22-C10)))*(B10-B9)))))))+(IF(AND((L22-C10)&lt;=0,(L22-C11)&lt;=0),0,IF(AND((L22-C10)&gt;=0,(L22-C11)&gt;=0),0.5*((L22-C10)+(L22-C11))*ABS(B11-B10),IF((L22-C10)&gt;0,0.5*(L22-C10)*ABS((B10+((L22-C10)/((L22-C10)-(L22-C11)))*(B11-B10))-B10),0.5*(L22-C11)*ABS(B11-(B10+((L22-C10)/((L22-C10)-(L22-C11)))*(B11-B10)))))))+(IF(AND((L22-C11)&lt;=0,(L22-C12)&lt;=0),0,IF(AND((L22-C11)&gt;=0,(L22-C12)&gt;=0),0.5*((L22-C11)+(L22-C12))*ABS(B12-B11),IF((L22-C11)&gt;0,0.5*(L22-C11)*ABS((B11+((L22-C11)/((L22-C11)-(L22-C12)))*(B12-B11))-B11),0.5*(L22-C12)*ABS(B12-(B11+((L22-C11)/((L22-C11)-(L22-C12)))*(B12-B11)))))))+(IF(AND((L22-C12)&lt;=0,(L22-C13)&lt;=0),0,IF(AND((L22-C12)&gt;=0,(L22-C13)&gt;=0),0.5*((L22-C12)+(L22-C13))*ABS(B13-B12),IF((L22-C12)&gt;0,0.5*(L22-C12)*ABS((B12+((L22-C12)/((L22-C12)-(L22-C13)))*(B13-B12))-B12),0.5*(L22-C13)*ABS(B13-(B12+((L22-C12)/((L22-C12)-(L22-C13)))*(B13-B12)))))))+(IF(AND((L22-C13)&lt;=0,(L22-C14)&lt;=0),0,IF(AND((L22-C13)&gt;=0,(L22-C14)&gt;=0),0.5*((L22-C13)+(L22-C14))*ABS(B14-B13),IF((L22-C13)&gt;0,0.5*(L22-C13)*ABS((B13+((L22-C13)/((L22-C13)-(L22-C14)))*(B14-B13))-B13),0.5*(L22-C14)*ABS(B14-(B13+((L22-C13)/((L22-C13)-(L22-C14)))*(B14-B13)))))))+(IF(AND((L22-C14)&lt;=0,(L22-C15)&lt;=0),0,IF(AND((L22-C14)&gt;=0,(L22-C15)&gt;=0),0.5*((L22-C14)+(L22-C15))*ABS(B15-B14),IF((L22-C14)&gt;0,0.5*(L22-C14)*ABS((B14+((L22-C14)/((L22-C14)-(L22-C15)))*(B15-B14))-B14),0.5*(L22-C15)*ABS(B15-(B14+((L22-C14)/((L22-C14)-(L22-C15)))*(B15-B14)))))))+(IF(AND((L22-C15)&lt;=0,(L22-C16)&lt;=0),0,IF(AND((L22-C15)&gt;=0,(L22-C16)&gt;=0),0.5*((L22-C15)+(L22-C16))*ABS(B16-B15),IF((L22-C15)&gt;0,0.5*(L22-C15)*ABS((B15+((L22-C15)/((L22-C15)-(L22-C16)))*(B16-B15))-B15),0.5*(L22-C16)*ABS(B16-(B15+((L22-C15)/((L22-C15)-(L22-C16)))*(B16-B15)))))))+(IF(AND((L22-C16)&lt;=0,(L22-C17)&lt;=0),0,IF(AND((L22-C16)&gt;=0,(L22-C17)&gt;=0),0.5*((L22-C16)+(L22-C17))*ABS(B17-B16),IF((L22-C16)&gt;0,0.5*(L22-C16)*ABS((B16+((L22-C16)/((L22-C16)-(L22-C17)))*(B17-B16))-B16),0.5*(L22-C17)*ABS(B17-(B16+((L22-C16)/((L22-C16)-(L22-C17)))*(B17-B16)))))))</f>
        <v/>
      </c>
      <c r="N22">
        <f>(IF(AND((L22-C9)&lt;=0,(L22-C10)&lt;=0),0,IF(AND((L22-C9)&gt;=0,(L22-C10)&gt;=0),SQRT((B10-B9)^2+(C10-C9)^2),IF((L22-C9)&gt;0,SQRT(((B9+((L22-C9)/((L22-C9)-(L22-C10)))*(B10-B9))-B9)^2+(L22-C9)^2),SQRT((B10-(B9+((L22-C9)/((L22-C9)-(L22-C10)))*(B10-B9)))^2+(L22-C10)^2)))))+(IF(AND((L22-C10)&lt;=0,(L22-C11)&lt;=0),0,IF(AND((L22-C10)&gt;=0,(L22-C11)&gt;=0),SQRT((B11-B10)^2+(C11-C10)^2),IF((L22-C10)&gt;0,SQRT(((B10+((L22-C10)/((L22-C10)-(L22-C11)))*(B11-B10))-B10)^2+(L22-C10)^2),SQRT((B11-(B10+((L22-C10)/((L22-C10)-(L22-C11)))*(B11-B10)))^2+(L22-C11)^2)))))+(IF(AND((L22-C11)&lt;=0,(L22-C12)&lt;=0),0,IF(AND((L22-C11)&gt;=0,(L22-C12)&gt;=0),SQRT((B12-B11)^2+(C12-C11)^2),IF((L22-C11)&gt;0,SQRT(((B11+((L22-C11)/((L22-C11)-(L22-C12)))*(B12-B11))-B11)^2+(L22-C11)^2),SQRT((B12-(B11+((L22-C11)/((L22-C11)-(L22-C12)))*(B12-B11)))^2+(L22-C12)^2)))))+(IF(AND((L22-C12)&lt;=0,(L22-C13)&lt;=0),0,IF(AND((L22-C12)&gt;=0,(L22-C13)&gt;=0),SQRT((B13-B12)^2+(C13-C12)^2),IF((L22-C12)&gt;0,SQRT(((B12+((L22-C12)/((L22-C12)-(L22-C13)))*(B13-B12))-B12)^2+(L22-C12)^2),SQRT((B13-(B12+((L22-C12)/((L22-C12)-(L22-C13)))*(B13-B12)))^2+(L22-C13)^2)))))+(IF(AND((L22-C13)&lt;=0,(L22-C14)&lt;=0),0,IF(AND((L22-C13)&gt;=0,(L22-C14)&gt;=0),SQRT((B14-B13)^2+(C14-C13)^2),IF((L22-C13)&gt;0,SQRT(((B13+((L22-C13)/((L22-C13)-(L22-C14)))*(B14-B13))-B13)^2+(L22-C13)^2),SQRT((B14-(B13+((L22-C13)/((L22-C13)-(L22-C14)))*(B14-B13)))^2+(L22-C14)^2)))))+(IF(AND((L22-C14)&lt;=0,(L22-C15)&lt;=0),0,IF(AND((L22-C14)&gt;=0,(L22-C15)&gt;=0),SQRT((B15-B14)^2+(C15-C14)^2),IF((L22-C14)&gt;0,SQRT(((B14+((L22-C14)/((L22-C14)-(L22-C15)))*(B15-B14))-B14)^2+(L22-C14)^2),SQRT((B15-(B14+((L22-C14)/((L22-C14)-(L22-C15)))*(B15-B14)))^2+(L22-C15)^2)))))+(IF(AND((L22-C15)&lt;=0,(L22-C16)&lt;=0),0,IF(AND((L22-C15)&gt;=0,(L22-C16)&gt;=0),SQRT((B16-B15)^2+(C16-C15)^2),IF((L22-C15)&gt;0,SQRT(((B15+((L22-C15)/((L22-C15)-(L22-C16)))*(B16-B15))-B15)^2+(L22-C15)^2),SQRT((B16-(B15+((L22-C15)/((L22-C15)-(L22-C16)))*(B16-B15)))^2+(L22-C16)^2)))))+(IF(AND((L22-C16)&lt;=0,(L22-C17)&lt;=0),0,IF(AND((L22-C16)&gt;=0,(L22-C17)&gt;=0),SQRT((B17-B16)^2+(C17-C16)^2),IF((L22-C16)&gt;0,SQRT(((B16+((L22-C16)/((L22-C16)-(L22-C17)))*(B17-B16))-B16)^2+(L22-C16)^2),SQRT((B17-(B16+((L22-C16)/((L22-C16)-(L22-C17)))*(B17-B16)))^2+(L22-C17)^2)))))</f>
        <v/>
      </c>
      <c r="O22">
        <f>IF(OR($B$6&lt;=0,M22&lt;=0,N22&lt;=0,$B$4&lt;=0),0,(1/$B$6)*M22*((M22/N22)^(2/3))*SQRT($B$4))</f>
        <v/>
      </c>
    </row>
    <row r="23">
      <c r="A23" t="inlineStr">
        <is>
          <t>A (m²)</t>
        </is>
      </c>
      <c r="B23" s="9">
        <f>F19</f>
        <v/>
      </c>
      <c r="I23" t="n">
        <v>15</v>
      </c>
      <c r="J23">
        <f>IF(O22&lt;$B$5,L22,J22)</f>
        <v/>
      </c>
      <c r="K23">
        <f>IF(O22&lt;$B$5,K22,L22)</f>
        <v/>
      </c>
      <c r="L23">
        <f>(J23+K23)/2</f>
        <v/>
      </c>
      <c r="M23">
        <f>(IF(AND((L23-C9)&lt;=0,(L23-C10)&lt;=0),0,IF(AND((L23-C9)&gt;=0,(L23-C10)&gt;=0),0.5*((L23-C9)+(L23-C10))*ABS(B10-B9),IF((L23-C9)&gt;0,0.5*(L23-C9)*ABS((B9+((L23-C9)/((L23-C9)-(L23-C10)))*(B10-B9))-B9),0.5*(L23-C10)*ABS(B10-(B9+((L23-C9)/((L23-C9)-(L23-C10)))*(B10-B9)))))))+(IF(AND((L23-C10)&lt;=0,(L23-C11)&lt;=0),0,IF(AND((L23-C10)&gt;=0,(L23-C11)&gt;=0),0.5*((L23-C10)+(L23-C11))*ABS(B11-B10),IF((L23-C10)&gt;0,0.5*(L23-C10)*ABS((B10+((L23-C10)/((L23-C10)-(L23-C11)))*(B11-B10))-B10),0.5*(L23-C11)*ABS(B11-(B10+((L23-C10)/((L23-C10)-(L23-C11)))*(B11-B10)))))))+(IF(AND((L23-C11)&lt;=0,(L23-C12)&lt;=0),0,IF(AND((L23-C11)&gt;=0,(L23-C12)&gt;=0),0.5*((L23-C11)+(L23-C12))*ABS(B12-B11),IF((L23-C11)&gt;0,0.5*(L23-C11)*ABS((B11+((L23-C11)/((L23-C11)-(L23-C12)))*(B12-B11))-B11),0.5*(L23-C12)*ABS(B12-(B11+((L23-C11)/((L23-C11)-(L23-C12)))*(B12-B11)))))))+(IF(AND((L23-C12)&lt;=0,(L23-C13)&lt;=0),0,IF(AND((L23-C12)&gt;=0,(L23-C13)&gt;=0),0.5*((L23-C12)+(L23-C13))*ABS(B13-B12),IF((L23-C12)&gt;0,0.5*(L23-C12)*ABS((B12+((L23-C12)/((L23-C12)-(L23-C13)))*(B13-B12))-B12),0.5*(L23-C13)*ABS(B13-(B12+((L23-C12)/((L23-C12)-(L23-C13)))*(B13-B12)))))))+(IF(AND((L23-C13)&lt;=0,(L23-C14)&lt;=0),0,IF(AND((L23-C13)&gt;=0,(L23-C14)&gt;=0),0.5*((L23-C13)+(L23-C14))*ABS(B14-B13),IF((L23-C13)&gt;0,0.5*(L23-C13)*ABS((B13+((L23-C13)/((L23-C13)-(L23-C14)))*(B14-B13))-B13),0.5*(L23-C14)*ABS(B14-(B13+((L23-C13)/((L23-C13)-(L23-C14)))*(B14-B13)))))))+(IF(AND((L23-C14)&lt;=0,(L23-C15)&lt;=0),0,IF(AND((L23-C14)&gt;=0,(L23-C15)&gt;=0),0.5*((L23-C14)+(L23-C15))*ABS(B15-B14),IF((L23-C14)&gt;0,0.5*(L23-C14)*ABS((B14+((L23-C14)/((L23-C14)-(L23-C15)))*(B15-B14))-B14),0.5*(L23-C15)*ABS(B15-(B14+((L23-C14)/((L23-C14)-(L23-C15)))*(B15-B14)))))))+(IF(AND((L23-C15)&lt;=0,(L23-C16)&lt;=0),0,IF(AND((L23-C15)&gt;=0,(L23-C16)&gt;=0),0.5*((L23-C15)+(L23-C16))*ABS(B16-B15),IF((L23-C15)&gt;0,0.5*(L23-C15)*ABS((B15+((L23-C15)/((L23-C15)-(L23-C16)))*(B16-B15))-B15),0.5*(L23-C16)*ABS(B16-(B15+((L23-C15)/((L23-C15)-(L23-C16)))*(B16-B15)))))))+(IF(AND((L23-C16)&lt;=0,(L23-C17)&lt;=0),0,IF(AND((L23-C16)&gt;=0,(L23-C17)&gt;=0),0.5*((L23-C16)+(L23-C17))*ABS(B17-B16),IF((L23-C16)&gt;0,0.5*(L23-C16)*ABS((B16+((L23-C16)/((L23-C16)-(L23-C17)))*(B17-B16))-B16),0.5*(L23-C17)*ABS(B17-(B16+((L23-C16)/((L23-C16)-(L23-C17)))*(B17-B16)))))))</f>
        <v/>
      </c>
      <c r="N23">
        <f>(IF(AND((L23-C9)&lt;=0,(L23-C10)&lt;=0),0,IF(AND((L23-C9)&gt;=0,(L23-C10)&gt;=0),SQRT((B10-B9)^2+(C10-C9)^2),IF((L23-C9)&gt;0,SQRT(((B9+((L23-C9)/((L23-C9)-(L23-C10)))*(B10-B9))-B9)^2+(L23-C9)^2),SQRT((B10-(B9+((L23-C9)/((L23-C9)-(L23-C10)))*(B10-B9)))^2+(L23-C10)^2)))))+(IF(AND((L23-C10)&lt;=0,(L23-C11)&lt;=0),0,IF(AND((L23-C10)&gt;=0,(L23-C11)&gt;=0),SQRT((B11-B10)^2+(C11-C10)^2),IF((L23-C10)&gt;0,SQRT(((B10+((L23-C10)/((L23-C10)-(L23-C11)))*(B11-B10))-B10)^2+(L23-C10)^2),SQRT((B11-(B10+((L23-C10)/((L23-C10)-(L23-C11)))*(B11-B10)))^2+(L23-C11)^2)))))+(IF(AND((L23-C11)&lt;=0,(L23-C12)&lt;=0),0,IF(AND((L23-C11)&gt;=0,(L23-C12)&gt;=0),SQRT((B12-B11)^2+(C12-C11)^2),IF((L23-C11)&gt;0,SQRT(((B11+((L23-C11)/((L23-C11)-(L23-C12)))*(B12-B11))-B11)^2+(L23-C11)^2),SQRT((B12-(B11+((L23-C11)/((L23-C11)-(L23-C12)))*(B12-B11)))^2+(L23-C12)^2)))))+(IF(AND((L23-C12)&lt;=0,(L23-C13)&lt;=0),0,IF(AND((L23-C12)&gt;=0,(L23-C13)&gt;=0),SQRT((B13-B12)^2+(C13-C12)^2),IF((L23-C12)&gt;0,SQRT(((B12+((L23-C12)/((L23-C12)-(L23-C13)))*(B13-B12))-B12)^2+(L23-C12)^2),SQRT((B13-(B12+((L23-C12)/((L23-C12)-(L23-C13)))*(B13-B12)))^2+(L23-C13)^2)))))+(IF(AND((L23-C13)&lt;=0,(L23-C14)&lt;=0),0,IF(AND((L23-C13)&gt;=0,(L23-C14)&gt;=0),SQRT((B14-B13)^2+(C14-C13)^2),IF((L23-C13)&gt;0,SQRT(((B13+((L23-C13)/((L23-C13)-(L23-C14)))*(B14-B13))-B13)^2+(L23-C13)^2),SQRT((B14-(B13+((L23-C13)/((L23-C13)-(L23-C14)))*(B14-B13)))^2+(L23-C14)^2)))))+(IF(AND((L23-C14)&lt;=0,(L23-C15)&lt;=0),0,IF(AND((L23-C14)&gt;=0,(L23-C15)&gt;=0),SQRT((B15-B14)^2+(C15-C14)^2),IF((L23-C14)&gt;0,SQRT(((B14+((L23-C14)/((L23-C14)-(L23-C15)))*(B15-B14))-B14)^2+(L23-C14)^2),SQRT((B15-(B14+((L23-C14)/((L23-C14)-(L23-C15)))*(B15-B14)))^2+(L23-C15)^2)))))+(IF(AND((L23-C15)&lt;=0,(L23-C16)&lt;=0),0,IF(AND((L23-C15)&gt;=0,(L23-C16)&gt;=0),SQRT((B16-B15)^2+(C16-C15)^2),IF((L23-C15)&gt;0,SQRT(((B15+((L23-C15)/((L23-C15)-(L23-C16)))*(B16-B15))-B15)^2+(L23-C15)^2),SQRT((B16-(B15+((L23-C15)/((L23-C15)-(L23-C16)))*(B16-B15)))^2+(L23-C16)^2)))))+(IF(AND((L23-C16)&lt;=0,(L23-C17)&lt;=0),0,IF(AND((L23-C16)&gt;=0,(L23-C17)&gt;=0),SQRT((B17-B16)^2+(C17-C16)^2),IF((L23-C16)&gt;0,SQRT(((B16+((L23-C16)/((L23-C16)-(L23-C17)))*(B17-B16))-B16)^2+(L23-C16)^2),SQRT((B17-(B16+((L23-C16)/((L23-C16)-(L23-C17)))*(B17-B16)))^2+(L23-C17)^2)))))</f>
        <v/>
      </c>
      <c r="O23">
        <f>IF(OR($B$6&lt;=0,M23&lt;=0,N23&lt;=0,$B$4&lt;=0),0,(1/$B$6)*M23*((M23/N23)^(2/3))*SQRT($B$4))</f>
        <v/>
      </c>
    </row>
    <row r="24">
      <c r="A24" t="inlineStr">
        <is>
          <t>P (m)</t>
        </is>
      </c>
      <c r="B24" s="9">
        <f>G19</f>
        <v/>
      </c>
      <c r="I24" t="n">
        <v>16</v>
      </c>
      <c r="J24">
        <f>IF(O23&lt;$B$5,L23,J23)</f>
        <v/>
      </c>
      <c r="K24">
        <f>IF(O23&lt;$B$5,K23,L23)</f>
        <v/>
      </c>
      <c r="L24">
        <f>(J24+K24)/2</f>
        <v/>
      </c>
      <c r="M24">
        <f>(IF(AND((L24-C9)&lt;=0,(L24-C10)&lt;=0),0,IF(AND((L24-C9)&gt;=0,(L24-C10)&gt;=0),0.5*((L24-C9)+(L24-C10))*ABS(B10-B9),IF((L24-C9)&gt;0,0.5*(L24-C9)*ABS((B9+((L24-C9)/((L24-C9)-(L24-C10)))*(B10-B9))-B9),0.5*(L24-C10)*ABS(B10-(B9+((L24-C9)/((L24-C9)-(L24-C10)))*(B10-B9)))))))+(IF(AND((L24-C10)&lt;=0,(L24-C11)&lt;=0),0,IF(AND((L24-C10)&gt;=0,(L24-C11)&gt;=0),0.5*((L24-C10)+(L24-C11))*ABS(B11-B10),IF((L24-C10)&gt;0,0.5*(L24-C10)*ABS((B10+((L24-C10)/((L24-C10)-(L24-C11)))*(B11-B10))-B10),0.5*(L24-C11)*ABS(B11-(B10+((L24-C10)/((L24-C10)-(L24-C11)))*(B11-B10)))))))+(IF(AND((L24-C11)&lt;=0,(L24-C12)&lt;=0),0,IF(AND((L24-C11)&gt;=0,(L24-C12)&gt;=0),0.5*((L24-C11)+(L24-C12))*ABS(B12-B11),IF((L24-C11)&gt;0,0.5*(L24-C11)*ABS((B11+((L24-C11)/((L24-C11)-(L24-C12)))*(B12-B11))-B11),0.5*(L24-C12)*ABS(B12-(B11+((L24-C11)/((L24-C11)-(L24-C12)))*(B12-B11)))))))+(IF(AND((L24-C12)&lt;=0,(L24-C13)&lt;=0),0,IF(AND((L24-C12)&gt;=0,(L24-C13)&gt;=0),0.5*((L24-C12)+(L24-C13))*ABS(B13-B12),IF((L24-C12)&gt;0,0.5*(L24-C12)*ABS((B12+((L24-C12)/((L24-C12)-(L24-C13)))*(B13-B12))-B12),0.5*(L24-C13)*ABS(B13-(B12+((L24-C12)/((L24-C12)-(L24-C13)))*(B13-B12)))))))+(IF(AND((L24-C13)&lt;=0,(L24-C14)&lt;=0),0,IF(AND((L24-C13)&gt;=0,(L24-C14)&gt;=0),0.5*((L24-C13)+(L24-C14))*ABS(B14-B13),IF((L24-C13)&gt;0,0.5*(L24-C13)*ABS((B13+((L24-C13)/((L24-C13)-(L24-C14)))*(B14-B13))-B13),0.5*(L24-C14)*ABS(B14-(B13+((L24-C13)/((L24-C13)-(L24-C14)))*(B14-B13)))))))+(IF(AND((L24-C14)&lt;=0,(L24-C15)&lt;=0),0,IF(AND((L24-C14)&gt;=0,(L24-C15)&gt;=0),0.5*((L24-C14)+(L24-C15))*ABS(B15-B14),IF((L24-C14)&gt;0,0.5*(L24-C14)*ABS((B14+((L24-C14)/((L24-C14)-(L24-C15)))*(B15-B14))-B14),0.5*(L24-C15)*ABS(B15-(B14+((L24-C14)/((L24-C14)-(L24-C15)))*(B15-B14)))))))+(IF(AND((L24-C15)&lt;=0,(L24-C16)&lt;=0),0,IF(AND((L24-C15)&gt;=0,(L24-C16)&gt;=0),0.5*((L24-C15)+(L24-C16))*ABS(B16-B15),IF((L24-C15)&gt;0,0.5*(L24-C15)*ABS((B15+((L24-C15)/((L24-C15)-(L24-C16)))*(B16-B15))-B15),0.5*(L24-C16)*ABS(B16-(B15+((L24-C15)/((L24-C15)-(L24-C16)))*(B16-B15)))))))+(IF(AND((L24-C16)&lt;=0,(L24-C17)&lt;=0),0,IF(AND((L24-C16)&gt;=0,(L24-C17)&gt;=0),0.5*((L24-C16)+(L24-C17))*ABS(B17-B16),IF((L24-C16)&gt;0,0.5*(L24-C16)*ABS((B16+((L24-C16)/((L24-C16)-(L24-C17)))*(B17-B16))-B16),0.5*(L24-C17)*ABS(B17-(B16+((L24-C16)/((L24-C16)-(L24-C17)))*(B17-B16)))))))</f>
        <v/>
      </c>
      <c r="N24">
        <f>(IF(AND((L24-C9)&lt;=0,(L24-C10)&lt;=0),0,IF(AND((L24-C9)&gt;=0,(L24-C10)&gt;=0),SQRT((B10-B9)^2+(C10-C9)^2),IF((L24-C9)&gt;0,SQRT(((B9+((L24-C9)/((L24-C9)-(L24-C10)))*(B10-B9))-B9)^2+(L24-C9)^2),SQRT((B10-(B9+((L24-C9)/((L24-C9)-(L24-C10)))*(B10-B9)))^2+(L24-C10)^2)))))+(IF(AND((L24-C10)&lt;=0,(L24-C11)&lt;=0),0,IF(AND((L24-C10)&gt;=0,(L24-C11)&gt;=0),SQRT((B11-B10)^2+(C11-C10)^2),IF((L24-C10)&gt;0,SQRT(((B10+((L24-C10)/((L24-C10)-(L24-C11)))*(B11-B10))-B10)^2+(L24-C10)^2),SQRT((B11-(B10+((L24-C10)/((L24-C10)-(L24-C11)))*(B11-B10)))^2+(L24-C11)^2)))))+(IF(AND((L24-C11)&lt;=0,(L24-C12)&lt;=0),0,IF(AND((L24-C11)&gt;=0,(L24-C12)&gt;=0),SQRT((B12-B11)^2+(C12-C11)^2),IF((L24-C11)&gt;0,SQRT(((B11+((L24-C11)/((L24-C11)-(L24-C12)))*(B12-B11))-B11)^2+(L24-C11)^2),SQRT((B12-(B11+((L24-C11)/((L24-C11)-(L24-C12)))*(B12-B11)))^2+(L24-C12)^2)))))+(IF(AND((L24-C12)&lt;=0,(L24-C13)&lt;=0),0,IF(AND((L24-C12)&gt;=0,(L24-C13)&gt;=0),SQRT((B13-B12)^2+(C13-C12)^2),IF((L24-C12)&gt;0,SQRT(((B12+((L24-C12)/((L24-C12)-(L24-C13)))*(B13-B12))-B12)^2+(L24-C12)^2),SQRT((B13-(B12+((L24-C12)/((L24-C12)-(L24-C13)))*(B13-B12)))^2+(L24-C13)^2)))))+(IF(AND((L24-C13)&lt;=0,(L24-C14)&lt;=0),0,IF(AND((L24-C13)&gt;=0,(L24-C14)&gt;=0),SQRT((B14-B13)^2+(C14-C13)^2),IF((L24-C13)&gt;0,SQRT(((B13+((L24-C13)/((L24-C13)-(L24-C14)))*(B14-B13))-B13)^2+(L24-C13)^2),SQRT((B14-(B13+((L24-C13)/((L24-C13)-(L24-C14)))*(B14-B13)))^2+(L24-C14)^2)))))+(IF(AND((L24-C14)&lt;=0,(L24-C15)&lt;=0),0,IF(AND((L24-C14)&gt;=0,(L24-C15)&gt;=0),SQRT((B15-B14)^2+(C15-C14)^2),IF((L24-C14)&gt;0,SQRT(((B14+((L24-C14)/((L24-C14)-(L24-C15)))*(B15-B14))-B14)^2+(L24-C14)^2),SQRT((B15-(B14+((L24-C14)/((L24-C14)-(L24-C15)))*(B15-B14)))^2+(L24-C15)^2)))))+(IF(AND((L24-C15)&lt;=0,(L24-C16)&lt;=0),0,IF(AND((L24-C15)&gt;=0,(L24-C16)&gt;=0),SQRT((B16-B15)^2+(C16-C15)^2),IF((L24-C15)&gt;0,SQRT(((B15+((L24-C15)/((L24-C15)-(L24-C16)))*(B16-B15))-B15)^2+(L24-C15)^2),SQRT((B16-(B15+((L24-C15)/((L24-C15)-(L24-C16)))*(B16-B15)))^2+(L24-C16)^2)))))+(IF(AND((L24-C16)&lt;=0,(L24-C17)&lt;=0),0,IF(AND((L24-C16)&gt;=0,(L24-C17)&gt;=0),SQRT((B17-B16)^2+(C17-C16)^2),IF((L24-C16)&gt;0,SQRT(((B16+((L24-C16)/((L24-C16)-(L24-C17)))*(B17-B16))-B16)^2+(L24-C16)^2),SQRT((B17-(B16+((L24-C16)/((L24-C16)-(L24-C17)))*(B17-B16)))^2+(L24-C17)^2)))))</f>
        <v/>
      </c>
      <c r="O24">
        <f>IF(OR($B$6&lt;=0,M24&lt;=0,N24&lt;=0,$B$4&lt;=0),0,(1/$B$6)*M24*((M24/N24)^(2/3))*SQRT($B$4))</f>
        <v/>
      </c>
    </row>
    <row r="25">
      <c r="A25" t="inlineStr">
        <is>
          <t>R = A/P (m)</t>
        </is>
      </c>
      <c r="B25">
        <f>IF(B24&gt;0,B23/B24,0)</f>
        <v/>
      </c>
      <c r="I25" t="n">
        <v>17</v>
      </c>
      <c r="J25">
        <f>IF(O24&lt;$B$5,L24,J24)</f>
        <v/>
      </c>
      <c r="K25">
        <f>IF(O24&lt;$B$5,K24,L24)</f>
        <v/>
      </c>
      <c r="L25">
        <f>(J25+K25)/2</f>
        <v/>
      </c>
      <c r="M25">
        <f>(IF(AND((L25-C9)&lt;=0,(L25-C10)&lt;=0),0,IF(AND((L25-C9)&gt;=0,(L25-C10)&gt;=0),0.5*((L25-C9)+(L25-C10))*ABS(B10-B9),IF((L25-C9)&gt;0,0.5*(L25-C9)*ABS((B9+((L25-C9)/((L25-C9)-(L25-C10)))*(B10-B9))-B9),0.5*(L25-C10)*ABS(B10-(B9+((L25-C9)/((L25-C9)-(L25-C10)))*(B10-B9)))))))+(IF(AND((L25-C10)&lt;=0,(L25-C11)&lt;=0),0,IF(AND((L25-C10)&gt;=0,(L25-C11)&gt;=0),0.5*((L25-C10)+(L25-C11))*ABS(B11-B10),IF((L25-C10)&gt;0,0.5*(L25-C10)*ABS((B10+((L25-C10)/((L25-C10)-(L25-C11)))*(B11-B10))-B10),0.5*(L25-C11)*ABS(B11-(B10+((L25-C10)/((L25-C10)-(L25-C11)))*(B11-B10)))))))+(IF(AND((L25-C11)&lt;=0,(L25-C12)&lt;=0),0,IF(AND((L25-C11)&gt;=0,(L25-C12)&gt;=0),0.5*((L25-C11)+(L25-C12))*ABS(B12-B11),IF((L25-C11)&gt;0,0.5*(L25-C11)*ABS((B11+((L25-C11)/((L25-C11)-(L25-C12)))*(B12-B11))-B11),0.5*(L25-C12)*ABS(B12-(B11+((L25-C11)/((L25-C11)-(L25-C12)))*(B12-B11)))))))+(IF(AND((L25-C12)&lt;=0,(L25-C13)&lt;=0),0,IF(AND((L25-C12)&gt;=0,(L25-C13)&gt;=0),0.5*((L25-C12)+(L25-C13))*ABS(B13-B12),IF((L25-C12)&gt;0,0.5*(L25-C12)*ABS((B12+((L25-C12)/((L25-C12)-(L25-C13)))*(B13-B12))-B12),0.5*(L25-C13)*ABS(B13-(B12+((L25-C12)/((L25-C12)-(L25-C13)))*(B13-B12)))))))+(IF(AND((L25-C13)&lt;=0,(L25-C14)&lt;=0),0,IF(AND((L25-C13)&gt;=0,(L25-C14)&gt;=0),0.5*((L25-C13)+(L25-C14))*ABS(B14-B13),IF((L25-C13)&gt;0,0.5*(L25-C13)*ABS((B13+((L25-C13)/((L25-C13)-(L25-C14)))*(B14-B13))-B13),0.5*(L25-C14)*ABS(B14-(B13+((L25-C13)/((L25-C13)-(L25-C14)))*(B14-B13)))))))+(IF(AND((L25-C14)&lt;=0,(L25-C15)&lt;=0),0,IF(AND((L25-C14)&gt;=0,(L25-C15)&gt;=0),0.5*((L25-C14)+(L25-C15))*ABS(B15-B14),IF((L25-C14)&gt;0,0.5*(L25-C14)*ABS((B14+((L25-C14)/((L25-C14)-(L25-C15)))*(B15-B14))-B14),0.5*(L25-C15)*ABS(B15-(B14+((L25-C14)/((L25-C14)-(L25-C15)))*(B15-B14)))))))+(IF(AND((L25-C15)&lt;=0,(L25-C16)&lt;=0),0,IF(AND((L25-C15)&gt;=0,(L25-C16)&gt;=0),0.5*((L25-C15)+(L25-C16))*ABS(B16-B15),IF((L25-C15)&gt;0,0.5*(L25-C15)*ABS((B15+((L25-C15)/((L25-C15)-(L25-C16)))*(B16-B15))-B15),0.5*(L25-C16)*ABS(B16-(B15+((L25-C15)/((L25-C15)-(L25-C16)))*(B16-B15)))))))+(IF(AND((L25-C16)&lt;=0,(L25-C17)&lt;=0),0,IF(AND((L25-C16)&gt;=0,(L25-C17)&gt;=0),0.5*((L25-C16)+(L25-C17))*ABS(B17-B16),IF((L25-C16)&gt;0,0.5*(L25-C16)*ABS((B16+((L25-C16)/((L25-C16)-(L25-C17)))*(B17-B16))-B16),0.5*(L25-C17)*ABS(B17-(B16+((L25-C16)/((L25-C16)-(L25-C17)))*(B17-B16)))))))</f>
        <v/>
      </c>
      <c r="N25">
        <f>(IF(AND((L25-C9)&lt;=0,(L25-C10)&lt;=0),0,IF(AND((L25-C9)&gt;=0,(L25-C10)&gt;=0),SQRT((B10-B9)^2+(C10-C9)^2),IF((L25-C9)&gt;0,SQRT(((B9+((L25-C9)/((L25-C9)-(L25-C10)))*(B10-B9))-B9)^2+(L25-C9)^2),SQRT((B10-(B9+((L25-C9)/((L25-C9)-(L25-C10)))*(B10-B9)))^2+(L25-C10)^2)))))+(IF(AND((L25-C10)&lt;=0,(L25-C11)&lt;=0),0,IF(AND((L25-C10)&gt;=0,(L25-C11)&gt;=0),SQRT((B11-B10)^2+(C11-C10)^2),IF((L25-C10)&gt;0,SQRT(((B10+((L25-C10)/((L25-C10)-(L25-C11)))*(B11-B10))-B10)^2+(L25-C10)^2),SQRT((B11-(B10+((L25-C10)/((L25-C10)-(L25-C11)))*(B11-B10)))^2+(L25-C11)^2)))))+(IF(AND((L25-C11)&lt;=0,(L25-C12)&lt;=0),0,IF(AND((L25-C11)&gt;=0,(L25-C12)&gt;=0),SQRT((B12-B11)^2+(C12-C11)^2),IF((L25-C11)&gt;0,SQRT(((B11+((L25-C11)/((L25-C11)-(L25-C12)))*(B12-B11))-B11)^2+(L25-C11)^2),SQRT((B12-(B11+((L25-C11)/((L25-C11)-(L25-C12)))*(B12-B11)))^2+(L25-C12)^2)))))+(IF(AND((L25-C12)&lt;=0,(L25-C13)&lt;=0),0,IF(AND((L25-C12)&gt;=0,(L25-C13)&gt;=0),SQRT((B13-B12)^2+(C13-C12)^2),IF((L25-C12)&gt;0,SQRT(((B12+((L25-C12)/((L25-C12)-(L25-C13)))*(B13-B12))-B12)^2+(L25-C12)^2),SQRT((B13-(B12+((L25-C12)/((L25-C12)-(L25-C13)))*(B13-B12)))^2+(L25-C13)^2)))))+(IF(AND((L25-C13)&lt;=0,(L25-C14)&lt;=0),0,IF(AND((L25-C13)&gt;=0,(L25-C14)&gt;=0),SQRT((B14-B13)^2+(C14-C13)^2),IF((L25-C13)&gt;0,SQRT(((B13+((L25-C13)/((L25-C13)-(L25-C14)))*(B14-B13))-B13)^2+(L25-C13)^2),SQRT((B14-(B13+((L25-C13)/((L25-C13)-(L25-C14)))*(B14-B13)))^2+(L25-C14)^2)))))+(IF(AND((L25-C14)&lt;=0,(L25-C15)&lt;=0),0,IF(AND((L25-C14)&gt;=0,(L25-C15)&gt;=0),SQRT((B15-B14)^2+(C15-C14)^2),IF((L25-C14)&gt;0,SQRT(((B14+((L25-C14)/((L25-C14)-(L25-C15)))*(B15-B14))-B14)^2+(L25-C14)^2),SQRT((B15-(B14+((L25-C14)/((L25-C14)-(L25-C15)))*(B15-B14)))^2+(L25-C15)^2)))))+(IF(AND((L25-C15)&lt;=0,(L25-C16)&lt;=0),0,IF(AND((L25-C15)&gt;=0,(L25-C16)&gt;=0),SQRT((B16-B15)^2+(C16-C15)^2),IF((L25-C15)&gt;0,SQRT(((B15+((L25-C15)/((L25-C15)-(L25-C16)))*(B16-B15))-B15)^2+(L25-C15)^2),SQRT((B16-(B15+((L25-C15)/((L25-C15)-(L25-C16)))*(B16-B15)))^2+(L25-C16)^2)))))+(IF(AND((L25-C16)&lt;=0,(L25-C17)&lt;=0),0,IF(AND((L25-C16)&gt;=0,(L25-C17)&gt;=0),SQRT((B17-B16)^2+(C17-C16)^2),IF((L25-C16)&gt;0,SQRT(((B16+((L25-C16)/((L25-C16)-(L25-C17)))*(B17-B16))-B16)^2+(L25-C16)^2),SQRT((B17-(B16+((L25-C16)/((L25-C16)-(L25-C17)))*(B17-B16)))^2+(L25-C17)^2)))))</f>
        <v/>
      </c>
      <c r="O25">
        <f>IF(OR($B$6&lt;=0,M25&lt;=0,N25&lt;=0,$B$4&lt;=0),0,(1/$B$6)*M25*((M25/N25)^(2/3))*SQRT($B$4))</f>
        <v/>
      </c>
    </row>
    <row r="26">
      <c r="A26" t="inlineStr">
        <is>
          <t>Q_manning à WSE (m³/s)</t>
        </is>
      </c>
      <c r="B26">
        <f>IF(OR(B6&lt;=0,B23&lt;=0,B4&lt;=0),0,(1/B6)*B23*(B25^(2/3))*SQRT(B4))</f>
        <v/>
      </c>
      <c r="I26" t="n">
        <v>18</v>
      </c>
      <c r="J26">
        <f>IF(O25&lt;$B$5,L25,J25)</f>
        <v/>
      </c>
      <c r="K26">
        <f>IF(O25&lt;$B$5,K25,L25)</f>
        <v/>
      </c>
      <c r="L26">
        <f>(J26+K26)/2</f>
        <v/>
      </c>
      <c r="M26">
        <f>(IF(AND((L26-C9)&lt;=0,(L26-C10)&lt;=0),0,IF(AND((L26-C9)&gt;=0,(L26-C10)&gt;=0),0.5*((L26-C9)+(L26-C10))*ABS(B10-B9),IF((L26-C9)&gt;0,0.5*(L26-C9)*ABS((B9+((L26-C9)/((L26-C9)-(L26-C10)))*(B10-B9))-B9),0.5*(L26-C10)*ABS(B10-(B9+((L26-C9)/((L26-C9)-(L26-C10)))*(B10-B9)))))))+(IF(AND((L26-C10)&lt;=0,(L26-C11)&lt;=0),0,IF(AND((L26-C10)&gt;=0,(L26-C11)&gt;=0),0.5*((L26-C10)+(L26-C11))*ABS(B11-B10),IF((L26-C10)&gt;0,0.5*(L26-C10)*ABS((B10+((L26-C10)/((L26-C10)-(L26-C11)))*(B11-B10))-B10),0.5*(L26-C11)*ABS(B11-(B10+((L26-C10)/((L26-C10)-(L26-C11)))*(B11-B10)))))))+(IF(AND((L26-C11)&lt;=0,(L26-C12)&lt;=0),0,IF(AND((L26-C11)&gt;=0,(L26-C12)&gt;=0),0.5*((L26-C11)+(L26-C12))*ABS(B12-B11),IF((L26-C11)&gt;0,0.5*(L26-C11)*ABS((B11+((L26-C11)/((L26-C11)-(L26-C12)))*(B12-B11))-B11),0.5*(L26-C12)*ABS(B12-(B11+((L26-C11)/((L26-C11)-(L26-C12)))*(B12-B11)))))))+(IF(AND((L26-C12)&lt;=0,(L26-C13)&lt;=0),0,IF(AND((L26-C12)&gt;=0,(L26-C13)&gt;=0),0.5*((L26-C12)+(L26-C13))*ABS(B13-B12),IF((L26-C12)&gt;0,0.5*(L26-C12)*ABS((B12+((L26-C12)/((L26-C12)-(L26-C13)))*(B13-B12))-B12),0.5*(L26-C13)*ABS(B13-(B12+((L26-C12)/((L26-C12)-(L26-C13)))*(B13-B12)))))))+(IF(AND((L26-C13)&lt;=0,(L26-C14)&lt;=0),0,IF(AND((L26-C13)&gt;=0,(L26-C14)&gt;=0),0.5*((L26-C13)+(L26-C14))*ABS(B14-B13),IF((L26-C13)&gt;0,0.5*(L26-C13)*ABS((B13+((L26-C13)/((L26-C13)-(L26-C14)))*(B14-B13))-B13),0.5*(L26-C14)*ABS(B14-(B13+((L26-C13)/((L26-C13)-(L26-C14)))*(B14-B13)))))))+(IF(AND((L26-C14)&lt;=0,(L26-C15)&lt;=0),0,IF(AND((L26-C14)&gt;=0,(L26-C15)&gt;=0),0.5*((L26-C14)+(L26-C15))*ABS(B15-B14),IF((L26-C14)&gt;0,0.5*(L26-C14)*ABS((B14+((L26-C14)/((L26-C14)-(L26-C15)))*(B15-B14))-B14),0.5*(L26-C15)*ABS(B15-(B14+((L26-C14)/((L26-C14)-(L26-C15)))*(B15-B14)))))))+(IF(AND((L26-C15)&lt;=0,(L26-C16)&lt;=0),0,IF(AND((L26-C15)&gt;=0,(L26-C16)&gt;=0),0.5*((L26-C15)+(L26-C16))*ABS(B16-B15),IF((L26-C15)&gt;0,0.5*(L26-C15)*ABS((B15+((L26-C15)/((L26-C15)-(L26-C16)))*(B16-B15))-B15),0.5*(L26-C16)*ABS(B16-(B15+((L26-C15)/((L26-C15)-(L26-C16)))*(B16-B15)))))))+(IF(AND((L26-C16)&lt;=0,(L26-C17)&lt;=0),0,IF(AND((L26-C16)&gt;=0,(L26-C17)&gt;=0),0.5*((L26-C16)+(L26-C17))*ABS(B17-B16),IF((L26-C16)&gt;0,0.5*(L26-C16)*ABS((B16+((L26-C16)/((L26-C16)-(L26-C17)))*(B17-B16))-B16),0.5*(L26-C17)*ABS(B17-(B16+((L26-C16)/((L26-C16)-(L26-C17)))*(B17-B16)))))))</f>
        <v/>
      </c>
      <c r="N26">
        <f>(IF(AND((L26-C9)&lt;=0,(L26-C10)&lt;=0),0,IF(AND((L26-C9)&gt;=0,(L26-C10)&gt;=0),SQRT((B10-B9)^2+(C10-C9)^2),IF((L26-C9)&gt;0,SQRT(((B9+((L26-C9)/((L26-C9)-(L26-C10)))*(B10-B9))-B9)^2+(L26-C9)^2),SQRT((B10-(B9+((L26-C9)/((L26-C9)-(L26-C10)))*(B10-B9)))^2+(L26-C10)^2)))))+(IF(AND((L26-C10)&lt;=0,(L26-C11)&lt;=0),0,IF(AND((L26-C10)&gt;=0,(L26-C11)&gt;=0),SQRT((B11-B10)^2+(C11-C10)^2),IF((L26-C10)&gt;0,SQRT(((B10+((L26-C10)/((L26-C10)-(L26-C11)))*(B11-B10))-B10)^2+(L26-C10)^2),SQRT((B11-(B10+((L26-C10)/((L26-C10)-(L26-C11)))*(B11-B10)))^2+(L26-C11)^2)))))+(IF(AND((L26-C11)&lt;=0,(L26-C12)&lt;=0),0,IF(AND((L26-C11)&gt;=0,(L26-C12)&gt;=0),SQRT((B12-B11)^2+(C12-C11)^2),IF((L26-C11)&gt;0,SQRT(((B11+((L26-C11)/((L26-C11)-(L26-C12)))*(B12-B11))-B11)^2+(L26-C11)^2),SQRT((B12-(B11+((L26-C11)/((L26-C11)-(L26-C12)))*(B12-B11)))^2+(L26-C12)^2)))))+(IF(AND((L26-C12)&lt;=0,(L26-C13)&lt;=0),0,IF(AND((L26-C12)&gt;=0,(L26-C13)&gt;=0),SQRT((B13-B12)^2+(C13-C12)^2),IF((L26-C12)&gt;0,SQRT(((B12+((L26-C12)/((L26-C12)-(L26-C13)))*(B13-B12))-B12)^2+(L26-C12)^2),SQRT((B13-(B12+((L26-C12)/((L26-C12)-(L26-C13)))*(B13-B12)))^2+(L26-C13)^2)))))+(IF(AND((L26-C13)&lt;=0,(L26-C14)&lt;=0),0,IF(AND((L26-C13)&gt;=0,(L26-C14)&gt;=0),SQRT((B14-B13)^2+(C14-C13)^2),IF((L26-C13)&gt;0,SQRT(((B13+((L26-C13)/((L26-C13)-(L26-C14)))*(B14-B13))-B13)^2+(L26-C13)^2),SQRT((B14-(B13+((L26-C13)/((L26-C13)-(L26-C14)))*(B14-B13)))^2+(L26-C14)^2)))))+(IF(AND((L26-C14)&lt;=0,(L26-C15)&lt;=0),0,IF(AND((L26-C14)&gt;=0,(L26-C15)&gt;=0),SQRT((B15-B14)^2+(C15-C14)^2),IF((L26-C14)&gt;0,SQRT(((B14+((L26-C14)/((L26-C14)-(L26-C15)))*(B15-B14))-B14)^2+(L26-C14)^2),SQRT((B15-(B14+((L26-C14)/((L26-C14)-(L26-C15)))*(B15-B14)))^2+(L26-C15)^2)))))+(IF(AND((L26-C15)&lt;=0,(L26-C16)&lt;=0),0,IF(AND((L26-C15)&gt;=0,(L26-C16)&gt;=0),SQRT((B16-B15)^2+(C16-C15)^2),IF((L26-C15)&gt;0,SQRT(((B15+((L26-C15)/((L26-C15)-(L26-C16)))*(B16-B15))-B15)^2+(L26-C15)^2),SQRT((B16-(B15+((L26-C15)/((L26-C15)-(L26-C16)))*(B16-B15)))^2+(L26-C16)^2)))))+(IF(AND((L26-C16)&lt;=0,(L26-C17)&lt;=0),0,IF(AND((L26-C16)&gt;=0,(L26-C17)&gt;=0),SQRT((B17-B16)^2+(C17-C16)^2),IF((L26-C16)&gt;0,SQRT(((B16+((L26-C16)/((L26-C16)-(L26-C17)))*(B17-B16))-B16)^2+(L26-C16)^2),SQRT((B17-(B16+((L26-C16)/((L26-C16)-(L26-C17)))*(B17-B16)))^2+(L26-C17)^2)))))</f>
        <v/>
      </c>
      <c r="O26">
        <f>IF(OR($B$6&lt;=0,M26&lt;=0,N26&lt;=0,$B$4&lt;=0),0,(1/$B$6)*M26*((M26/N26)^(2/3))*SQRT($B$4))</f>
        <v/>
      </c>
    </row>
    <row r="27">
      <c r="A27" t="inlineStr">
        <is>
          <t>V = Q/A (m/s)</t>
        </is>
      </c>
      <c r="B27" s="19">
        <f>IF(B23&gt;0,B5/B23,0)</f>
        <v/>
      </c>
      <c r="I27" t="n">
        <v>19</v>
      </c>
      <c r="J27">
        <f>IF(O26&lt;$B$5,L26,J26)</f>
        <v/>
      </c>
      <c r="K27">
        <f>IF(O26&lt;$B$5,K26,L26)</f>
        <v/>
      </c>
      <c r="L27">
        <f>(J27+K27)/2</f>
        <v/>
      </c>
      <c r="M27">
        <f>(IF(AND((L27-C9)&lt;=0,(L27-C10)&lt;=0),0,IF(AND((L27-C9)&gt;=0,(L27-C10)&gt;=0),0.5*((L27-C9)+(L27-C10))*ABS(B10-B9),IF((L27-C9)&gt;0,0.5*(L27-C9)*ABS((B9+((L27-C9)/((L27-C9)-(L27-C10)))*(B10-B9))-B9),0.5*(L27-C10)*ABS(B10-(B9+((L27-C9)/((L27-C9)-(L27-C10)))*(B10-B9)))))))+(IF(AND((L27-C10)&lt;=0,(L27-C11)&lt;=0),0,IF(AND((L27-C10)&gt;=0,(L27-C11)&gt;=0),0.5*((L27-C10)+(L27-C11))*ABS(B11-B10),IF((L27-C10)&gt;0,0.5*(L27-C10)*ABS((B10+((L27-C10)/((L27-C10)-(L27-C11)))*(B11-B10))-B10),0.5*(L27-C11)*ABS(B11-(B10+((L27-C10)/((L27-C10)-(L27-C11)))*(B11-B10)))))))+(IF(AND((L27-C11)&lt;=0,(L27-C12)&lt;=0),0,IF(AND((L27-C11)&gt;=0,(L27-C12)&gt;=0),0.5*((L27-C11)+(L27-C12))*ABS(B12-B11),IF((L27-C11)&gt;0,0.5*(L27-C11)*ABS((B11+((L27-C11)/((L27-C11)-(L27-C12)))*(B12-B11))-B11),0.5*(L27-C12)*ABS(B12-(B11+((L27-C11)/((L27-C11)-(L27-C12)))*(B12-B11)))))))+(IF(AND((L27-C12)&lt;=0,(L27-C13)&lt;=0),0,IF(AND((L27-C12)&gt;=0,(L27-C13)&gt;=0),0.5*((L27-C12)+(L27-C13))*ABS(B13-B12),IF((L27-C12)&gt;0,0.5*(L27-C12)*ABS((B12+((L27-C12)/((L27-C12)-(L27-C13)))*(B13-B12))-B12),0.5*(L27-C13)*ABS(B13-(B12+((L27-C12)/((L27-C12)-(L27-C13)))*(B13-B12)))))))+(IF(AND((L27-C13)&lt;=0,(L27-C14)&lt;=0),0,IF(AND((L27-C13)&gt;=0,(L27-C14)&gt;=0),0.5*((L27-C13)+(L27-C14))*ABS(B14-B13),IF((L27-C13)&gt;0,0.5*(L27-C13)*ABS((B13+((L27-C13)/((L27-C13)-(L27-C14)))*(B14-B13))-B13),0.5*(L27-C14)*ABS(B14-(B13+((L27-C13)/((L27-C13)-(L27-C14)))*(B14-B13)))))))+(IF(AND((L27-C14)&lt;=0,(L27-C15)&lt;=0),0,IF(AND((L27-C14)&gt;=0,(L27-C15)&gt;=0),0.5*((L27-C14)+(L27-C15))*ABS(B15-B14),IF((L27-C14)&gt;0,0.5*(L27-C14)*ABS((B14+((L27-C14)/((L27-C14)-(L27-C15)))*(B15-B14))-B14),0.5*(L27-C15)*ABS(B15-(B14+((L27-C14)/((L27-C14)-(L27-C15)))*(B15-B14)))))))+(IF(AND((L27-C15)&lt;=0,(L27-C16)&lt;=0),0,IF(AND((L27-C15)&gt;=0,(L27-C16)&gt;=0),0.5*((L27-C15)+(L27-C16))*ABS(B16-B15),IF((L27-C15)&gt;0,0.5*(L27-C15)*ABS((B15+((L27-C15)/((L27-C15)-(L27-C16)))*(B16-B15))-B15),0.5*(L27-C16)*ABS(B16-(B15+((L27-C15)/((L27-C15)-(L27-C16)))*(B16-B15)))))))+(IF(AND((L27-C16)&lt;=0,(L27-C17)&lt;=0),0,IF(AND((L27-C16)&gt;=0,(L27-C17)&gt;=0),0.5*((L27-C16)+(L27-C17))*ABS(B17-B16),IF((L27-C16)&gt;0,0.5*(L27-C16)*ABS((B16+((L27-C16)/((L27-C16)-(L27-C17)))*(B17-B16))-B16),0.5*(L27-C17)*ABS(B17-(B16+((L27-C16)/((L27-C16)-(L27-C17)))*(B17-B16)))))))</f>
        <v/>
      </c>
      <c r="N27">
        <f>(IF(AND((L27-C9)&lt;=0,(L27-C10)&lt;=0),0,IF(AND((L27-C9)&gt;=0,(L27-C10)&gt;=0),SQRT((B10-B9)^2+(C10-C9)^2),IF((L27-C9)&gt;0,SQRT(((B9+((L27-C9)/((L27-C9)-(L27-C10)))*(B10-B9))-B9)^2+(L27-C9)^2),SQRT((B10-(B9+((L27-C9)/((L27-C9)-(L27-C10)))*(B10-B9)))^2+(L27-C10)^2)))))+(IF(AND((L27-C10)&lt;=0,(L27-C11)&lt;=0),0,IF(AND((L27-C10)&gt;=0,(L27-C11)&gt;=0),SQRT((B11-B10)^2+(C11-C10)^2),IF((L27-C10)&gt;0,SQRT(((B10+((L27-C10)/((L27-C10)-(L27-C11)))*(B11-B10))-B10)^2+(L27-C10)^2),SQRT((B11-(B10+((L27-C10)/((L27-C10)-(L27-C11)))*(B11-B10)))^2+(L27-C11)^2)))))+(IF(AND((L27-C11)&lt;=0,(L27-C12)&lt;=0),0,IF(AND((L27-C11)&gt;=0,(L27-C12)&gt;=0),SQRT((B12-B11)^2+(C12-C11)^2),IF((L27-C11)&gt;0,SQRT(((B11+((L27-C11)/((L27-C11)-(L27-C12)))*(B12-B11))-B11)^2+(L27-C11)^2),SQRT((B12-(B11+((L27-C11)/((L27-C11)-(L27-C12)))*(B12-B11)))^2+(L27-C12)^2)))))+(IF(AND((L27-C12)&lt;=0,(L27-C13)&lt;=0),0,IF(AND((L27-C12)&gt;=0,(L27-C13)&gt;=0),SQRT((B13-B12)^2+(C13-C12)^2),IF((L27-C12)&gt;0,SQRT(((B12+((L27-C12)/((L27-C12)-(L27-C13)))*(B13-B12))-B12)^2+(L27-C12)^2),SQRT((B13-(B12+((L27-C12)/((L27-C12)-(L27-C13)))*(B13-B12)))^2+(L27-C13)^2)))))+(IF(AND((L27-C13)&lt;=0,(L27-C14)&lt;=0),0,IF(AND((L27-C13)&gt;=0,(L27-C14)&gt;=0),SQRT((B14-B13)^2+(C14-C13)^2),IF((L27-C13)&gt;0,SQRT(((B13+((L27-C13)/((L27-C13)-(L27-C14)))*(B14-B13))-B13)^2+(L27-C13)^2),SQRT((B14-(B13+((L27-C13)/((L27-C13)-(L27-C14)))*(B14-B13)))^2+(L27-C14)^2)))))+(IF(AND((L27-C14)&lt;=0,(L27-C15)&lt;=0),0,IF(AND((L27-C14)&gt;=0,(L27-C15)&gt;=0),SQRT((B15-B14)^2+(C15-C14)^2),IF((L27-C14)&gt;0,SQRT(((B14+((L27-C14)/((L27-C14)-(L27-C15)))*(B15-B14))-B14)^2+(L27-C14)^2),SQRT((B15-(B14+((L27-C14)/((L27-C14)-(L27-C15)))*(B15-B14)))^2+(L27-C15)^2)))))+(IF(AND((L27-C15)&lt;=0,(L27-C16)&lt;=0),0,IF(AND((L27-C15)&gt;=0,(L27-C16)&gt;=0),SQRT((B16-B15)^2+(C16-C15)^2),IF((L27-C15)&gt;0,SQRT(((B15+((L27-C15)/((L27-C15)-(L27-C16)))*(B16-B15))-B15)^2+(L27-C15)^2),SQRT((B16-(B15+((L27-C15)/((L27-C15)-(L27-C16)))*(B16-B15)))^2+(L27-C16)^2)))))+(IF(AND((L27-C16)&lt;=0,(L27-C17)&lt;=0),0,IF(AND((L27-C16)&gt;=0,(L27-C17)&gt;=0),SQRT((B17-B16)^2+(C17-C16)^2),IF((L27-C16)&gt;0,SQRT(((B16+((L27-C16)/((L27-C16)-(L27-C17)))*(B17-B16))-B16)^2+(L27-C16)^2),SQRT((B17-(B16+((L27-C16)/((L27-C16)-(L27-C17)))*(B17-B16)))^2+(L27-C17)^2)))))</f>
        <v/>
      </c>
      <c r="O27">
        <f>IF(OR($B$6&lt;=0,M27&lt;=0,N27&lt;=0,$B$4&lt;=0),0,(1/$B$6)*M27*((M27/N27)^(2/3))*SQRT($B$4))</f>
        <v/>
      </c>
    </row>
    <row r="28">
      <c r="A28" t="inlineStr">
        <is>
          <t>Écart Q_manning − Q</t>
        </is>
      </c>
      <c r="B28" s="20">
        <f>B26-B5</f>
        <v/>
      </c>
      <c r="I28" t="n">
        <v>20</v>
      </c>
      <c r="J28">
        <f>IF(O27&lt;$B$5,L27,J27)</f>
        <v/>
      </c>
      <c r="K28">
        <f>IF(O27&lt;$B$5,K27,L27)</f>
        <v/>
      </c>
      <c r="L28">
        <f>(J28+K28)/2</f>
        <v/>
      </c>
      <c r="M28">
        <f>(IF(AND((L28-C9)&lt;=0,(L28-C10)&lt;=0),0,IF(AND((L28-C9)&gt;=0,(L28-C10)&gt;=0),0.5*((L28-C9)+(L28-C10))*ABS(B10-B9),IF((L28-C9)&gt;0,0.5*(L28-C9)*ABS((B9+((L28-C9)/((L28-C9)-(L28-C10)))*(B10-B9))-B9),0.5*(L28-C10)*ABS(B10-(B9+((L28-C9)/((L28-C9)-(L28-C10)))*(B10-B9)))))))+(IF(AND((L28-C10)&lt;=0,(L28-C11)&lt;=0),0,IF(AND((L28-C10)&gt;=0,(L28-C11)&gt;=0),0.5*((L28-C10)+(L28-C11))*ABS(B11-B10),IF((L28-C10)&gt;0,0.5*(L28-C10)*ABS((B10+((L28-C10)/((L28-C10)-(L28-C11)))*(B11-B10))-B10),0.5*(L28-C11)*ABS(B11-(B10+((L28-C10)/((L28-C10)-(L28-C11)))*(B11-B10)))))))+(IF(AND((L28-C11)&lt;=0,(L28-C12)&lt;=0),0,IF(AND((L28-C11)&gt;=0,(L28-C12)&gt;=0),0.5*((L28-C11)+(L28-C12))*ABS(B12-B11),IF((L28-C11)&gt;0,0.5*(L28-C11)*ABS((B11+((L28-C11)/((L28-C11)-(L28-C12)))*(B12-B11))-B11),0.5*(L28-C12)*ABS(B12-(B11+((L28-C11)/((L28-C11)-(L28-C12)))*(B12-B11)))))))+(IF(AND((L28-C12)&lt;=0,(L28-C13)&lt;=0),0,IF(AND((L28-C12)&gt;=0,(L28-C13)&gt;=0),0.5*((L28-C12)+(L28-C13))*ABS(B13-B12),IF((L28-C12)&gt;0,0.5*(L28-C12)*ABS((B12+((L28-C12)/((L28-C12)-(L28-C13)))*(B13-B12))-B12),0.5*(L28-C13)*ABS(B13-(B12+((L28-C12)/((L28-C12)-(L28-C13)))*(B13-B12)))))))+(IF(AND((L28-C13)&lt;=0,(L28-C14)&lt;=0),0,IF(AND((L28-C13)&gt;=0,(L28-C14)&gt;=0),0.5*((L28-C13)+(L28-C14))*ABS(B14-B13),IF((L28-C13)&gt;0,0.5*(L28-C13)*ABS((B13+((L28-C13)/((L28-C13)-(L28-C14)))*(B14-B13))-B13),0.5*(L28-C14)*ABS(B14-(B13+((L28-C13)/((L28-C13)-(L28-C14)))*(B14-B13)))))))+(IF(AND((L28-C14)&lt;=0,(L28-C15)&lt;=0),0,IF(AND((L28-C14)&gt;=0,(L28-C15)&gt;=0),0.5*((L28-C14)+(L28-C15))*ABS(B15-B14),IF((L28-C14)&gt;0,0.5*(L28-C14)*ABS((B14+((L28-C14)/((L28-C14)-(L28-C15)))*(B15-B14))-B14),0.5*(L28-C15)*ABS(B15-(B14+((L28-C14)/((L28-C14)-(L28-C15)))*(B15-B14)))))))+(IF(AND((L28-C15)&lt;=0,(L28-C16)&lt;=0),0,IF(AND((L28-C15)&gt;=0,(L28-C16)&gt;=0),0.5*((L28-C15)+(L28-C16))*ABS(B16-B15),IF((L28-C15)&gt;0,0.5*(L28-C15)*ABS((B15+((L28-C15)/((L28-C15)-(L28-C16)))*(B16-B15))-B15),0.5*(L28-C16)*ABS(B16-(B15+((L28-C15)/((L28-C15)-(L28-C16)))*(B16-B15)))))))+(IF(AND((L28-C16)&lt;=0,(L28-C17)&lt;=0),0,IF(AND((L28-C16)&gt;=0,(L28-C17)&gt;=0),0.5*((L28-C16)+(L28-C17))*ABS(B17-B16),IF((L28-C16)&gt;0,0.5*(L28-C16)*ABS((B16+((L28-C16)/((L28-C16)-(L28-C17)))*(B17-B16))-B16),0.5*(L28-C17)*ABS(B17-(B16+((L28-C16)/((L28-C16)-(L28-C17)))*(B17-B16)))))))</f>
        <v/>
      </c>
      <c r="N28">
        <f>(IF(AND((L28-C9)&lt;=0,(L28-C10)&lt;=0),0,IF(AND((L28-C9)&gt;=0,(L28-C10)&gt;=0),SQRT((B10-B9)^2+(C10-C9)^2),IF((L28-C9)&gt;0,SQRT(((B9+((L28-C9)/((L28-C9)-(L28-C10)))*(B10-B9))-B9)^2+(L28-C9)^2),SQRT((B10-(B9+((L28-C9)/((L28-C9)-(L28-C10)))*(B10-B9)))^2+(L28-C10)^2)))))+(IF(AND((L28-C10)&lt;=0,(L28-C11)&lt;=0),0,IF(AND((L28-C10)&gt;=0,(L28-C11)&gt;=0),SQRT((B11-B10)^2+(C11-C10)^2),IF((L28-C10)&gt;0,SQRT(((B10+((L28-C10)/((L28-C10)-(L28-C11)))*(B11-B10))-B10)^2+(L28-C10)^2),SQRT((B11-(B10+((L28-C10)/((L28-C10)-(L28-C11)))*(B11-B10)))^2+(L28-C11)^2)))))+(IF(AND((L28-C11)&lt;=0,(L28-C12)&lt;=0),0,IF(AND((L28-C11)&gt;=0,(L28-C12)&gt;=0),SQRT((B12-B11)^2+(C12-C11)^2),IF((L28-C11)&gt;0,SQRT(((B11+((L28-C11)/((L28-C11)-(L28-C12)))*(B12-B11))-B11)^2+(L28-C11)^2),SQRT((B12-(B11+((L28-C11)/((L28-C11)-(L28-C12)))*(B12-B11)))^2+(L28-C12)^2)))))+(IF(AND((L28-C12)&lt;=0,(L28-C13)&lt;=0),0,IF(AND((L28-C12)&gt;=0,(L28-C13)&gt;=0),SQRT((B13-B12)^2+(C13-C12)^2),IF((L28-C12)&gt;0,SQRT(((B12+((L28-C12)/((L28-C12)-(L28-C13)))*(B13-B12))-B12)^2+(L28-C12)^2),SQRT((B13-(B12+((L28-C12)/((L28-C12)-(L28-C13)))*(B13-B12)))^2+(L28-C13)^2)))))+(IF(AND((L28-C13)&lt;=0,(L28-C14)&lt;=0),0,IF(AND((L28-C13)&gt;=0,(L28-C14)&gt;=0),SQRT((B14-B13)^2+(C14-C13)^2),IF((L28-C13)&gt;0,SQRT(((B13+((L28-C13)/((L28-C13)-(L28-C14)))*(B14-B13))-B13)^2+(L28-C13)^2),SQRT((B14-(B13+((L28-C13)/((L28-C13)-(L28-C14)))*(B14-B13)))^2+(L28-C14)^2)))))+(IF(AND((L28-C14)&lt;=0,(L28-C15)&lt;=0),0,IF(AND((L28-C14)&gt;=0,(L28-C15)&gt;=0),SQRT((B15-B14)^2+(C15-C14)^2),IF((L28-C14)&gt;0,SQRT(((B14+((L28-C14)/((L28-C14)-(L28-C15)))*(B15-B14))-B14)^2+(L28-C14)^2),SQRT((B15-(B14+((L28-C14)/((L28-C14)-(L28-C15)))*(B15-B14)))^2+(L28-C15)^2)))))+(IF(AND((L28-C15)&lt;=0,(L28-C16)&lt;=0),0,IF(AND((L28-C15)&gt;=0,(L28-C16)&gt;=0),SQRT((B16-B15)^2+(C16-C15)^2),IF((L28-C15)&gt;0,SQRT(((B15+((L28-C15)/((L28-C15)-(L28-C16)))*(B16-B15))-B15)^2+(L28-C15)^2),SQRT((B16-(B15+((L28-C15)/((L28-C15)-(L28-C16)))*(B16-B15)))^2+(L28-C16)^2)))))+(IF(AND((L28-C16)&lt;=0,(L28-C17)&lt;=0),0,IF(AND((L28-C16)&gt;=0,(L28-C17)&gt;=0),SQRT((B17-B16)^2+(C17-C16)^2),IF((L28-C16)&gt;0,SQRT(((B16+((L28-C16)/((L28-C16)-(L28-C17)))*(B17-B16))-B16)^2+(L28-C16)^2),SQRT((B17-(B16+((L28-C16)/((L28-C16)-(L28-C17)))*(B17-B16)))^2+(L28-C17)^2)))))</f>
        <v/>
      </c>
      <c r="O28">
        <f>IF(OR($B$6&lt;=0,M28&lt;=0,N28&lt;=0,$B$4&lt;=0),0,(1/$B$6)*M28*((M28/N28)^(2/3))*SQRT($B$4))</f>
        <v/>
      </c>
    </row>
    <row r="29">
      <c r="A29" t="inlineStr">
        <is>
          <t>Note</t>
        </is>
      </c>
      <c r="B29" t="inlineStr">
        <is>
          <t>Changer Q (B5) ou n (B6) → WSE, A, V se recalculent seuls. S0 vient du longitudinal.</t>
        </is>
      </c>
      <c r="I29" t="n">
        <v>21</v>
      </c>
      <c r="J29">
        <f>IF(O28&lt;$B$5,L28,J28)</f>
        <v/>
      </c>
      <c r="K29">
        <f>IF(O28&lt;$B$5,K28,L28)</f>
        <v/>
      </c>
      <c r="L29">
        <f>(J29+K29)/2</f>
        <v/>
      </c>
      <c r="M29">
        <f>(IF(AND((L29-C9)&lt;=0,(L29-C10)&lt;=0),0,IF(AND((L29-C9)&gt;=0,(L29-C10)&gt;=0),0.5*((L29-C9)+(L29-C10))*ABS(B10-B9),IF((L29-C9)&gt;0,0.5*(L29-C9)*ABS((B9+((L29-C9)/((L29-C9)-(L29-C10)))*(B10-B9))-B9),0.5*(L29-C10)*ABS(B10-(B9+((L29-C9)/((L29-C9)-(L29-C10)))*(B10-B9)))))))+(IF(AND((L29-C10)&lt;=0,(L29-C11)&lt;=0),0,IF(AND((L29-C10)&gt;=0,(L29-C11)&gt;=0),0.5*((L29-C10)+(L29-C11))*ABS(B11-B10),IF((L29-C10)&gt;0,0.5*(L29-C10)*ABS((B10+((L29-C10)/((L29-C10)-(L29-C11)))*(B11-B10))-B10),0.5*(L29-C11)*ABS(B11-(B10+((L29-C10)/((L29-C10)-(L29-C11)))*(B11-B10)))))))+(IF(AND((L29-C11)&lt;=0,(L29-C12)&lt;=0),0,IF(AND((L29-C11)&gt;=0,(L29-C12)&gt;=0),0.5*((L29-C11)+(L29-C12))*ABS(B12-B11),IF((L29-C11)&gt;0,0.5*(L29-C11)*ABS((B11+((L29-C11)/((L29-C11)-(L29-C12)))*(B12-B11))-B11),0.5*(L29-C12)*ABS(B12-(B11+((L29-C11)/((L29-C11)-(L29-C12)))*(B12-B11)))))))+(IF(AND((L29-C12)&lt;=0,(L29-C13)&lt;=0),0,IF(AND((L29-C12)&gt;=0,(L29-C13)&gt;=0),0.5*((L29-C12)+(L29-C13))*ABS(B13-B12),IF((L29-C12)&gt;0,0.5*(L29-C12)*ABS((B12+((L29-C12)/((L29-C12)-(L29-C13)))*(B13-B12))-B12),0.5*(L29-C13)*ABS(B13-(B12+((L29-C12)/((L29-C12)-(L29-C13)))*(B13-B12)))))))+(IF(AND((L29-C13)&lt;=0,(L29-C14)&lt;=0),0,IF(AND((L29-C13)&gt;=0,(L29-C14)&gt;=0),0.5*((L29-C13)+(L29-C14))*ABS(B14-B13),IF((L29-C13)&gt;0,0.5*(L29-C13)*ABS((B13+((L29-C13)/((L29-C13)-(L29-C14)))*(B14-B13))-B13),0.5*(L29-C14)*ABS(B14-(B13+((L29-C13)/((L29-C13)-(L29-C14)))*(B14-B13)))))))+(IF(AND((L29-C14)&lt;=0,(L29-C15)&lt;=0),0,IF(AND((L29-C14)&gt;=0,(L29-C15)&gt;=0),0.5*((L29-C14)+(L29-C15))*ABS(B15-B14),IF((L29-C14)&gt;0,0.5*(L29-C14)*ABS((B14+((L29-C14)/((L29-C14)-(L29-C15)))*(B15-B14))-B14),0.5*(L29-C15)*ABS(B15-(B14+((L29-C14)/((L29-C14)-(L29-C15)))*(B15-B14)))))))+(IF(AND((L29-C15)&lt;=0,(L29-C16)&lt;=0),0,IF(AND((L29-C15)&gt;=0,(L29-C16)&gt;=0),0.5*((L29-C15)+(L29-C16))*ABS(B16-B15),IF((L29-C15)&gt;0,0.5*(L29-C15)*ABS((B15+((L29-C15)/((L29-C15)-(L29-C16)))*(B16-B15))-B15),0.5*(L29-C16)*ABS(B16-(B15+((L29-C15)/((L29-C15)-(L29-C16)))*(B16-B15)))))))+(IF(AND((L29-C16)&lt;=0,(L29-C17)&lt;=0),0,IF(AND((L29-C16)&gt;=0,(L29-C17)&gt;=0),0.5*((L29-C16)+(L29-C17))*ABS(B17-B16),IF((L29-C16)&gt;0,0.5*(L29-C16)*ABS((B16+((L29-C16)/((L29-C16)-(L29-C17)))*(B17-B16))-B16),0.5*(L29-C17)*ABS(B17-(B16+((L29-C16)/((L29-C16)-(L29-C17)))*(B17-B16)))))))</f>
        <v/>
      </c>
      <c r="N29">
        <f>(IF(AND((L29-C9)&lt;=0,(L29-C10)&lt;=0),0,IF(AND((L29-C9)&gt;=0,(L29-C10)&gt;=0),SQRT((B10-B9)^2+(C10-C9)^2),IF((L29-C9)&gt;0,SQRT(((B9+((L29-C9)/((L29-C9)-(L29-C10)))*(B10-B9))-B9)^2+(L29-C9)^2),SQRT((B10-(B9+((L29-C9)/((L29-C9)-(L29-C10)))*(B10-B9)))^2+(L29-C10)^2)))))+(IF(AND((L29-C10)&lt;=0,(L29-C11)&lt;=0),0,IF(AND((L29-C10)&gt;=0,(L29-C11)&gt;=0),SQRT((B11-B10)^2+(C11-C10)^2),IF((L29-C10)&gt;0,SQRT(((B10+((L29-C10)/((L29-C10)-(L29-C11)))*(B11-B10))-B10)^2+(L29-C10)^2),SQRT((B11-(B10+((L29-C10)/((L29-C10)-(L29-C11)))*(B11-B10)))^2+(L29-C11)^2)))))+(IF(AND((L29-C11)&lt;=0,(L29-C12)&lt;=0),0,IF(AND((L29-C11)&gt;=0,(L29-C12)&gt;=0),SQRT((B12-B11)^2+(C12-C11)^2),IF((L29-C11)&gt;0,SQRT(((B11+((L29-C11)/((L29-C11)-(L29-C12)))*(B12-B11))-B11)^2+(L29-C11)^2),SQRT((B12-(B11+((L29-C11)/((L29-C11)-(L29-C12)))*(B12-B11)))^2+(L29-C12)^2)))))+(IF(AND((L29-C12)&lt;=0,(L29-C13)&lt;=0),0,IF(AND((L29-C12)&gt;=0,(L29-C13)&gt;=0),SQRT((B13-B12)^2+(C13-C12)^2),IF((L29-C12)&gt;0,SQRT(((B12+((L29-C12)/((L29-C12)-(L29-C13)))*(B13-B12))-B12)^2+(L29-C12)^2),SQRT((B13-(B12+((L29-C12)/((L29-C12)-(L29-C13)))*(B13-B12)))^2+(L29-C13)^2)))))+(IF(AND((L29-C13)&lt;=0,(L29-C14)&lt;=0),0,IF(AND((L29-C13)&gt;=0,(L29-C14)&gt;=0),SQRT((B14-B13)^2+(C14-C13)^2),IF((L29-C13)&gt;0,SQRT(((B13+((L29-C13)/((L29-C13)-(L29-C14)))*(B14-B13))-B13)^2+(L29-C13)^2),SQRT((B14-(B13+((L29-C13)/((L29-C13)-(L29-C14)))*(B14-B13)))^2+(L29-C14)^2)))))+(IF(AND((L29-C14)&lt;=0,(L29-C15)&lt;=0),0,IF(AND((L29-C14)&gt;=0,(L29-C15)&gt;=0),SQRT((B15-B14)^2+(C15-C14)^2),IF((L29-C14)&gt;0,SQRT(((B14+((L29-C14)/((L29-C14)-(L29-C15)))*(B15-B14))-B14)^2+(L29-C14)^2),SQRT((B15-(B14+((L29-C14)/((L29-C14)-(L29-C15)))*(B15-B14)))^2+(L29-C15)^2)))))+(IF(AND((L29-C15)&lt;=0,(L29-C16)&lt;=0),0,IF(AND((L29-C15)&gt;=0,(L29-C16)&gt;=0),SQRT((B16-B15)^2+(C16-C15)^2),IF((L29-C15)&gt;0,SQRT(((B15+((L29-C15)/((L29-C15)-(L29-C16)))*(B16-B15))-B15)^2+(L29-C15)^2),SQRT((B16-(B15+((L29-C15)/((L29-C15)-(L29-C16)))*(B16-B15)))^2+(L29-C16)^2)))))+(IF(AND((L29-C16)&lt;=0,(L29-C17)&lt;=0),0,IF(AND((L29-C16)&gt;=0,(L29-C17)&gt;=0),SQRT((B17-B16)^2+(C17-C16)^2),IF((L29-C16)&gt;0,SQRT(((B16+((L29-C16)/((L29-C16)-(L29-C17)))*(B17-B16))-B16)^2+(L29-C16)^2),SQRT((B17-(B16+((L29-C16)/((L29-C16)-(L29-C17)))*(B17-B16)))^2+(L29-C17)^2)))))</f>
        <v/>
      </c>
      <c r="O29">
        <f>IF(OR($B$6&lt;=0,M29&lt;=0,N29&lt;=0,$B$4&lt;=0),0,(1/$B$6)*M29*((M29/N29)^(2/3))*SQRT($B$4))</f>
        <v/>
      </c>
    </row>
    <row r="30">
      <c r="I30" t="n">
        <v>22</v>
      </c>
      <c r="J30">
        <f>IF(O29&lt;$B$5,L29,J29)</f>
        <v/>
      </c>
      <c r="K30">
        <f>IF(O29&lt;$B$5,K29,L29)</f>
        <v/>
      </c>
      <c r="L30">
        <f>(J30+K30)/2</f>
        <v/>
      </c>
      <c r="M30">
        <f>(IF(AND((L30-C9)&lt;=0,(L30-C10)&lt;=0),0,IF(AND((L30-C9)&gt;=0,(L30-C10)&gt;=0),0.5*((L30-C9)+(L30-C10))*ABS(B10-B9),IF((L30-C9)&gt;0,0.5*(L30-C9)*ABS((B9+((L30-C9)/((L30-C9)-(L30-C10)))*(B10-B9))-B9),0.5*(L30-C10)*ABS(B10-(B9+((L30-C9)/((L30-C9)-(L30-C10)))*(B10-B9)))))))+(IF(AND((L30-C10)&lt;=0,(L30-C11)&lt;=0),0,IF(AND((L30-C10)&gt;=0,(L30-C11)&gt;=0),0.5*((L30-C10)+(L30-C11))*ABS(B11-B10),IF((L30-C10)&gt;0,0.5*(L30-C10)*ABS((B10+((L30-C10)/((L30-C10)-(L30-C11)))*(B11-B10))-B10),0.5*(L30-C11)*ABS(B11-(B10+((L30-C10)/((L30-C10)-(L30-C11)))*(B11-B10)))))))+(IF(AND((L30-C11)&lt;=0,(L30-C12)&lt;=0),0,IF(AND((L30-C11)&gt;=0,(L30-C12)&gt;=0),0.5*((L30-C11)+(L30-C12))*ABS(B12-B11),IF((L30-C11)&gt;0,0.5*(L30-C11)*ABS((B11+((L30-C11)/((L30-C11)-(L30-C12)))*(B12-B11))-B11),0.5*(L30-C12)*ABS(B12-(B11+((L30-C11)/((L30-C11)-(L30-C12)))*(B12-B11)))))))+(IF(AND((L30-C12)&lt;=0,(L30-C13)&lt;=0),0,IF(AND((L30-C12)&gt;=0,(L30-C13)&gt;=0),0.5*((L30-C12)+(L30-C13))*ABS(B13-B12),IF((L30-C12)&gt;0,0.5*(L30-C12)*ABS((B12+((L30-C12)/((L30-C12)-(L30-C13)))*(B13-B12))-B12),0.5*(L30-C13)*ABS(B13-(B12+((L30-C12)/((L30-C12)-(L30-C13)))*(B13-B12)))))))+(IF(AND((L30-C13)&lt;=0,(L30-C14)&lt;=0),0,IF(AND((L30-C13)&gt;=0,(L30-C14)&gt;=0),0.5*((L30-C13)+(L30-C14))*ABS(B14-B13),IF((L30-C13)&gt;0,0.5*(L30-C13)*ABS((B13+((L30-C13)/((L30-C13)-(L30-C14)))*(B14-B13))-B13),0.5*(L30-C14)*ABS(B14-(B13+((L30-C13)/((L30-C13)-(L30-C14)))*(B14-B13)))))))+(IF(AND((L30-C14)&lt;=0,(L30-C15)&lt;=0),0,IF(AND((L30-C14)&gt;=0,(L30-C15)&gt;=0),0.5*((L30-C14)+(L30-C15))*ABS(B15-B14),IF((L30-C14)&gt;0,0.5*(L30-C14)*ABS((B14+((L30-C14)/((L30-C14)-(L30-C15)))*(B15-B14))-B14),0.5*(L30-C15)*ABS(B15-(B14+((L30-C14)/((L30-C14)-(L30-C15)))*(B15-B14)))))))+(IF(AND((L30-C15)&lt;=0,(L30-C16)&lt;=0),0,IF(AND((L30-C15)&gt;=0,(L30-C16)&gt;=0),0.5*((L30-C15)+(L30-C16))*ABS(B16-B15),IF((L30-C15)&gt;0,0.5*(L30-C15)*ABS((B15+((L30-C15)/((L30-C15)-(L30-C16)))*(B16-B15))-B15),0.5*(L30-C16)*ABS(B16-(B15+((L30-C15)/((L30-C15)-(L30-C16)))*(B16-B15)))))))+(IF(AND((L30-C16)&lt;=0,(L30-C17)&lt;=0),0,IF(AND((L30-C16)&gt;=0,(L30-C17)&gt;=0),0.5*((L30-C16)+(L30-C17))*ABS(B17-B16),IF((L30-C16)&gt;0,0.5*(L30-C16)*ABS((B16+((L30-C16)/((L30-C16)-(L30-C17)))*(B17-B16))-B16),0.5*(L30-C17)*ABS(B17-(B16+((L30-C16)/((L30-C16)-(L30-C17)))*(B17-B16)))))))</f>
        <v/>
      </c>
      <c r="N30">
        <f>(IF(AND((L30-C9)&lt;=0,(L30-C10)&lt;=0),0,IF(AND((L30-C9)&gt;=0,(L30-C10)&gt;=0),SQRT((B10-B9)^2+(C10-C9)^2),IF((L30-C9)&gt;0,SQRT(((B9+((L30-C9)/((L30-C9)-(L30-C10)))*(B10-B9))-B9)^2+(L30-C9)^2),SQRT((B10-(B9+((L30-C9)/((L30-C9)-(L30-C10)))*(B10-B9)))^2+(L30-C10)^2)))))+(IF(AND((L30-C10)&lt;=0,(L30-C11)&lt;=0),0,IF(AND((L30-C10)&gt;=0,(L30-C11)&gt;=0),SQRT((B11-B10)^2+(C11-C10)^2),IF((L30-C10)&gt;0,SQRT(((B10+((L30-C10)/((L30-C10)-(L30-C11)))*(B11-B10))-B10)^2+(L30-C10)^2),SQRT((B11-(B10+((L30-C10)/((L30-C10)-(L30-C11)))*(B11-B10)))^2+(L30-C11)^2)))))+(IF(AND((L30-C11)&lt;=0,(L30-C12)&lt;=0),0,IF(AND((L30-C11)&gt;=0,(L30-C12)&gt;=0),SQRT((B12-B11)^2+(C12-C11)^2),IF((L30-C11)&gt;0,SQRT(((B11+((L30-C11)/((L30-C11)-(L30-C12)))*(B12-B11))-B11)^2+(L30-C11)^2),SQRT((B12-(B11+((L30-C11)/((L30-C11)-(L30-C12)))*(B12-B11)))^2+(L30-C12)^2)))))+(IF(AND((L30-C12)&lt;=0,(L30-C13)&lt;=0),0,IF(AND((L30-C12)&gt;=0,(L30-C13)&gt;=0),SQRT((B13-B12)^2+(C13-C12)^2),IF((L30-C12)&gt;0,SQRT(((B12+((L30-C12)/((L30-C12)-(L30-C13)))*(B13-B12))-B12)^2+(L30-C12)^2),SQRT((B13-(B12+((L30-C12)/((L30-C12)-(L30-C13)))*(B13-B12)))^2+(L30-C13)^2)))))+(IF(AND((L30-C13)&lt;=0,(L30-C14)&lt;=0),0,IF(AND((L30-C13)&gt;=0,(L30-C14)&gt;=0),SQRT((B14-B13)^2+(C14-C13)^2),IF((L30-C13)&gt;0,SQRT(((B13+((L30-C13)/((L30-C13)-(L30-C14)))*(B14-B13))-B13)^2+(L30-C13)^2),SQRT((B14-(B13+((L30-C13)/((L30-C13)-(L30-C14)))*(B14-B13)))^2+(L30-C14)^2)))))+(IF(AND((L30-C14)&lt;=0,(L30-C15)&lt;=0),0,IF(AND((L30-C14)&gt;=0,(L30-C15)&gt;=0),SQRT((B15-B14)^2+(C15-C14)^2),IF((L30-C14)&gt;0,SQRT(((B14+((L30-C14)/((L30-C14)-(L30-C15)))*(B15-B14))-B14)^2+(L30-C14)^2),SQRT((B15-(B14+((L30-C14)/((L30-C14)-(L30-C15)))*(B15-B14)))^2+(L30-C15)^2)))))+(IF(AND((L30-C15)&lt;=0,(L30-C16)&lt;=0),0,IF(AND((L30-C15)&gt;=0,(L30-C16)&gt;=0),SQRT((B16-B15)^2+(C16-C15)^2),IF((L30-C15)&gt;0,SQRT(((B15+((L30-C15)/((L30-C15)-(L30-C16)))*(B16-B15))-B15)^2+(L30-C15)^2),SQRT((B16-(B15+((L30-C15)/((L30-C15)-(L30-C16)))*(B16-B15)))^2+(L30-C16)^2)))))+(IF(AND((L30-C16)&lt;=0,(L30-C17)&lt;=0),0,IF(AND((L30-C16)&gt;=0,(L30-C17)&gt;=0),SQRT((B17-B16)^2+(C17-C16)^2),IF((L30-C16)&gt;0,SQRT(((B16+((L30-C16)/((L30-C16)-(L30-C17)))*(B17-B16))-B16)^2+(L30-C16)^2),SQRT((B17-(B16+((L30-C16)/((L30-C16)-(L30-C17)))*(B17-B16)))^2+(L30-C17)^2)))))</f>
        <v/>
      </c>
      <c r="O30">
        <f>IF(OR($B$6&lt;=0,M30&lt;=0,N30&lt;=0,$B$4&lt;=0),0,(1/$B$6)*M30*((M30/N30)^(2/3))*SQRT($B$4))</f>
        <v/>
      </c>
    </row>
    <row r="31">
      <c r="I31" t="n">
        <v>23</v>
      </c>
      <c r="J31">
        <f>IF(O30&lt;$B$5,L30,J30)</f>
        <v/>
      </c>
      <c r="K31">
        <f>IF(O30&lt;$B$5,K30,L30)</f>
        <v/>
      </c>
      <c r="L31">
        <f>(J31+K31)/2</f>
        <v/>
      </c>
      <c r="M31">
        <f>(IF(AND((L31-C9)&lt;=0,(L31-C10)&lt;=0),0,IF(AND((L31-C9)&gt;=0,(L31-C10)&gt;=0),0.5*((L31-C9)+(L31-C10))*ABS(B10-B9),IF((L31-C9)&gt;0,0.5*(L31-C9)*ABS((B9+((L31-C9)/((L31-C9)-(L31-C10)))*(B10-B9))-B9),0.5*(L31-C10)*ABS(B10-(B9+((L31-C9)/((L31-C9)-(L31-C10)))*(B10-B9)))))))+(IF(AND((L31-C10)&lt;=0,(L31-C11)&lt;=0),0,IF(AND((L31-C10)&gt;=0,(L31-C11)&gt;=0),0.5*((L31-C10)+(L31-C11))*ABS(B11-B10),IF((L31-C10)&gt;0,0.5*(L31-C10)*ABS((B10+((L31-C10)/((L31-C10)-(L31-C11)))*(B11-B10))-B10),0.5*(L31-C11)*ABS(B11-(B10+((L31-C10)/((L31-C10)-(L31-C11)))*(B11-B10)))))))+(IF(AND((L31-C11)&lt;=0,(L31-C12)&lt;=0),0,IF(AND((L31-C11)&gt;=0,(L31-C12)&gt;=0),0.5*((L31-C11)+(L31-C12))*ABS(B12-B11),IF((L31-C11)&gt;0,0.5*(L31-C11)*ABS((B11+((L31-C11)/((L31-C11)-(L31-C12)))*(B12-B11))-B11),0.5*(L31-C12)*ABS(B12-(B11+((L31-C11)/((L31-C11)-(L31-C12)))*(B12-B11)))))))+(IF(AND((L31-C12)&lt;=0,(L31-C13)&lt;=0),0,IF(AND((L31-C12)&gt;=0,(L31-C13)&gt;=0),0.5*((L31-C12)+(L31-C13))*ABS(B13-B12),IF((L31-C12)&gt;0,0.5*(L31-C12)*ABS((B12+((L31-C12)/((L31-C12)-(L31-C13)))*(B13-B12))-B12),0.5*(L31-C13)*ABS(B13-(B12+((L31-C12)/((L31-C12)-(L31-C13)))*(B13-B12)))))))+(IF(AND((L31-C13)&lt;=0,(L31-C14)&lt;=0),0,IF(AND((L31-C13)&gt;=0,(L31-C14)&gt;=0),0.5*((L31-C13)+(L31-C14))*ABS(B14-B13),IF((L31-C13)&gt;0,0.5*(L31-C13)*ABS((B13+((L31-C13)/((L31-C13)-(L31-C14)))*(B14-B13))-B13),0.5*(L31-C14)*ABS(B14-(B13+((L31-C13)/((L31-C13)-(L31-C14)))*(B14-B13)))))))+(IF(AND((L31-C14)&lt;=0,(L31-C15)&lt;=0),0,IF(AND((L31-C14)&gt;=0,(L31-C15)&gt;=0),0.5*((L31-C14)+(L31-C15))*ABS(B15-B14),IF((L31-C14)&gt;0,0.5*(L31-C14)*ABS((B14+((L31-C14)/((L31-C14)-(L31-C15)))*(B15-B14))-B14),0.5*(L31-C15)*ABS(B15-(B14+((L31-C14)/((L31-C14)-(L31-C15)))*(B15-B14)))))))+(IF(AND((L31-C15)&lt;=0,(L31-C16)&lt;=0),0,IF(AND((L31-C15)&gt;=0,(L31-C16)&gt;=0),0.5*((L31-C15)+(L31-C16))*ABS(B16-B15),IF((L31-C15)&gt;0,0.5*(L31-C15)*ABS((B15+((L31-C15)/((L31-C15)-(L31-C16)))*(B16-B15))-B15),0.5*(L31-C16)*ABS(B16-(B15+((L31-C15)/((L31-C15)-(L31-C16)))*(B16-B15)))))))+(IF(AND((L31-C16)&lt;=0,(L31-C17)&lt;=0),0,IF(AND((L31-C16)&gt;=0,(L31-C17)&gt;=0),0.5*((L31-C16)+(L31-C17))*ABS(B17-B16),IF((L31-C16)&gt;0,0.5*(L31-C16)*ABS((B16+((L31-C16)/((L31-C16)-(L31-C17)))*(B17-B16))-B16),0.5*(L31-C17)*ABS(B17-(B16+((L31-C16)/((L31-C16)-(L31-C17)))*(B17-B16)))))))</f>
        <v/>
      </c>
      <c r="N31">
        <f>(IF(AND((L31-C9)&lt;=0,(L31-C10)&lt;=0),0,IF(AND((L31-C9)&gt;=0,(L31-C10)&gt;=0),SQRT((B10-B9)^2+(C10-C9)^2),IF((L31-C9)&gt;0,SQRT(((B9+((L31-C9)/((L31-C9)-(L31-C10)))*(B10-B9))-B9)^2+(L31-C9)^2),SQRT((B10-(B9+((L31-C9)/((L31-C9)-(L31-C10)))*(B10-B9)))^2+(L31-C10)^2)))))+(IF(AND((L31-C10)&lt;=0,(L31-C11)&lt;=0),0,IF(AND((L31-C10)&gt;=0,(L31-C11)&gt;=0),SQRT((B11-B10)^2+(C11-C10)^2),IF((L31-C10)&gt;0,SQRT(((B10+((L31-C10)/((L31-C10)-(L31-C11)))*(B11-B10))-B10)^2+(L31-C10)^2),SQRT((B11-(B10+((L31-C10)/((L31-C10)-(L31-C11)))*(B11-B10)))^2+(L31-C11)^2)))))+(IF(AND((L31-C11)&lt;=0,(L31-C12)&lt;=0),0,IF(AND((L31-C11)&gt;=0,(L31-C12)&gt;=0),SQRT((B12-B11)^2+(C12-C11)^2),IF((L31-C11)&gt;0,SQRT(((B11+((L31-C11)/((L31-C11)-(L31-C12)))*(B12-B11))-B11)^2+(L31-C11)^2),SQRT((B12-(B11+((L31-C11)/((L31-C11)-(L31-C12)))*(B12-B11)))^2+(L31-C12)^2)))))+(IF(AND((L31-C12)&lt;=0,(L31-C13)&lt;=0),0,IF(AND((L31-C12)&gt;=0,(L31-C13)&gt;=0),SQRT((B13-B12)^2+(C13-C12)^2),IF((L31-C12)&gt;0,SQRT(((B12+((L31-C12)/((L31-C12)-(L31-C13)))*(B13-B12))-B12)^2+(L31-C12)^2),SQRT((B13-(B12+((L31-C12)/((L31-C12)-(L31-C13)))*(B13-B12)))^2+(L31-C13)^2)))))+(IF(AND((L31-C13)&lt;=0,(L31-C14)&lt;=0),0,IF(AND((L31-C13)&gt;=0,(L31-C14)&gt;=0),SQRT((B14-B13)^2+(C14-C13)^2),IF((L31-C13)&gt;0,SQRT(((B13+((L31-C13)/((L31-C13)-(L31-C14)))*(B14-B13))-B13)^2+(L31-C13)^2),SQRT((B14-(B13+((L31-C13)/((L31-C13)-(L31-C14)))*(B14-B13)))^2+(L31-C14)^2)))))+(IF(AND((L31-C14)&lt;=0,(L31-C15)&lt;=0),0,IF(AND((L31-C14)&gt;=0,(L31-C15)&gt;=0),SQRT((B15-B14)^2+(C15-C14)^2),IF((L31-C14)&gt;0,SQRT(((B14+((L31-C14)/((L31-C14)-(L31-C15)))*(B15-B14))-B14)^2+(L31-C14)^2),SQRT((B15-(B14+((L31-C14)/((L31-C14)-(L31-C15)))*(B15-B14)))^2+(L31-C15)^2)))))+(IF(AND((L31-C15)&lt;=0,(L31-C16)&lt;=0),0,IF(AND((L31-C15)&gt;=0,(L31-C16)&gt;=0),SQRT((B16-B15)^2+(C16-C15)^2),IF((L31-C15)&gt;0,SQRT(((B15+((L31-C15)/((L31-C15)-(L31-C16)))*(B16-B15))-B15)^2+(L31-C15)^2),SQRT((B16-(B15+((L31-C15)/((L31-C15)-(L31-C16)))*(B16-B15)))^2+(L31-C16)^2)))))+(IF(AND((L31-C16)&lt;=0,(L31-C17)&lt;=0),0,IF(AND((L31-C16)&gt;=0,(L31-C17)&gt;=0),SQRT((B17-B16)^2+(C17-C16)^2),IF((L31-C16)&gt;0,SQRT(((B16+((L31-C16)/((L31-C16)-(L31-C17)))*(B17-B16))-B16)^2+(L31-C16)^2),SQRT((B17-(B16+((L31-C16)/((L31-C16)-(L31-C17)))*(B17-B16)))^2+(L31-C17)^2)))))</f>
        <v/>
      </c>
      <c r="O31">
        <f>IF(OR($B$6&lt;=0,M31&lt;=0,N31&lt;=0,$B$4&lt;=0),0,(1/$B$6)*M31*((M31/N31)^(2/3))*SQRT($B$4))</f>
        <v/>
      </c>
    </row>
    <row r="32">
      <c r="I32" t="n">
        <v>24</v>
      </c>
      <c r="J32">
        <f>IF(O31&lt;$B$5,L31,J31)</f>
        <v/>
      </c>
      <c r="K32">
        <f>IF(O31&lt;$B$5,K31,L31)</f>
        <v/>
      </c>
      <c r="L32">
        <f>(J32+K32)/2</f>
        <v/>
      </c>
      <c r="M32">
        <f>(IF(AND((L32-C9)&lt;=0,(L32-C10)&lt;=0),0,IF(AND((L32-C9)&gt;=0,(L32-C10)&gt;=0),0.5*((L32-C9)+(L32-C10))*ABS(B10-B9),IF((L32-C9)&gt;0,0.5*(L32-C9)*ABS((B9+((L32-C9)/((L32-C9)-(L32-C10)))*(B10-B9))-B9),0.5*(L32-C10)*ABS(B10-(B9+((L32-C9)/((L32-C9)-(L32-C10)))*(B10-B9)))))))+(IF(AND((L32-C10)&lt;=0,(L32-C11)&lt;=0),0,IF(AND((L32-C10)&gt;=0,(L32-C11)&gt;=0),0.5*((L32-C10)+(L32-C11))*ABS(B11-B10),IF((L32-C10)&gt;0,0.5*(L32-C10)*ABS((B10+((L32-C10)/((L32-C10)-(L32-C11)))*(B11-B10))-B10),0.5*(L32-C11)*ABS(B11-(B10+((L32-C10)/((L32-C10)-(L32-C11)))*(B11-B10)))))))+(IF(AND((L32-C11)&lt;=0,(L32-C12)&lt;=0),0,IF(AND((L32-C11)&gt;=0,(L32-C12)&gt;=0),0.5*((L32-C11)+(L32-C12))*ABS(B12-B11),IF((L32-C11)&gt;0,0.5*(L32-C11)*ABS((B11+((L32-C11)/((L32-C11)-(L32-C12)))*(B12-B11))-B11),0.5*(L32-C12)*ABS(B12-(B11+((L32-C11)/((L32-C11)-(L32-C12)))*(B12-B11)))))))+(IF(AND((L32-C12)&lt;=0,(L32-C13)&lt;=0),0,IF(AND((L32-C12)&gt;=0,(L32-C13)&gt;=0),0.5*((L32-C12)+(L32-C13))*ABS(B13-B12),IF((L32-C12)&gt;0,0.5*(L32-C12)*ABS((B12+((L32-C12)/((L32-C12)-(L32-C13)))*(B13-B12))-B12),0.5*(L32-C13)*ABS(B13-(B12+((L32-C12)/((L32-C12)-(L32-C13)))*(B13-B12)))))))+(IF(AND((L32-C13)&lt;=0,(L32-C14)&lt;=0),0,IF(AND((L32-C13)&gt;=0,(L32-C14)&gt;=0),0.5*((L32-C13)+(L32-C14))*ABS(B14-B13),IF((L32-C13)&gt;0,0.5*(L32-C13)*ABS((B13+((L32-C13)/((L32-C13)-(L32-C14)))*(B14-B13))-B13),0.5*(L32-C14)*ABS(B14-(B13+((L32-C13)/((L32-C13)-(L32-C14)))*(B14-B13)))))))+(IF(AND((L32-C14)&lt;=0,(L32-C15)&lt;=0),0,IF(AND((L32-C14)&gt;=0,(L32-C15)&gt;=0),0.5*((L32-C14)+(L32-C15))*ABS(B15-B14),IF((L32-C14)&gt;0,0.5*(L32-C14)*ABS((B14+((L32-C14)/((L32-C14)-(L32-C15)))*(B15-B14))-B14),0.5*(L32-C15)*ABS(B15-(B14+((L32-C14)/((L32-C14)-(L32-C15)))*(B15-B14)))))))+(IF(AND((L32-C15)&lt;=0,(L32-C16)&lt;=0),0,IF(AND((L32-C15)&gt;=0,(L32-C16)&gt;=0),0.5*((L32-C15)+(L32-C16))*ABS(B16-B15),IF((L32-C15)&gt;0,0.5*(L32-C15)*ABS((B15+((L32-C15)/((L32-C15)-(L32-C16)))*(B16-B15))-B15),0.5*(L32-C16)*ABS(B16-(B15+((L32-C15)/((L32-C15)-(L32-C16)))*(B16-B15)))))))+(IF(AND((L32-C16)&lt;=0,(L32-C17)&lt;=0),0,IF(AND((L32-C16)&gt;=0,(L32-C17)&gt;=0),0.5*((L32-C16)+(L32-C17))*ABS(B17-B16),IF((L32-C16)&gt;0,0.5*(L32-C16)*ABS((B16+((L32-C16)/((L32-C16)-(L32-C17)))*(B17-B16))-B16),0.5*(L32-C17)*ABS(B17-(B16+((L32-C16)/((L32-C16)-(L32-C17)))*(B17-B16)))))))</f>
        <v/>
      </c>
      <c r="N32">
        <f>(IF(AND((L32-C9)&lt;=0,(L32-C10)&lt;=0),0,IF(AND((L32-C9)&gt;=0,(L32-C10)&gt;=0),SQRT((B10-B9)^2+(C10-C9)^2),IF((L32-C9)&gt;0,SQRT(((B9+((L32-C9)/((L32-C9)-(L32-C10)))*(B10-B9))-B9)^2+(L32-C9)^2),SQRT((B10-(B9+((L32-C9)/((L32-C9)-(L32-C10)))*(B10-B9)))^2+(L32-C10)^2)))))+(IF(AND((L32-C10)&lt;=0,(L32-C11)&lt;=0),0,IF(AND((L32-C10)&gt;=0,(L32-C11)&gt;=0),SQRT((B11-B10)^2+(C11-C10)^2),IF((L32-C10)&gt;0,SQRT(((B10+((L32-C10)/((L32-C10)-(L32-C11)))*(B11-B10))-B10)^2+(L32-C10)^2),SQRT((B11-(B10+((L32-C10)/((L32-C10)-(L32-C11)))*(B11-B10)))^2+(L32-C11)^2)))))+(IF(AND((L32-C11)&lt;=0,(L32-C12)&lt;=0),0,IF(AND((L32-C11)&gt;=0,(L32-C12)&gt;=0),SQRT((B12-B11)^2+(C12-C11)^2),IF((L32-C11)&gt;0,SQRT(((B11+((L32-C11)/((L32-C11)-(L32-C12)))*(B12-B11))-B11)^2+(L32-C11)^2),SQRT((B12-(B11+((L32-C11)/((L32-C11)-(L32-C12)))*(B12-B11)))^2+(L32-C12)^2)))))+(IF(AND((L32-C12)&lt;=0,(L32-C13)&lt;=0),0,IF(AND((L32-C12)&gt;=0,(L32-C13)&gt;=0),SQRT((B13-B12)^2+(C13-C12)^2),IF((L32-C12)&gt;0,SQRT(((B12+((L32-C12)/((L32-C12)-(L32-C13)))*(B13-B12))-B12)^2+(L32-C12)^2),SQRT((B13-(B12+((L32-C12)/((L32-C12)-(L32-C13)))*(B13-B12)))^2+(L32-C13)^2)))))+(IF(AND((L32-C13)&lt;=0,(L32-C14)&lt;=0),0,IF(AND((L32-C13)&gt;=0,(L32-C14)&gt;=0),SQRT((B14-B13)^2+(C14-C13)^2),IF((L32-C13)&gt;0,SQRT(((B13+((L32-C13)/((L32-C13)-(L32-C14)))*(B14-B13))-B13)^2+(L32-C13)^2),SQRT((B14-(B13+((L32-C13)/((L32-C13)-(L32-C14)))*(B14-B13)))^2+(L32-C14)^2)))))+(IF(AND((L32-C14)&lt;=0,(L32-C15)&lt;=0),0,IF(AND((L32-C14)&gt;=0,(L32-C15)&gt;=0),SQRT((B15-B14)^2+(C15-C14)^2),IF((L32-C14)&gt;0,SQRT(((B14+((L32-C14)/((L32-C14)-(L32-C15)))*(B15-B14))-B14)^2+(L32-C14)^2),SQRT((B15-(B14+((L32-C14)/((L32-C14)-(L32-C15)))*(B15-B14)))^2+(L32-C15)^2)))))+(IF(AND((L32-C15)&lt;=0,(L32-C16)&lt;=0),0,IF(AND((L32-C15)&gt;=0,(L32-C16)&gt;=0),SQRT((B16-B15)^2+(C16-C15)^2),IF((L32-C15)&gt;0,SQRT(((B15+((L32-C15)/((L32-C15)-(L32-C16)))*(B16-B15))-B15)^2+(L32-C15)^2),SQRT((B16-(B15+((L32-C15)/((L32-C15)-(L32-C16)))*(B16-B15)))^2+(L32-C16)^2)))))+(IF(AND((L32-C16)&lt;=0,(L32-C17)&lt;=0),0,IF(AND((L32-C16)&gt;=0,(L32-C17)&gt;=0),SQRT((B17-B16)^2+(C17-C16)^2),IF((L32-C16)&gt;0,SQRT(((B16+((L32-C16)/((L32-C16)-(L32-C17)))*(B17-B16))-B16)^2+(L32-C16)^2),SQRT((B17-(B16+((L32-C16)/((L32-C16)-(L32-C17)))*(B17-B16)))^2+(L32-C17)^2)))))</f>
        <v/>
      </c>
      <c r="O32">
        <f>IF(OR($B$6&lt;=0,M32&lt;=0,N32&lt;=0,$B$4&lt;=0),0,(1/$B$6)*M32*((M32/N32)^(2/3))*SQRT($B$4))</f>
        <v/>
      </c>
    </row>
    <row r="33">
      <c r="I33" t="n">
        <v>25</v>
      </c>
      <c r="J33">
        <f>IF(O32&lt;$B$5,L32,J32)</f>
        <v/>
      </c>
      <c r="K33">
        <f>IF(O32&lt;$B$5,K32,L32)</f>
        <v/>
      </c>
      <c r="L33">
        <f>(J33+K33)/2</f>
        <v/>
      </c>
      <c r="M33">
        <f>(IF(AND((L33-C9)&lt;=0,(L33-C10)&lt;=0),0,IF(AND((L33-C9)&gt;=0,(L33-C10)&gt;=0),0.5*((L33-C9)+(L33-C10))*ABS(B10-B9),IF((L33-C9)&gt;0,0.5*(L33-C9)*ABS((B9+((L33-C9)/((L33-C9)-(L33-C10)))*(B10-B9))-B9),0.5*(L33-C10)*ABS(B10-(B9+((L33-C9)/((L33-C9)-(L33-C10)))*(B10-B9)))))))+(IF(AND((L33-C10)&lt;=0,(L33-C11)&lt;=0),0,IF(AND((L33-C10)&gt;=0,(L33-C11)&gt;=0),0.5*((L33-C10)+(L33-C11))*ABS(B11-B10),IF((L33-C10)&gt;0,0.5*(L33-C10)*ABS((B10+((L33-C10)/((L33-C10)-(L33-C11)))*(B11-B10))-B10),0.5*(L33-C11)*ABS(B11-(B10+((L33-C10)/((L33-C10)-(L33-C11)))*(B11-B10)))))))+(IF(AND((L33-C11)&lt;=0,(L33-C12)&lt;=0),0,IF(AND((L33-C11)&gt;=0,(L33-C12)&gt;=0),0.5*((L33-C11)+(L33-C12))*ABS(B12-B11),IF((L33-C11)&gt;0,0.5*(L33-C11)*ABS((B11+((L33-C11)/((L33-C11)-(L33-C12)))*(B12-B11))-B11),0.5*(L33-C12)*ABS(B12-(B11+((L33-C11)/((L33-C11)-(L33-C12)))*(B12-B11)))))))+(IF(AND((L33-C12)&lt;=0,(L33-C13)&lt;=0),0,IF(AND((L33-C12)&gt;=0,(L33-C13)&gt;=0),0.5*((L33-C12)+(L33-C13))*ABS(B13-B12),IF((L33-C12)&gt;0,0.5*(L33-C12)*ABS((B12+((L33-C12)/((L33-C12)-(L33-C13)))*(B13-B12))-B12),0.5*(L33-C13)*ABS(B13-(B12+((L33-C12)/((L33-C12)-(L33-C13)))*(B13-B12)))))))+(IF(AND((L33-C13)&lt;=0,(L33-C14)&lt;=0),0,IF(AND((L33-C13)&gt;=0,(L33-C14)&gt;=0),0.5*((L33-C13)+(L33-C14))*ABS(B14-B13),IF((L33-C13)&gt;0,0.5*(L33-C13)*ABS((B13+((L33-C13)/((L33-C13)-(L33-C14)))*(B14-B13))-B13),0.5*(L33-C14)*ABS(B14-(B13+((L33-C13)/((L33-C13)-(L33-C14)))*(B14-B13)))))))+(IF(AND((L33-C14)&lt;=0,(L33-C15)&lt;=0),0,IF(AND((L33-C14)&gt;=0,(L33-C15)&gt;=0),0.5*((L33-C14)+(L33-C15))*ABS(B15-B14),IF((L33-C14)&gt;0,0.5*(L33-C14)*ABS((B14+((L33-C14)/((L33-C14)-(L33-C15)))*(B15-B14))-B14),0.5*(L33-C15)*ABS(B15-(B14+((L33-C14)/((L33-C14)-(L33-C15)))*(B15-B14)))))))+(IF(AND((L33-C15)&lt;=0,(L33-C16)&lt;=0),0,IF(AND((L33-C15)&gt;=0,(L33-C16)&gt;=0),0.5*((L33-C15)+(L33-C16))*ABS(B16-B15),IF((L33-C15)&gt;0,0.5*(L33-C15)*ABS((B15+((L33-C15)/((L33-C15)-(L33-C16)))*(B16-B15))-B15),0.5*(L33-C16)*ABS(B16-(B15+((L33-C15)/((L33-C15)-(L33-C16)))*(B16-B15)))))))+(IF(AND((L33-C16)&lt;=0,(L33-C17)&lt;=0),0,IF(AND((L33-C16)&gt;=0,(L33-C17)&gt;=0),0.5*((L33-C16)+(L33-C17))*ABS(B17-B16),IF((L33-C16)&gt;0,0.5*(L33-C16)*ABS((B16+((L33-C16)/((L33-C16)-(L33-C17)))*(B17-B16))-B16),0.5*(L33-C17)*ABS(B17-(B16+((L33-C16)/((L33-C16)-(L33-C17)))*(B17-B16)))))))</f>
        <v/>
      </c>
      <c r="N33">
        <f>(IF(AND((L33-C9)&lt;=0,(L33-C10)&lt;=0),0,IF(AND((L33-C9)&gt;=0,(L33-C10)&gt;=0),SQRT((B10-B9)^2+(C10-C9)^2),IF((L33-C9)&gt;0,SQRT(((B9+((L33-C9)/((L33-C9)-(L33-C10)))*(B10-B9))-B9)^2+(L33-C9)^2),SQRT((B10-(B9+((L33-C9)/((L33-C9)-(L33-C10)))*(B10-B9)))^2+(L33-C10)^2)))))+(IF(AND((L33-C10)&lt;=0,(L33-C11)&lt;=0),0,IF(AND((L33-C10)&gt;=0,(L33-C11)&gt;=0),SQRT((B11-B10)^2+(C11-C10)^2),IF((L33-C10)&gt;0,SQRT(((B10+((L33-C10)/((L33-C10)-(L33-C11)))*(B11-B10))-B10)^2+(L33-C10)^2),SQRT((B11-(B10+((L33-C10)/((L33-C10)-(L33-C11)))*(B11-B10)))^2+(L33-C11)^2)))))+(IF(AND((L33-C11)&lt;=0,(L33-C12)&lt;=0),0,IF(AND((L33-C11)&gt;=0,(L33-C12)&gt;=0),SQRT((B12-B11)^2+(C12-C11)^2),IF((L33-C11)&gt;0,SQRT(((B11+((L33-C11)/((L33-C11)-(L33-C12)))*(B12-B11))-B11)^2+(L33-C11)^2),SQRT((B12-(B11+((L33-C11)/((L33-C11)-(L33-C12)))*(B12-B11)))^2+(L33-C12)^2)))))+(IF(AND((L33-C12)&lt;=0,(L33-C13)&lt;=0),0,IF(AND((L33-C12)&gt;=0,(L33-C13)&gt;=0),SQRT((B13-B12)^2+(C13-C12)^2),IF((L33-C12)&gt;0,SQRT(((B12+((L33-C12)/((L33-C12)-(L33-C13)))*(B13-B12))-B12)^2+(L33-C12)^2),SQRT((B13-(B12+((L33-C12)/((L33-C12)-(L33-C13)))*(B13-B12)))^2+(L33-C13)^2)))))+(IF(AND((L33-C13)&lt;=0,(L33-C14)&lt;=0),0,IF(AND((L33-C13)&gt;=0,(L33-C14)&gt;=0),SQRT((B14-B13)^2+(C14-C13)^2),IF((L33-C13)&gt;0,SQRT(((B13+((L33-C13)/((L33-C13)-(L33-C14)))*(B14-B13))-B13)^2+(L33-C13)^2),SQRT((B14-(B13+((L33-C13)/((L33-C13)-(L33-C14)))*(B14-B13)))^2+(L33-C14)^2)))))+(IF(AND((L33-C14)&lt;=0,(L33-C15)&lt;=0),0,IF(AND((L33-C14)&gt;=0,(L33-C15)&gt;=0),SQRT((B15-B14)^2+(C15-C14)^2),IF((L33-C14)&gt;0,SQRT(((B14+((L33-C14)/((L33-C14)-(L33-C15)))*(B15-B14))-B14)^2+(L33-C14)^2),SQRT((B15-(B14+((L33-C14)/((L33-C14)-(L33-C15)))*(B15-B14)))^2+(L33-C15)^2)))))+(IF(AND((L33-C15)&lt;=0,(L33-C16)&lt;=0),0,IF(AND((L33-C15)&gt;=0,(L33-C16)&gt;=0),SQRT((B16-B15)^2+(C16-C15)^2),IF((L33-C15)&gt;0,SQRT(((B15+((L33-C15)/((L33-C15)-(L33-C16)))*(B16-B15))-B15)^2+(L33-C15)^2),SQRT((B16-(B15+((L33-C15)/((L33-C15)-(L33-C16)))*(B16-B15)))^2+(L33-C16)^2)))))+(IF(AND((L33-C16)&lt;=0,(L33-C17)&lt;=0),0,IF(AND((L33-C16)&gt;=0,(L33-C17)&gt;=0),SQRT((B17-B16)^2+(C17-C16)^2),IF((L33-C16)&gt;0,SQRT(((B16+((L33-C16)/((L33-C16)-(L33-C17)))*(B17-B16))-B16)^2+(L33-C16)^2),SQRT((B17-(B16+((L33-C16)/((L33-C16)-(L33-C17)))*(B17-B16)))^2+(L33-C17)^2)))))</f>
        <v/>
      </c>
      <c r="O33">
        <f>IF(OR($B$6&lt;=0,M33&lt;=0,N33&lt;=0,$B$4&lt;=0),0,(1/$B$6)*M33*((M33/N33)^(2/3))*SQRT($B$4))</f>
        <v/>
      </c>
    </row>
    <row r="34">
      <c r="I34" t="n">
        <v>26</v>
      </c>
      <c r="J34">
        <f>IF(O33&lt;$B$5,L33,J33)</f>
        <v/>
      </c>
      <c r="K34">
        <f>IF(O33&lt;$B$5,K33,L33)</f>
        <v/>
      </c>
      <c r="L34">
        <f>(J34+K34)/2</f>
        <v/>
      </c>
      <c r="M34">
        <f>(IF(AND((L34-C9)&lt;=0,(L34-C10)&lt;=0),0,IF(AND((L34-C9)&gt;=0,(L34-C10)&gt;=0),0.5*((L34-C9)+(L34-C10))*ABS(B10-B9),IF((L34-C9)&gt;0,0.5*(L34-C9)*ABS((B9+((L34-C9)/((L34-C9)-(L34-C10)))*(B10-B9))-B9),0.5*(L34-C10)*ABS(B10-(B9+((L34-C9)/((L34-C9)-(L34-C10)))*(B10-B9)))))))+(IF(AND((L34-C10)&lt;=0,(L34-C11)&lt;=0),0,IF(AND((L34-C10)&gt;=0,(L34-C11)&gt;=0),0.5*((L34-C10)+(L34-C11))*ABS(B11-B10),IF((L34-C10)&gt;0,0.5*(L34-C10)*ABS((B10+((L34-C10)/((L34-C10)-(L34-C11)))*(B11-B10))-B10),0.5*(L34-C11)*ABS(B11-(B10+((L34-C10)/((L34-C10)-(L34-C11)))*(B11-B10)))))))+(IF(AND((L34-C11)&lt;=0,(L34-C12)&lt;=0),0,IF(AND((L34-C11)&gt;=0,(L34-C12)&gt;=0),0.5*((L34-C11)+(L34-C12))*ABS(B12-B11),IF((L34-C11)&gt;0,0.5*(L34-C11)*ABS((B11+((L34-C11)/((L34-C11)-(L34-C12)))*(B12-B11))-B11),0.5*(L34-C12)*ABS(B12-(B11+((L34-C11)/((L34-C11)-(L34-C12)))*(B12-B11)))))))+(IF(AND((L34-C12)&lt;=0,(L34-C13)&lt;=0),0,IF(AND((L34-C12)&gt;=0,(L34-C13)&gt;=0),0.5*((L34-C12)+(L34-C13))*ABS(B13-B12),IF((L34-C12)&gt;0,0.5*(L34-C12)*ABS((B12+((L34-C12)/((L34-C12)-(L34-C13)))*(B13-B12))-B12),0.5*(L34-C13)*ABS(B13-(B12+((L34-C12)/((L34-C12)-(L34-C13)))*(B13-B12)))))))+(IF(AND((L34-C13)&lt;=0,(L34-C14)&lt;=0),0,IF(AND((L34-C13)&gt;=0,(L34-C14)&gt;=0),0.5*((L34-C13)+(L34-C14))*ABS(B14-B13),IF((L34-C13)&gt;0,0.5*(L34-C13)*ABS((B13+((L34-C13)/((L34-C13)-(L34-C14)))*(B14-B13))-B13),0.5*(L34-C14)*ABS(B14-(B13+((L34-C13)/((L34-C13)-(L34-C14)))*(B14-B13)))))))+(IF(AND((L34-C14)&lt;=0,(L34-C15)&lt;=0),0,IF(AND((L34-C14)&gt;=0,(L34-C15)&gt;=0),0.5*((L34-C14)+(L34-C15))*ABS(B15-B14),IF((L34-C14)&gt;0,0.5*(L34-C14)*ABS((B14+((L34-C14)/((L34-C14)-(L34-C15)))*(B15-B14))-B14),0.5*(L34-C15)*ABS(B15-(B14+((L34-C14)/((L34-C14)-(L34-C15)))*(B15-B14)))))))+(IF(AND((L34-C15)&lt;=0,(L34-C16)&lt;=0),0,IF(AND((L34-C15)&gt;=0,(L34-C16)&gt;=0),0.5*((L34-C15)+(L34-C16))*ABS(B16-B15),IF((L34-C15)&gt;0,0.5*(L34-C15)*ABS((B15+((L34-C15)/((L34-C15)-(L34-C16)))*(B16-B15))-B15),0.5*(L34-C16)*ABS(B16-(B15+((L34-C15)/((L34-C15)-(L34-C16)))*(B16-B15)))))))+(IF(AND((L34-C16)&lt;=0,(L34-C17)&lt;=0),0,IF(AND((L34-C16)&gt;=0,(L34-C17)&gt;=0),0.5*((L34-C16)+(L34-C17))*ABS(B17-B16),IF((L34-C16)&gt;0,0.5*(L34-C16)*ABS((B16+((L34-C16)/((L34-C16)-(L34-C17)))*(B17-B16))-B16),0.5*(L34-C17)*ABS(B17-(B16+((L34-C16)/((L34-C16)-(L34-C17)))*(B17-B16)))))))</f>
        <v/>
      </c>
      <c r="N34">
        <f>(IF(AND((L34-C9)&lt;=0,(L34-C10)&lt;=0),0,IF(AND((L34-C9)&gt;=0,(L34-C10)&gt;=0),SQRT((B10-B9)^2+(C10-C9)^2),IF((L34-C9)&gt;0,SQRT(((B9+((L34-C9)/((L34-C9)-(L34-C10)))*(B10-B9))-B9)^2+(L34-C9)^2),SQRT((B10-(B9+((L34-C9)/((L34-C9)-(L34-C10)))*(B10-B9)))^2+(L34-C10)^2)))))+(IF(AND((L34-C10)&lt;=0,(L34-C11)&lt;=0),0,IF(AND((L34-C10)&gt;=0,(L34-C11)&gt;=0),SQRT((B11-B10)^2+(C11-C10)^2),IF((L34-C10)&gt;0,SQRT(((B10+((L34-C10)/((L34-C10)-(L34-C11)))*(B11-B10))-B10)^2+(L34-C10)^2),SQRT((B11-(B10+((L34-C10)/((L34-C10)-(L34-C11)))*(B11-B10)))^2+(L34-C11)^2)))))+(IF(AND((L34-C11)&lt;=0,(L34-C12)&lt;=0),0,IF(AND((L34-C11)&gt;=0,(L34-C12)&gt;=0),SQRT((B12-B11)^2+(C12-C11)^2),IF((L34-C11)&gt;0,SQRT(((B11+((L34-C11)/((L34-C11)-(L34-C12)))*(B12-B11))-B11)^2+(L34-C11)^2),SQRT((B12-(B11+((L34-C11)/((L34-C11)-(L34-C12)))*(B12-B11)))^2+(L34-C12)^2)))))+(IF(AND((L34-C12)&lt;=0,(L34-C13)&lt;=0),0,IF(AND((L34-C12)&gt;=0,(L34-C13)&gt;=0),SQRT((B13-B12)^2+(C13-C12)^2),IF((L34-C12)&gt;0,SQRT(((B12+((L34-C12)/((L34-C12)-(L34-C13)))*(B13-B12))-B12)^2+(L34-C12)^2),SQRT((B13-(B12+((L34-C12)/((L34-C12)-(L34-C13)))*(B13-B12)))^2+(L34-C13)^2)))))+(IF(AND((L34-C13)&lt;=0,(L34-C14)&lt;=0),0,IF(AND((L34-C13)&gt;=0,(L34-C14)&gt;=0),SQRT((B14-B13)^2+(C14-C13)^2),IF((L34-C13)&gt;0,SQRT(((B13+((L34-C13)/((L34-C13)-(L34-C14)))*(B14-B13))-B13)^2+(L34-C13)^2),SQRT((B14-(B13+((L34-C13)/((L34-C13)-(L34-C14)))*(B14-B13)))^2+(L34-C14)^2)))))+(IF(AND((L34-C14)&lt;=0,(L34-C15)&lt;=0),0,IF(AND((L34-C14)&gt;=0,(L34-C15)&gt;=0),SQRT((B15-B14)^2+(C15-C14)^2),IF((L34-C14)&gt;0,SQRT(((B14+((L34-C14)/((L34-C14)-(L34-C15)))*(B15-B14))-B14)^2+(L34-C14)^2),SQRT((B15-(B14+((L34-C14)/((L34-C14)-(L34-C15)))*(B15-B14)))^2+(L34-C15)^2)))))+(IF(AND((L34-C15)&lt;=0,(L34-C16)&lt;=0),0,IF(AND((L34-C15)&gt;=0,(L34-C16)&gt;=0),SQRT((B16-B15)^2+(C16-C15)^2),IF((L34-C15)&gt;0,SQRT(((B15+((L34-C15)/((L34-C15)-(L34-C16)))*(B16-B15))-B15)^2+(L34-C15)^2),SQRT((B16-(B15+((L34-C15)/((L34-C15)-(L34-C16)))*(B16-B15)))^2+(L34-C16)^2)))))+(IF(AND((L34-C16)&lt;=0,(L34-C17)&lt;=0),0,IF(AND((L34-C16)&gt;=0,(L34-C17)&gt;=0),SQRT((B17-B16)^2+(C17-C16)^2),IF((L34-C16)&gt;0,SQRT(((B16+((L34-C16)/((L34-C16)-(L34-C17)))*(B17-B16))-B16)^2+(L34-C16)^2),SQRT((B17-(B16+((L34-C16)/((L34-C16)-(L34-C17)))*(B17-B16)))^2+(L34-C17)^2)))))</f>
        <v/>
      </c>
      <c r="O34">
        <f>IF(OR($B$6&lt;=0,M34&lt;=0,N34&lt;=0,$B$4&lt;=0),0,(1/$B$6)*M34*((M34/N34)^(2/3))*SQRT($B$4))</f>
        <v/>
      </c>
    </row>
    <row r="35">
      <c r="I35" t="n">
        <v>27</v>
      </c>
      <c r="J35">
        <f>IF(O34&lt;$B$5,L34,J34)</f>
        <v/>
      </c>
      <c r="K35">
        <f>IF(O34&lt;$B$5,K34,L34)</f>
        <v/>
      </c>
      <c r="L35">
        <f>(J35+K35)/2</f>
        <v/>
      </c>
      <c r="M35">
        <f>(IF(AND((L35-C9)&lt;=0,(L35-C10)&lt;=0),0,IF(AND((L35-C9)&gt;=0,(L35-C10)&gt;=0),0.5*((L35-C9)+(L35-C10))*ABS(B10-B9),IF((L35-C9)&gt;0,0.5*(L35-C9)*ABS((B9+((L35-C9)/((L35-C9)-(L35-C10)))*(B10-B9))-B9),0.5*(L35-C10)*ABS(B10-(B9+((L35-C9)/((L35-C9)-(L35-C10)))*(B10-B9)))))))+(IF(AND((L35-C10)&lt;=0,(L35-C11)&lt;=0),0,IF(AND((L35-C10)&gt;=0,(L35-C11)&gt;=0),0.5*((L35-C10)+(L35-C11))*ABS(B11-B10),IF((L35-C10)&gt;0,0.5*(L35-C10)*ABS((B10+((L35-C10)/((L35-C10)-(L35-C11)))*(B11-B10))-B10),0.5*(L35-C11)*ABS(B11-(B10+((L35-C10)/((L35-C10)-(L35-C11)))*(B11-B10)))))))+(IF(AND((L35-C11)&lt;=0,(L35-C12)&lt;=0),0,IF(AND((L35-C11)&gt;=0,(L35-C12)&gt;=0),0.5*((L35-C11)+(L35-C12))*ABS(B12-B11),IF((L35-C11)&gt;0,0.5*(L35-C11)*ABS((B11+((L35-C11)/((L35-C11)-(L35-C12)))*(B12-B11))-B11),0.5*(L35-C12)*ABS(B12-(B11+((L35-C11)/((L35-C11)-(L35-C12)))*(B12-B11)))))))+(IF(AND((L35-C12)&lt;=0,(L35-C13)&lt;=0),0,IF(AND((L35-C12)&gt;=0,(L35-C13)&gt;=0),0.5*((L35-C12)+(L35-C13))*ABS(B13-B12),IF((L35-C12)&gt;0,0.5*(L35-C12)*ABS((B12+((L35-C12)/((L35-C12)-(L35-C13)))*(B13-B12))-B12),0.5*(L35-C13)*ABS(B13-(B12+((L35-C12)/((L35-C12)-(L35-C13)))*(B13-B12)))))))+(IF(AND((L35-C13)&lt;=0,(L35-C14)&lt;=0),0,IF(AND((L35-C13)&gt;=0,(L35-C14)&gt;=0),0.5*((L35-C13)+(L35-C14))*ABS(B14-B13),IF((L35-C13)&gt;0,0.5*(L35-C13)*ABS((B13+((L35-C13)/((L35-C13)-(L35-C14)))*(B14-B13))-B13),0.5*(L35-C14)*ABS(B14-(B13+((L35-C13)/((L35-C13)-(L35-C14)))*(B14-B13)))))))+(IF(AND((L35-C14)&lt;=0,(L35-C15)&lt;=0),0,IF(AND((L35-C14)&gt;=0,(L35-C15)&gt;=0),0.5*((L35-C14)+(L35-C15))*ABS(B15-B14),IF((L35-C14)&gt;0,0.5*(L35-C14)*ABS((B14+((L35-C14)/((L35-C14)-(L35-C15)))*(B15-B14))-B14),0.5*(L35-C15)*ABS(B15-(B14+((L35-C14)/((L35-C14)-(L35-C15)))*(B15-B14)))))))+(IF(AND((L35-C15)&lt;=0,(L35-C16)&lt;=0),0,IF(AND((L35-C15)&gt;=0,(L35-C16)&gt;=0),0.5*((L35-C15)+(L35-C16))*ABS(B16-B15),IF((L35-C15)&gt;0,0.5*(L35-C15)*ABS((B15+((L35-C15)/((L35-C15)-(L35-C16)))*(B16-B15))-B15),0.5*(L35-C16)*ABS(B16-(B15+((L35-C15)/((L35-C15)-(L35-C16)))*(B16-B15)))))))+(IF(AND((L35-C16)&lt;=0,(L35-C17)&lt;=0),0,IF(AND((L35-C16)&gt;=0,(L35-C17)&gt;=0),0.5*((L35-C16)+(L35-C17))*ABS(B17-B16),IF((L35-C16)&gt;0,0.5*(L35-C16)*ABS((B16+((L35-C16)/((L35-C16)-(L35-C17)))*(B17-B16))-B16),0.5*(L35-C17)*ABS(B17-(B16+((L35-C16)/((L35-C16)-(L35-C17)))*(B17-B16)))))))</f>
        <v/>
      </c>
      <c r="N35">
        <f>(IF(AND((L35-C9)&lt;=0,(L35-C10)&lt;=0),0,IF(AND((L35-C9)&gt;=0,(L35-C10)&gt;=0),SQRT((B10-B9)^2+(C10-C9)^2),IF((L35-C9)&gt;0,SQRT(((B9+((L35-C9)/((L35-C9)-(L35-C10)))*(B10-B9))-B9)^2+(L35-C9)^2),SQRT((B10-(B9+((L35-C9)/((L35-C9)-(L35-C10)))*(B10-B9)))^2+(L35-C10)^2)))))+(IF(AND((L35-C10)&lt;=0,(L35-C11)&lt;=0),0,IF(AND((L35-C10)&gt;=0,(L35-C11)&gt;=0),SQRT((B11-B10)^2+(C11-C10)^2),IF((L35-C10)&gt;0,SQRT(((B10+((L35-C10)/((L35-C10)-(L35-C11)))*(B11-B10))-B10)^2+(L35-C10)^2),SQRT((B11-(B10+((L35-C10)/((L35-C10)-(L35-C11)))*(B11-B10)))^2+(L35-C11)^2)))))+(IF(AND((L35-C11)&lt;=0,(L35-C12)&lt;=0),0,IF(AND((L35-C11)&gt;=0,(L35-C12)&gt;=0),SQRT((B12-B11)^2+(C12-C11)^2),IF((L35-C11)&gt;0,SQRT(((B11+((L35-C11)/((L35-C11)-(L35-C12)))*(B12-B11))-B11)^2+(L35-C11)^2),SQRT((B12-(B11+((L35-C11)/((L35-C11)-(L35-C12)))*(B12-B11)))^2+(L35-C12)^2)))))+(IF(AND((L35-C12)&lt;=0,(L35-C13)&lt;=0),0,IF(AND((L35-C12)&gt;=0,(L35-C13)&gt;=0),SQRT((B13-B12)^2+(C13-C12)^2),IF((L35-C12)&gt;0,SQRT(((B12+((L35-C12)/((L35-C12)-(L35-C13)))*(B13-B12))-B12)^2+(L35-C12)^2),SQRT((B13-(B12+((L35-C12)/((L35-C12)-(L35-C13)))*(B13-B12)))^2+(L35-C13)^2)))))+(IF(AND((L35-C13)&lt;=0,(L35-C14)&lt;=0),0,IF(AND((L35-C13)&gt;=0,(L35-C14)&gt;=0),SQRT((B14-B13)^2+(C14-C13)^2),IF((L35-C13)&gt;0,SQRT(((B13+((L35-C13)/((L35-C13)-(L35-C14)))*(B14-B13))-B13)^2+(L35-C13)^2),SQRT((B14-(B13+((L35-C13)/((L35-C13)-(L35-C14)))*(B14-B13)))^2+(L35-C14)^2)))))+(IF(AND((L35-C14)&lt;=0,(L35-C15)&lt;=0),0,IF(AND((L35-C14)&gt;=0,(L35-C15)&gt;=0),SQRT((B15-B14)^2+(C15-C14)^2),IF((L35-C14)&gt;0,SQRT(((B14+((L35-C14)/((L35-C14)-(L35-C15)))*(B15-B14))-B14)^2+(L35-C14)^2),SQRT((B15-(B14+((L35-C14)/((L35-C14)-(L35-C15)))*(B15-B14)))^2+(L35-C15)^2)))))+(IF(AND((L35-C15)&lt;=0,(L35-C16)&lt;=0),0,IF(AND((L35-C15)&gt;=0,(L35-C16)&gt;=0),SQRT((B16-B15)^2+(C16-C15)^2),IF((L35-C15)&gt;0,SQRT(((B15+((L35-C15)/((L35-C15)-(L35-C16)))*(B16-B15))-B15)^2+(L35-C15)^2),SQRT((B16-(B15+((L35-C15)/((L35-C15)-(L35-C16)))*(B16-B15)))^2+(L35-C16)^2)))))+(IF(AND((L35-C16)&lt;=0,(L35-C17)&lt;=0),0,IF(AND((L35-C16)&gt;=0,(L35-C17)&gt;=0),SQRT((B17-B16)^2+(C17-C16)^2),IF((L35-C16)&gt;0,SQRT(((B16+((L35-C16)/((L35-C16)-(L35-C17)))*(B17-B16))-B16)^2+(L35-C16)^2),SQRT((B17-(B16+((L35-C16)/((L35-C16)-(L35-C17)))*(B17-B16)))^2+(L35-C17)^2)))))</f>
        <v/>
      </c>
      <c r="O35">
        <f>IF(OR($B$6&lt;=0,M35&lt;=0,N35&lt;=0,$B$4&lt;=0),0,(1/$B$6)*M35*((M35/N35)^(2/3))*SQRT($B$4))</f>
        <v/>
      </c>
    </row>
    <row r="36">
      <c r="I36" t="n">
        <v>28</v>
      </c>
      <c r="J36">
        <f>IF(O35&lt;$B$5,L35,J35)</f>
        <v/>
      </c>
      <c r="K36">
        <f>IF(O35&lt;$B$5,K35,L35)</f>
        <v/>
      </c>
      <c r="L36">
        <f>(J36+K36)/2</f>
        <v/>
      </c>
      <c r="M36">
        <f>(IF(AND((L36-C9)&lt;=0,(L36-C10)&lt;=0),0,IF(AND((L36-C9)&gt;=0,(L36-C10)&gt;=0),0.5*((L36-C9)+(L36-C10))*ABS(B10-B9),IF((L36-C9)&gt;0,0.5*(L36-C9)*ABS((B9+((L36-C9)/((L36-C9)-(L36-C10)))*(B10-B9))-B9),0.5*(L36-C10)*ABS(B10-(B9+((L36-C9)/((L36-C9)-(L36-C10)))*(B10-B9)))))))+(IF(AND((L36-C10)&lt;=0,(L36-C11)&lt;=0),0,IF(AND((L36-C10)&gt;=0,(L36-C11)&gt;=0),0.5*((L36-C10)+(L36-C11))*ABS(B11-B10),IF((L36-C10)&gt;0,0.5*(L36-C10)*ABS((B10+((L36-C10)/((L36-C10)-(L36-C11)))*(B11-B10))-B10),0.5*(L36-C11)*ABS(B11-(B10+((L36-C10)/((L36-C10)-(L36-C11)))*(B11-B10)))))))+(IF(AND((L36-C11)&lt;=0,(L36-C12)&lt;=0),0,IF(AND((L36-C11)&gt;=0,(L36-C12)&gt;=0),0.5*((L36-C11)+(L36-C12))*ABS(B12-B11),IF((L36-C11)&gt;0,0.5*(L36-C11)*ABS((B11+((L36-C11)/((L36-C11)-(L36-C12)))*(B12-B11))-B11),0.5*(L36-C12)*ABS(B12-(B11+((L36-C11)/((L36-C11)-(L36-C12)))*(B12-B11)))))))+(IF(AND((L36-C12)&lt;=0,(L36-C13)&lt;=0),0,IF(AND((L36-C12)&gt;=0,(L36-C13)&gt;=0),0.5*((L36-C12)+(L36-C13))*ABS(B13-B12),IF((L36-C12)&gt;0,0.5*(L36-C12)*ABS((B12+((L36-C12)/((L36-C12)-(L36-C13)))*(B13-B12))-B12),0.5*(L36-C13)*ABS(B13-(B12+((L36-C12)/((L36-C12)-(L36-C13)))*(B13-B12)))))))+(IF(AND((L36-C13)&lt;=0,(L36-C14)&lt;=0),0,IF(AND((L36-C13)&gt;=0,(L36-C14)&gt;=0),0.5*((L36-C13)+(L36-C14))*ABS(B14-B13),IF((L36-C13)&gt;0,0.5*(L36-C13)*ABS((B13+((L36-C13)/((L36-C13)-(L36-C14)))*(B14-B13))-B13),0.5*(L36-C14)*ABS(B14-(B13+((L36-C13)/((L36-C13)-(L36-C14)))*(B14-B13)))))))+(IF(AND((L36-C14)&lt;=0,(L36-C15)&lt;=0),0,IF(AND((L36-C14)&gt;=0,(L36-C15)&gt;=0),0.5*((L36-C14)+(L36-C15))*ABS(B15-B14),IF((L36-C14)&gt;0,0.5*(L36-C14)*ABS((B14+((L36-C14)/((L36-C14)-(L36-C15)))*(B15-B14))-B14),0.5*(L36-C15)*ABS(B15-(B14+((L36-C14)/((L36-C14)-(L36-C15)))*(B15-B14)))))))+(IF(AND((L36-C15)&lt;=0,(L36-C16)&lt;=0),0,IF(AND((L36-C15)&gt;=0,(L36-C16)&gt;=0),0.5*((L36-C15)+(L36-C16))*ABS(B16-B15),IF((L36-C15)&gt;0,0.5*(L36-C15)*ABS((B15+((L36-C15)/((L36-C15)-(L36-C16)))*(B16-B15))-B15),0.5*(L36-C16)*ABS(B16-(B15+((L36-C15)/((L36-C15)-(L36-C16)))*(B16-B15)))))))+(IF(AND((L36-C16)&lt;=0,(L36-C17)&lt;=0),0,IF(AND((L36-C16)&gt;=0,(L36-C17)&gt;=0),0.5*((L36-C16)+(L36-C17))*ABS(B17-B16),IF((L36-C16)&gt;0,0.5*(L36-C16)*ABS((B16+((L36-C16)/((L36-C16)-(L36-C17)))*(B17-B16))-B16),0.5*(L36-C17)*ABS(B17-(B16+((L36-C16)/((L36-C16)-(L36-C17)))*(B17-B16)))))))</f>
        <v/>
      </c>
      <c r="N36">
        <f>(IF(AND((L36-C9)&lt;=0,(L36-C10)&lt;=0),0,IF(AND((L36-C9)&gt;=0,(L36-C10)&gt;=0),SQRT((B10-B9)^2+(C10-C9)^2),IF((L36-C9)&gt;0,SQRT(((B9+((L36-C9)/((L36-C9)-(L36-C10)))*(B10-B9))-B9)^2+(L36-C9)^2),SQRT((B10-(B9+((L36-C9)/((L36-C9)-(L36-C10)))*(B10-B9)))^2+(L36-C10)^2)))))+(IF(AND((L36-C10)&lt;=0,(L36-C11)&lt;=0),0,IF(AND((L36-C10)&gt;=0,(L36-C11)&gt;=0),SQRT((B11-B10)^2+(C11-C10)^2),IF((L36-C10)&gt;0,SQRT(((B10+((L36-C10)/((L36-C10)-(L36-C11)))*(B11-B10))-B10)^2+(L36-C10)^2),SQRT((B11-(B10+((L36-C10)/((L36-C10)-(L36-C11)))*(B11-B10)))^2+(L36-C11)^2)))))+(IF(AND((L36-C11)&lt;=0,(L36-C12)&lt;=0),0,IF(AND((L36-C11)&gt;=0,(L36-C12)&gt;=0),SQRT((B12-B11)^2+(C12-C11)^2),IF((L36-C11)&gt;0,SQRT(((B11+((L36-C11)/((L36-C11)-(L36-C12)))*(B12-B11))-B11)^2+(L36-C11)^2),SQRT((B12-(B11+((L36-C11)/((L36-C11)-(L36-C12)))*(B12-B11)))^2+(L36-C12)^2)))))+(IF(AND((L36-C12)&lt;=0,(L36-C13)&lt;=0),0,IF(AND((L36-C12)&gt;=0,(L36-C13)&gt;=0),SQRT((B13-B12)^2+(C13-C12)^2),IF((L36-C12)&gt;0,SQRT(((B12+((L36-C12)/((L36-C12)-(L36-C13)))*(B13-B12))-B12)^2+(L36-C12)^2),SQRT((B13-(B12+((L36-C12)/((L36-C12)-(L36-C13)))*(B13-B12)))^2+(L36-C13)^2)))))+(IF(AND((L36-C13)&lt;=0,(L36-C14)&lt;=0),0,IF(AND((L36-C13)&gt;=0,(L36-C14)&gt;=0),SQRT((B14-B13)^2+(C14-C13)^2),IF((L36-C13)&gt;0,SQRT(((B13+((L36-C13)/((L36-C13)-(L36-C14)))*(B14-B13))-B13)^2+(L36-C13)^2),SQRT((B14-(B13+((L36-C13)/((L36-C13)-(L36-C14)))*(B14-B13)))^2+(L36-C14)^2)))))+(IF(AND((L36-C14)&lt;=0,(L36-C15)&lt;=0),0,IF(AND((L36-C14)&gt;=0,(L36-C15)&gt;=0),SQRT((B15-B14)^2+(C15-C14)^2),IF((L36-C14)&gt;0,SQRT(((B14+((L36-C14)/((L36-C14)-(L36-C15)))*(B15-B14))-B14)^2+(L36-C14)^2),SQRT((B15-(B14+((L36-C14)/((L36-C14)-(L36-C15)))*(B15-B14)))^2+(L36-C15)^2)))))+(IF(AND((L36-C15)&lt;=0,(L36-C16)&lt;=0),0,IF(AND((L36-C15)&gt;=0,(L36-C16)&gt;=0),SQRT((B16-B15)^2+(C16-C15)^2),IF((L36-C15)&gt;0,SQRT(((B15+((L36-C15)/((L36-C15)-(L36-C16)))*(B16-B15))-B15)^2+(L36-C15)^2),SQRT((B16-(B15+((L36-C15)/((L36-C15)-(L36-C16)))*(B16-B15)))^2+(L36-C16)^2)))))+(IF(AND((L36-C16)&lt;=0,(L36-C17)&lt;=0),0,IF(AND((L36-C16)&gt;=0,(L36-C17)&gt;=0),SQRT((B17-B16)^2+(C17-C16)^2),IF((L36-C16)&gt;0,SQRT(((B16+((L36-C16)/((L36-C16)-(L36-C17)))*(B17-B16))-B16)^2+(L36-C16)^2),SQRT((B17-(B16+((L36-C16)/((L36-C16)-(L36-C17)))*(B17-B16)))^2+(L36-C17)^2)))))</f>
        <v/>
      </c>
      <c r="O36">
        <f>IF(OR($B$6&lt;=0,M36&lt;=0,N36&lt;=0,$B$4&lt;=0),0,(1/$B$6)*M36*((M36/N36)^(2/3))*SQRT($B$4))</f>
        <v/>
      </c>
    </row>
    <row r="37">
      <c r="I37" t="n">
        <v>29</v>
      </c>
      <c r="J37">
        <f>IF(O36&lt;$B$5,L36,J36)</f>
        <v/>
      </c>
      <c r="K37">
        <f>IF(O36&lt;$B$5,K36,L36)</f>
        <v/>
      </c>
      <c r="L37">
        <f>(J37+K37)/2</f>
        <v/>
      </c>
      <c r="M37">
        <f>(IF(AND((L37-C9)&lt;=0,(L37-C10)&lt;=0),0,IF(AND((L37-C9)&gt;=0,(L37-C10)&gt;=0),0.5*((L37-C9)+(L37-C10))*ABS(B10-B9),IF((L37-C9)&gt;0,0.5*(L37-C9)*ABS((B9+((L37-C9)/((L37-C9)-(L37-C10)))*(B10-B9))-B9),0.5*(L37-C10)*ABS(B10-(B9+((L37-C9)/((L37-C9)-(L37-C10)))*(B10-B9)))))))+(IF(AND((L37-C10)&lt;=0,(L37-C11)&lt;=0),0,IF(AND((L37-C10)&gt;=0,(L37-C11)&gt;=0),0.5*((L37-C10)+(L37-C11))*ABS(B11-B10),IF((L37-C10)&gt;0,0.5*(L37-C10)*ABS((B10+((L37-C10)/((L37-C10)-(L37-C11)))*(B11-B10))-B10),0.5*(L37-C11)*ABS(B11-(B10+((L37-C10)/((L37-C10)-(L37-C11)))*(B11-B10)))))))+(IF(AND((L37-C11)&lt;=0,(L37-C12)&lt;=0),0,IF(AND((L37-C11)&gt;=0,(L37-C12)&gt;=0),0.5*((L37-C11)+(L37-C12))*ABS(B12-B11),IF((L37-C11)&gt;0,0.5*(L37-C11)*ABS((B11+((L37-C11)/((L37-C11)-(L37-C12)))*(B12-B11))-B11),0.5*(L37-C12)*ABS(B12-(B11+((L37-C11)/((L37-C11)-(L37-C12)))*(B12-B11)))))))+(IF(AND((L37-C12)&lt;=0,(L37-C13)&lt;=0),0,IF(AND((L37-C12)&gt;=0,(L37-C13)&gt;=0),0.5*((L37-C12)+(L37-C13))*ABS(B13-B12),IF((L37-C12)&gt;0,0.5*(L37-C12)*ABS((B12+((L37-C12)/((L37-C12)-(L37-C13)))*(B13-B12))-B12),0.5*(L37-C13)*ABS(B13-(B12+((L37-C12)/((L37-C12)-(L37-C13)))*(B13-B12)))))))+(IF(AND((L37-C13)&lt;=0,(L37-C14)&lt;=0),0,IF(AND((L37-C13)&gt;=0,(L37-C14)&gt;=0),0.5*((L37-C13)+(L37-C14))*ABS(B14-B13),IF((L37-C13)&gt;0,0.5*(L37-C13)*ABS((B13+((L37-C13)/((L37-C13)-(L37-C14)))*(B14-B13))-B13),0.5*(L37-C14)*ABS(B14-(B13+((L37-C13)/((L37-C13)-(L37-C14)))*(B14-B13)))))))+(IF(AND((L37-C14)&lt;=0,(L37-C15)&lt;=0),0,IF(AND((L37-C14)&gt;=0,(L37-C15)&gt;=0),0.5*((L37-C14)+(L37-C15))*ABS(B15-B14),IF((L37-C14)&gt;0,0.5*(L37-C14)*ABS((B14+((L37-C14)/((L37-C14)-(L37-C15)))*(B15-B14))-B14),0.5*(L37-C15)*ABS(B15-(B14+((L37-C14)/((L37-C14)-(L37-C15)))*(B15-B14)))))))+(IF(AND((L37-C15)&lt;=0,(L37-C16)&lt;=0),0,IF(AND((L37-C15)&gt;=0,(L37-C16)&gt;=0),0.5*((L37-C15)+(L37-C16))*ABS(B16-B15),IF((L37-C15)&gt;0,0.5*(L37-C15)*ABS((B15+((L37-C15)/((L37-C15)-(L37-C16)))*(B16-B15))-B15),0.5*(L37-C16)*ABS(B16-(B15+((L37-C15)/((L37-C15)-(L37-C16)))*(B16-B15)))))))+(IF(AND((L37-C16)&lt;=0,(L37-C17)&lt;=0),0,IF(AND((L37-C16)&gt;=0,(L37-C17)&gt;=0),0.5*((L37-C16)+(L37-C17))*ABS(B17-B16),IF((L37-C16)&gt;0,0.5*(L37-C16)*ABS((B16+((L37-C16)/((L37-C16)-(L37-C17)))*(B17-B16))-B16),0.5*(L37-C17)*ABS(B17-(B16+((L37-C16)/((L37-C16)-(L37-C17)))*(B17-B16)))))))</f>
        <v/>
      </c>
      <c r="N37">
        <f>(IF(AND((L37-C9)&lt;=0,(L37-C10)&lt;=0),0,IF(AND((L37-C9)&gt;=0,(L37-C10)&gt;=0),SQRT((B10-B9)^2+(C10-C9)^2),IF((L37-C9)&gt;0,SQRT(((B9+((L37-C9)/((L37-C9)-(L37-C10)))*(B10-B9))-B9)^2+(L37-C9)^2),SQRT((B10-(B9+((L37-C9)/((L37-C9)-(L37-C10)))*(B10-B9)))^2+(L37-C10)^2)))))+(IF(AND((L37-C10)&lt;=0,(L37-C11)&lt;=0),0,IF(AND((L37-C10)&gt;=0,(L37-C11)&gt;=0),SQRT((B11-B10)^2+(C11-C10)^2),IF((L37-C10)&gt;0,SQRT(((B10+((L37-C10)/((L37-C10)-(L37-C11)))*(B11-B10))-B10)^2+(L37-C10)^2),SQRT((B11-(B10+((L37-C10)/((L37-C10)-(L37-C11)))*(B11-B10)))^2+(L37-C11)^2)))))+(IF(AND((L37-C11)&lt;=0,(L37-C12)&lt;=0),0,IF(AND((L37-C11)&gt;=0,(L37-C12)&gt;=0),SQRT((B12-B11)^2+(C12-C11)^2),IF((L37-C11)&gt;0,SQRT(((B11+((L37-C11)/((L37-C11)-(L37-C12)))*(B12-B11))-B11)^2+(L37-C11)^2),SQRT((B12-(B11+((L37-C11)/((L37-C11)-(L37-C12)))*(B12-B11)))^2+(L37-C12)^2)))))+(IF(AND((L37-C12)&lt;=0,(L37-C13)&lt;=0),0,IF(AND((L37-C12)&gt;=0,(L37-C13)&gt;=0),SQRT((B13-B12)^2+(C13-C12)^2),IF((L37-C12)&gt;0,SQRT(((B12+((L37-C12)/((L37-C12)-(L37-C13)))*(B13-B12))-B12)^2+(L37-C12)^2),SQRT((B13-(B12+((L37-C12)/((L37-C12)-(L37-C13)))*(B13-B12)))^2+(L37-C13)^2)))))+(IF(AND((L37-C13)&lt;=0,(L37-C14)&lt;=0),0,IF(AND((L37-C13)&gt;=0,(L37-C14)&gt;=0),SQRT((B14-B13)^2+(C14-C13)^2),IF((L37-C13)&gt;0,SQRT(((B13+((L37-C13)/((L37-C13)-(L37-C14)))*(B14-B13))-B13)^2+(L37-C13)^2),SQRT((B14-(B13+((L37-C13)/((L37-C13)-(L37-C14)))*(B14-B13)))^2+(L37-C14)^2)))))+(IF(AND((L37-C14)&lt;=0,(L37-C15)&lt;=0),0,IF(AND((L37-C14)&gt;=0,(L37-C15)&gt;=0),SQRT((B15-B14)^2+(C15-C14)^2),IF((L37-C14)&gt;0,SQRT(((B14+((L37-C14)/((L37-C14)-(L37-C15)))*(B15-B14))-B14)^2+(L37-C14)^2),SQRT((B15-(B14+((L37-C14)/((L37-C14)-(L37-C15)))*(B15-B14)))^2+(L37-C15)^2)))))+(IF(AND((L37-C15)&lt;=0,(L37-C16)&lt;=0),0,IF(AND((L37-C15)&gt;=0,(L37-C16)&gt;=0),SQRT((B16-B15)^2+(C16-C15)^2),IF((L37-C15)&gt;0,SQRT(((B15+((L37-C15)/((L37-C15)-(L37-C16)))*(B16-B15))-B15)^2+(L37-C15)^2),SQRT((B16-(B15+((L37-C15)/((L37-C15)-(L37-C16)))*(B16-B15)))^2+(L37-C16)^2)))))+(IF(AND((L37-C16)&lt;=0,(L37-C17)&lt;=0),0,IF(AND((L37-C16)&gt;=0,(L37-C17)&gt;=0),SQRT((B17-B16)^2+(C17-C16)^2),IF((L37-C16)&gt;0,SQRT(((B16+((L37-C16)/((L37-C16)-(L37-C17)))*(B17-B16))-B16)^2+(L37-C16)^2),SQRT((B17-(B16+((L37-C16)/((L37-C16)-(L37-C17)))*(B17-B16)))^2+(L37-C17)^2)))))</f>
        <v/>
      </c>
      <c r="O37">
        <f>IF(OR($B$6&lt;=0,M37&lt;=0,N37&lt;=0,$B$4&lt;=0),0,(1/$B$6)*M37*((M37/N37)^(2/3))*SQRT($B$4))</f>
        <v/>
      </c>
    </row>
    <row r="38">
      <c r="I38" t="n">
        <v>30</v>
      </c>
      <c r="J38">
        <f>IF(O37&lt;$B$5,L37,J37)</f>
        <v/>
      </c>
      <c r="K38">
        <f>IF(O37&lt;$B$5,K37,L37)</f>
        <v/>
      </c>
      <c r="L38">
        <f>(J38+K38)/2</f>
        <v/>
      </c>
      <c r="M38">
        <f>(IF(AND((L38-C9)&lt;=0,(L38-C10)&lt;=0),0,IF(AND((L38-C9)&gt;=0,(L38-C10)&gt;=0),0.5*((L38-C9)+(L38-C10))*ABS(B10-B9),IF((L38-C9)&gt;0,0.5*(L38-C9)*ABS((B9+((L38-C9)/((L38-C9)-(L38-C10)))*(B10-B9))-B9),0.5*(L38-C10)*ABS(B10-(B9+((L38-C9)/((L38-C9)-(L38-C10)))*(B10-B9)))))))+(IF(AND((L38-C10)&lt;=0,(L38-C11)&lt;=0),0,IF(AND((L38-C10)&gt;=0,(L38-C11)&gt;=0),0.5*((L38-C10)+(L38-C11))*ABS(B11-B10),IF((L38-C10)&gt;0,0.5*(L38-C10)*ABS((B10+((L38-C10)/((L38-C10)-(L38-C11)))*(B11-B10))-B10),0.5*(L38-C11)*ABS(B11-(B10+((L38-C10)/((L38-C10)-(L38-C11)))*(B11-B10)))))))+(IF(AND((L38-C11)&lt;=0,(L38-C12)&lt;=0),0,IF(AND((L38-C11)&gt;=0,(L38-C12)&gt;=0),0.5*((L38-C11)+(L38-C12))*ABS(B12-B11),IF((L38-C11)&gt;0,0.5*(L38-C11)*ABS((B11+((L38-C11)/((L38-C11)-(L38-C12)))*(B12-B11))-B11),0.5*(L38-C12)*ABS(B12-(B11+((L38-C11)/((L38-C11)-(L38-C12)))*(B12-B11)))))))+(IF(AND((L38-C12)&lt;=0,(L38-C13)&lt;=0),0,IF(AND((L38-C12)&gt;=0,(L38-C13)&gt;=0),0.5*((L38-C12)+(L38-C13))*ABS(B13-B12),IF((L38-C12)&gt;0,0.5*(L38-C12)*ABS((B12+((L38-C12)/((L38-C12)-(L38-C13)))*(B13-B12))-B12),0.5*(L38-C13)*ABS(B13-(B12+((L38-C12)/((L38-C12)-(L38-C13)))*(B13-B12)))))))+(IF(AND((L38-C13)&lt;=0,(L38-C14)&lt;=0),0,IF(AND((L38-C13)&gt;=0,(L38-C14)&gt;=0),0.5*((L38-C13)+(L38-C14))*ABS(B14-B13),IF((L38-C13)&gt;0,0.5*(L38-C13)*ABS((B13+((L38-C13)/((L38-C13)-(L38-C14)))*(B14-B13))-B13),0.5*(L38-C14)*ABS(B14-(B13+((L38-C13)/((L38-C13)-(L38-C14)))*(B14-B13)))))))+(IF(AND((L38-C14)&lt;=0,(L38-C15)&lt;=0),0,IF(AND((L38-C14)&gt;=0,(L38-C15)&gt;=0),0.5*((L38-C14)+(L38-C15))*ABS(B15-B14),IF((L38-C14)&gt;0,0.5*(L38-C14)*ABS((B14+((L38-C14)/((L38-C14)-(L38-C15)))*(B15-B14))-B14),0.5*(L38-C15)*ABS(B15-(B14+((L38-C14)/((L38-C14)-(L38-C15)))*(B15-B14)))))))+(IF(AND((L38-C15)&lt;=0,(L38-C16)&lt;=0),0,IF(AND((L38-C15)&gt;=0,(L38-C16)&gt;=0),0.5*((L38-C15)+(L38-C16))*ABS(B16-B15),IF((L38-C15)&gt;0,0.5*(L38-C15)*ABS((B15+((L38-C15)/((L38-C15)-(L38-C16)))*(B16-B15))-B15),0.5*(L38-C16)*ABS(B16-(B15+((L38-C15)/((L38-C15)-(L38-C16)))*(B16-B15)))))))+(IF(AND((L38-C16)&lt;=0,(L38-C17)&lt;=0),0,IF(AND((L38-C16)&gt;=0,(L38-C17)&gt;=0),0.5*((L38-C16)+(L38-C17))*ABS(B17-B16),IF((L38-C16)&gt;0,0.5*(L38-C16)*ABS((B16+((L38-C16)/((L38-C16)-(L38-C17)))*(B17-B16))-B16),0.5*(L38-C17)*ABS(B17-(B16+((L38-C16)/((L38-C16)-(L38-C17)))*(B17-B16)))))))</f>
        <v/>
      </c>
      <c r="N38">
        <f>(IF(AND((L38-C9)&lt;=0,(L38-C10)&lt;=0),0,IF(AND((L38-C9)&gt;=0,(L38-C10)&gt;=0),SQRT((B10-B9)^2+(C10-C9)^2),IF((L38-C9)&gt;0,SQRT(((B9+((L38-C9)/((L38-C9)-(L38-C10)))*(B10-B9))-B9)^2+(L38-C9)^2),SQRT((B10-(B9+((L38-C9)/((L38-C9)-(L38-C10)))*(B10-B9)))^2+(L38-C10)^2)))))+(IF(AND((L38-C10)&lt;=0,(L38-C11)&lt;=0),0,IF(AND((L38-C10)&gt;=0,(L38-C11)&gt;=0),SQRT((B11-B10)^2+(C11-C10)^2),IF((L38-C10)&gt;0,SQRT(((B10+((L38-C10)/((L38-C10)-(L38-C11)))*(B11-B10))-B10)^2+(L38-C10)^2),SQRT((B11-(B10+((L38-C10)/((L38-C10)-(L38-C11)))*(B11-B10)))^2+(L38-C11)^2)))))+(IF(AND((L38-C11)&lt;=0,(L38-C12)&lt;=0),0,IF(AND((L38-C11)&gt;=0,(L38-C12)&gt;=0),SQRT((B12-B11)^2+(C12-C11)^2),IF((L38-C11)&gt;0,SQRT(((B11+((L38-C11)/((L38-C11)-(L38-C12)))*(B12-B11))-B11)^2+(L38-C11)^2),SQRT((B12-(B11+((L38-C11)/((L38-C11)-(L38-C12)))*(B12-B11)))^2+(L38-C12)^2)))))+(IF(AND((L38-C12)&lt;=0,(L38-C13)&lt;=0),0,IF(AND((L38-C12)&gt;=0,(L38-C13)&gt;=0),SQRT((B13-B12)^2+(C13-C12)^2),IF((L38-C12)&gt;0,SQRT(((B12+((L38-C12)/((L38-C12)-(L38-C13)))*(B13-B12))-B12)^2+(L38-C12)^2),SQRT((B13-(B12+((L38-C12)/((L38-C12)-(L38-C13)))*(B13-B12)))^2+(L38-C13)^2)))))+(IF(AND((L38-C13)&lt;=0,(L38-C14)&lt;=0),0,IF(AND((L38-C13)&gt;=0,(L38-C14)&gt;=0),SQRT((B14-B13)^2+(C14-C13)^2),IF((L38-C13)&gt;0,SQRT(((B13+((L38-C13)/((L38-C13)-(L38-C14)))*(B14-B13))-B13)^2+(L38-C13)^2),SQRT((B14-(B13+((L38-C13)/((L38-C13)-(L38-C14)))*(B14-B13)))^2+(L38-C14)^2)))))+(IF(AND((L38-C14)&lt;=0,(L38-C15)&lt;=0),0,IF(AND((L38-C14)&gt;=0,(L38-C15)&gt;=0),SQRT((B15-B14)^2+(C15-C14)^2),IF((L38-C14)&gt;0,SQRT(((B14+((L38-C14)/((L38-C14)-(L38-C15)))*(B15-B14))-B14)^2+(L38-C14)^2),SQRT((B15-(B14+((L38-C14)/((L38-C14)-(L38-C15)))*(B15-B14)))^2+(L38-C15)^2)))))+(IF(AND((L38-C15)&lt;=0,(L38-C16)&lt;=0),0,IF(AND((L38-C15)&gt;=0,(L38-C16)&gt;=0),SQRT((B16-B15)^2+(C16-C15)^2),IF((L38-C15)&gt;0,SQRT(((B15+((L38-C15)/((L38-C15)-(L38-C16)))*(B16-B15))-B15)^2+(L38-C15)^2),SQRT((B16-(B15+((L38-C15)/((L38-C15)-(L38-C16)))*(B16-B15)))^2+(L38-C16)^2)))))+(IF(AND((L38-C16)&lt;=0,(L38-C17)&lt;=0),0,IF(AND((L38-C16)&gt;=0,(L38-C17)&gt;=0),SQRT((B17-B16)^2+(C17-C16)^2),IF((L38-C16)&gt;0,SQRT(((B16+((L38-C16)/((L38-C16)-(L38-C17)))*(B17-B16))-B16)^2+(L38-C16)^2),SQRT((B17-(B16+((L38-C16)/((L38-C16)-(L38-C17)))*(B17-B16)))^2+(L38-C17)^2)))))</f>
        <v/>
      </c>
      <c r="O38">
        <f>IF(OR($B$6&lt;=0,M38&lt;=0,N38&lt;=0,$B$4&lt;=0),0,(1/$B$6)*M38*((M38/N38)^(2/3))*SQRT($B$4))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2026-08-29T21:00:03Z</dcterms:created>
  <dcterms:modified xsi:type="dcterms:W3CDTF">2026-08-29T21:00:03Z</dcterms:modified>
</cp:coreProperties>
</file>