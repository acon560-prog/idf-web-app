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ats_Q736" sheetId="1" state="visible" r:id="rId1"/>
    <sheet name="Notes_calcul" sheetId="2" state="visible" r:id="rId2"/>
    <sheet name="Methode" sheetId="3" state="visible" r:id="rId3"/>
    <sheet name="Longitudinal" sheetId="4" state="visible" r:id="rId4"/>
    <sheet name="Section_1000" sheetId="5" state="visible" r:id="rId5"/>
    <sheet name="Section_2000" sheetId="6" state="visible" r:id="rId6"/>
    <sheet name="calc_2000" sheetId="7" state="veryHidden" r:id="rId7"/>
    <sheet name="Section_3000" sheetId="8" state="visible" r:id="rId8"/>
    <sheet name="Section_4000" sheetId="9" state="visible" r:id="rId9"/>
    <sheet name="calc_4000" sheetId="10" state="veryHidden" r:id="rId10"/>
    <sheet name="Section_5000" sheetId="11" state="visible" r:id="rId11"/>
    <sheet name="calc_5000" sheetId="12" state="veryHidden" r:id="rId12"/>
    <sheet name="Section_6000" sheetId="13" state="visible" r:id="rId13"/>
    <sheet name="calc_6000" sheetId="14" state="veryHidden" r:id="rId14"/>
    <sheet name="Section_7000" sheetId="15" state="visible" r:id="rId15"/>
    <sheet name="calc_7000" sheetId="16" state="veryHidden" r:id="rId16"/>
    <sheet name="Section_8000" sheetId="17" state="visible" r:id="rId17"/>
    <sheet name="calc_8000" sheetId="18" state="veryHidden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"/>
  </numFmts>
  <fonts count="9">
    <font>
      <name val="Calibri"/>
      <family val="2"/>
      <color theme="1"/>
      <sz val="11"/>
      <scheme val="minor"/>
    </font>
    <font>
      <b val="1"/>
      <sz val="14"/>
    </font>
    <font>
      <i val="1"/>
      <color rgb="0064748B"/>
    </font>
    <font>
      <b val="1"/>
      <color rgb="00FFFFFF"/>
    </font>
    <font>
      <b val="1"/>
    </font>
    <font>
      <b val="1"/>
      <sz val="13"/>
    </font>
    <font>
      <b val="1"/>
      <color rgb="000F5C5C"/>
      <sz val="13"/>
    </font>
    <font>
      <b val="1"/>
      <color rgb="000F5C5C"/>
      <sz val="12"/>
    </font>
    <font>
      <i val="1"/>
      <color rgb="009A3412"/>
    </font>
  </fonts>
  <fills count="6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4" borderId="1" pivotButton="0" quotePrefix="0" xfId="0"/>
    <xf numFmtId="0" fontId="0" fillId="4" borderId="1" pivotButton="0" quotePrefix="0" xfId="0"/>
    <xf numFmtId="165" fontId="0" fillId="0" borderId="1" pivotButton="0" quotePrefix="0" xfId="0"/>
    <xf numFmtId="164" fontId="0" fillId="5" borderId="1" pivotButton="0" quotePrefix="0" xfId="0"/>
    <xf numFmtId="164" fontId="0" fillId="5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165" fontId="0" fillId="4" borderId="0" pivotButton="0" quotePrefix="0" xfId="0"/>
    <xf numFmtId="0" fontId="8" fillId="0" borderId="0" pivotButton="0" quotePrefix="0" xfId="0"/>
    <xf numFmtId="164" fontId="0" fillId="2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42" customWidth="1" min="13" max="13"/>
  </cols>
  <sheetData>
    <row r="1">
      <c r="A1" s="1" t="inlineStr">
        <is>
          <t>Fossé Ste-Thérèse — vitesse aux sections réelles (survey)</t>
        </is>
      </c>
    </row>
    <row r="2">
      <c r="A2" s="2" t="inlineStr">
        <is>
          <t>Q = 7.36 m³/s ; n = 0.035 ; Manning profondeur normale si S0 &gt; 0. Pentes adverses: S0 réel affiché, V non calculée (pas de |S0|).</t>
        </is>
      </c>
    </row>
    <row r="3"/>
    <row r="4">
      <c r="A4" t="inlineStr">
        <is>
          <t>Q (m³/s)</t>
        </is>
      </c>
      <c r="B4" s="3" t="n">
        <v>7.36</v>
      </c>
    </row>
    <row r="5">
      <c r="A5" t="inlineStr">
        <is>
          <t>n Manning</t>
        </is>
      </c>
      <c r="B5" s="3" t="n">
        <v>0.035</v>
      </c>
      <c r="C5" t="inlineStr">
        <is>
          <t>Pour recalculer: éditer build_st_therese_velocity.py puis python build_st_therese_velocity.py</t>
        </is>
      </c>
    </row>
    <row r="6"/>
    <row r="7">
      <c r="A7" s="4" t="inlineStr">
        <is>
          <t>Section</t>
        </is>
      </c>
      <c r="B7" s="4" t="inlineStr">
        <is>
          <t>Station cum. (m)</t>
        </is>
      </c>
      <c r="C7" s="4" t="inlineStr">
        <is>
          <t>S0 réel (signé)</t>
        </is>
      </c>
      <c r="D7" s="4" t="inlineStr">
        <is>
          <t>y (m)</t>
        </is>
      </c>
      <c r="E7" s="4" t="inlineStr">
        <is>
          <t>WSE (m)</t>
        </is>
      </c>
      <c r="F7" s="4" t="inlineStr">
        <is>
          <t>Fond min (m)</t>
        </is>
      </c>
      <c r="G7" s="4" t="inlineStr">
        <is>
          <t>A (m²)</t>
        </is>
      </c>
      <c r="H7" s="4" t="inlineStr">
        <is>
          <t>P (m)</t>
        </is>
      </c>
      <c r="I7" s="4" t="inlineStr">
        <is>
          <t>R (m)</t>
        </is>
      </c>
      <c r="J7" s="4" t="inlineStr">
        <is>
          <t>V (m/s)</t>
        </is>
      </c>
      <c r="K7" s="4" t="inlineStr">
        <is>
          <t>Fr</t>
        </is>
      </c>
      <c r="L7" s="4" t="inlineStr">
        <is>
          <t>OK?</t>
        </is>
      </c>
      <c r="M7" s="4" t="inlineStr">
        <is>
          <t>Note S0 / capacité</t>
        </is>
      </c>
    </row>
    <row r="8">
      <c r="A8" s="5" t="inlineStr">
        <is>
          <t>1+000</t>
        </is>
      </c>
      <c r="B8" s="6" t="n">
        <v>0</v>
      </c>
      <c r="C8" s="7" t="n">
        <v>-0.03175</v>
      </c>
      <c r="D8" s="8" t="n"/>
      <c r="E8" s="8" t="n"/>
      <c r="F8" s="6" t="n">
        <v>34.47</v>
      </c>
      <c r="G8" s="8" t="n"/>
      <c r="H8" s="8" t="n"/>
      <c r="I8" s="8" t="n"/>
      <c r="J8" s="8" t="n"/>
      <c r="K8" s="8" t="n"/>
      <c r="L8" s="5" t="inlineStr">
        <is>
          <t>—</t>
        </is>
      </c>
      <c r="M8" s="5" t="inlineStr">
        <is>
          <t>S0 ≤ 0 — profondeur normale non applicable</t>
        </is>
      </c>
    </row>
    <row r="9">
      <c r="A9" s="5" t="inlineStr">
        <is>
          <t>2+000</t>
        </is>
      </c>
      <c r="B9" s="6" t="n">
        <v>13.783</v>
      </c>
      <c r="C9" s="9" t="n">
        <v>0.02011</v>
      </c>
      <c r="D9" s="6" t="n">
        <v>0.944</v>
      </c>
      <c r="E9" s="6" t="n">
        <v>35.514</v>
      </c>
      <c r="F9" s="6" t="n">
        <v>34.57</v>
      </c>
      <c r="G9" s="6" t="n">
        <v>2.92</v>
      </c>
      <c r="H9" s="6" t="n">
        <v>5.95</v>
      </c>
      <c r="I9" s="6" t="n">
        <v>0.491</v>
      </c>
      <c r="J9" s="10" t="n">
        <v>2.521</v>
      </c>
      <c r="K9" s="5" t="n">
        <v>1.12</v>
      </c>
      <c r="L9" s="5" t="inlineStr">
        <is>
          <t>Oui</t>
        </is>
      </c>
      <c r="M9" s="5" t="inlineStr">
        <is>
          <t>S0 au profil longitudinal</t>
        </is>
      </c>
    </row>
    <row r="10">
      <c r="A10" s="5" t="inlineStr">
        <is>
          <t>3+000</t>
        </is>
      </c>
      <c r="B10" s="6" t="n">
        <v>23.663</v>
      </c>
      <c r="C10" s="7" t="n">
        <v>-0.0025</v>
      </c>
      <c r="D10" s="8" t="n"/>
      <c r="E10" s="8" t="n"/>
      <c r="F10" s="6" t="n">
        <v>34.42</v>
      </c>
      <c r="G10" s="8" t="n"/>
      <c r="H10" s="8" t="n"/>
      <c r="I10" s="8" t="n"/>
      <c r="J10" s="8" t="n"/>
      <c r="K10" s="8" t="n"/>
      <c r="L10" s="5" t="inlineStr">
        <is>
          <t>—</t>
        </is>
      </c>
      <c r="M10" s="5" t="inlineStr">
        <is>
          <t>S0 ≤ 0 — profondeur normale non applicable</t>
        </is>
      </c>
    </row>
    <row r="11">
      <c r="A11" s="5" t="inlineStr">
        <is>
          <t>4+000</t>
        </is>
      </c>
      <c r="B11" s="6" t="n">
        <v>35.641</v>
      </c>
      <c r="C11" s="9" t="n">
        <v>0.02032</v>
      </c>
      <c r="D11" s="6" t="n">
        <v>0.5649999999999999</v>
      </c>
      <c r="E11" s="6" t="n">
        <v>34.995</v>
      </c>
      <c r="F11" s="6" t="n">
        <v>34.43</v>
      </c>
      <c r="G11" s="6" t="n">
        <v>3.294</v>
      </c>
      <c r="H11" s="6" t="n">
        <v>8.105</v>
      </c>
      <c r="I11" s="6" t="n">
        <v>0.406</v>
      </c>
      <c r="J11" s="10" t="n">
        <v>2.235</v>
      </c>
      <c r="K11" s="5" t="n">
        <v>1.1</v>
      </c>
      <c r="L11" s="5" t="inlineStr">
        <is>
          <t>Oui</t>
        </is>
      </c>
      <c r="M11" s="5" t="inlineStr">
        <is>
          <t>S0 au profil longitudinal</t>
        </is>
      </c>
    </row>
    <row r="12">
      <c r="A12" s="5" t="inlineStr">
        <is>
          <t>5+000</t>
        </is>
      </c>
      <c r="B12" s="6" t="n">
        <v>45.838</v>
      </c>
      <c r="C12" s="9" t="n">
        <v>0.0315</v>
      </c>
      <c r="D12" s="6" t="n">
        <v>0.51</v>
      </c>
      <c r="E12" s="6" t="n">
        <v>34.806</v>
      </c>
      <c r="F12" s="6" t="n">
        <v>34.296</v>
      </c>
      <c r="G12" s="6" t="n">
        <v>3.062</v>
      </c>
      <c r="H12" s="6" t="n">
        <v>9.382</v>
      </c>
      <c r="I12" s="6" t="n">
        <v>0.326</v>
      </c>
      <c r="J12" s="10" t="n">
        <v>2.404</v>
      </c>
      <c r="K12" s="5" t="n">
        <v>1.33</v>
      </c>
      <c r="L12" s="5" t="inlineStr">
        <is>
          <t>Oui</t>
        </is>
      </c>
      <c r="M12" s="5" t="inlineStr">
        <is>
          <t>S0 au profil longitudinal</t>
        </is>
      </c>
    </row>
    <row r="13">
      <c r="A13" s="5" t="inlineStr">
        <is>
          <t>6+000</t>
        </is>
      </c>
      <c r="B13" s="6" t="n">
        <v>59.435</v>
      </c>
      <c r="C13" s="9" t="n">
        <v>0.00535</v>
      </c>
      <c r="D13" s="6" t="n">
        <v>0.774</v>
      </c>
      <c r="E13" s="6" t="n">
        <v>34.984</v>
      </c>
      <c r="F13" s="6" t="n">
        <v>34.21</v>
      </c>
      <c r="G13" s="6" t="n">
        <v>6.683</v>
      </c>
      <c r="H13" s="6" t="n">
        <v>17.467</v>
      </c>
      <c r="I13" s="6" t="n">
        <v>0.383</v>
      </c>
      <c r="J13" s="10" t="n">
        <v>1.101</v>
      </c>
      <c r="K13" s="5" t="n">
        <v>0.57</v>
      </c>
      <c r="L13" s="5" t="inlineStr">
        <is>
          <t>Oui</t>
        </is>
      </c>
      <c r="M13" s="5" t="inlineStr">
        <is>
          <t>S0 au profil longitudinal</t>
        </is>
      </c>
    </row>
    <row r="14">
      <c r="A14" s="5" t="inlineStr">
        <is>
          <t>7+000</t>
        </is>
      </c>
      <c r="B14" s="6" t="n">
        <v>71.973</v>
      </c>
      <c r="C14" s="9" t="n">
        <v>0.01742</v>
      </c>
      <c r="D14" s="6" t="n">
        <v>0.465</v>
      </c>
      <c r="E14" s="6" t="n">
        <v>34.521</v>
      </c>
      <c r="F14" s="6" t="n">
        <v>34.056</v>
      </c>
      <c r="G14" s="6" t="n">
        <v>4.892</v>
      </c>
      <c r="H14" s="6" t="n">
        <v>19.417</v>
      </c>
      <c r="I14" s="6" t="n">
        <v>0.252</v>
      </c>
      <c r="J14" s="10" t="n">
        <v>1.504</v>
      </c>
      <c r="K14" s="5" t="n">
        <v>0.95</v>
      </c>
      <c r="L14" s="5" t="inlineStr">
        <is>
          <t>Oui</t>
        </is>
      </c>
      <c r="M14" s="5" t="inlineStr">
        <is>
          <t>S0 au profil longitudinal</t>
        </is>
      </c>
    </row>
    <row r="15">
      <c r="A15" s="5" t="inlineStr">
        <is>
          <t>8+000</t>
        </is>
      </c>
      <c r="B15" s="6" t="n">
        <v>89.361</v>
      </c>
      <c r="C15" s="9" t="n">
        <v>0.00175</v>
      </c>
      <c r="D15" s="6" t="n">
        <v>1.606</v>
      </c>
      <c r="E15" s="6" t="n">
        <v>35.326</v>
      </c>
      <c r="F15" s="6" t="n">
        <v>33.72</v>
      </c>
      <c r="G15" s="6" t="n">
        <v>7.533</v>
      </c>
      <c r="H15" s="6" t="n">
        <v>10.191</v>
      </c>
      <c r="I15" s="6" t="n">
        <v>0.739</v>
      </c>
      <c r="J15" s="10" t="n">
        <v>0.977</v>
      </c>
      <c r="K15" s="5" t="n">
        <v>0.31</v>
      </c>
      <c r="L15" s="5" t="inlineStr">
        <is>
          <t>Oui</t>
        </is>
      </c>
      <c r="M15" s="5" t="inlineStr">
        <is>
          <t>S0 interpolé / station 77.94 m</t>
        </is>
      </c>
    </row>
    <row r="16"/>
    <row r="17">
      <c r="A17" t="inlineStr">
        <is>
          <t>V max</t>
        </is>
      </c>
      <c r="B17" s="11" t="n">
        <v>2.521</v>
      </c>
      <c r="C17" t="inlineStr">
        <is>
          <t>m/s</t>
        </is>
      </c>
    </row>
    <row r="18">
      <c r="A18" t="inlineStr">
        <is>
          <t>V min</t>
        </is>
      </c>
      <c r="B18" s="12" t="n">
        <v>0.977</v>
      </c>
      <c r="C18" t="inlineStr">
        <is>
          <t>m/s</t>
        </is>
      </c>
    </row>
    <row r="19">
      <c r="A19" t="inlineStr">
        <is>
          <t>y max</t>
        </is>
      </c>
      <c r="B19" s="12" t="n">
        <v>1.606</v>
      </c>
      <c r="C19" t="inlineStr">
        <is>
          <t>m</t>
        </is>
      </c>
    </row>
    <row r="20"/>
    <row r="21">
      <c r="A21" s="13" t="inlineStr">
        <is>
          <t>Notes</t>
        </is>
      </c>
    </row>
    <row r="22">
      <c r="A22" t="inlineStr">
        <is>
          <t>• Géométrie : coupes Distance–Élévation du levé.</t>
        </is>
      </c>
    </row>
    <row r="23">
      <c r="A23" t="inlineStr">
        <is>
          <t>• S0 issu du profil longitudinal (valeur signée).</t>
        </is>
      </c>
    </row>
    <row r="24">
      <c r="A24" t="inlineStr">
        <is>
          <t>• S0 ≤ 0 : profondeur normale non applicable (V non calculée).</t>
        </is>
      </c>
    </row>
    <row r="25">
      <c r="A25" t="inlineStr">
        <is>
          <t>• S0 &gt; 0 : Manning, V = Q/A à la profondeur normale.</t>
        </is>
      </c>
    </row>
    <row r="26">
      <c r="A26" t="inlineStr">
        <is>
          <t>• Détail par coupe : onglets Section_* ; hypothèses : Notes_calcul.</t>
        </is>
      </c>
    </row>
    <row r="27">
      <c r="A27" t="inlineStr">
        <is>
          <t>• Orange = pente adverse/nulle ; vert = calcul OK.</t>
        </is>
      </c>
    </row>
  </sheetData>
  <mergeCells count="7">
    <mergeCell ref="A2:L2"/>
    <mergeCell ref="A26:H26"/>
    <mergeCell ref="A25:H25"/>
    <mergeCell ref="A24:H24"/>
    <mergeCell ref="A23:H23"/>
    <mergeCell ref="A27:H27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Notes de calcul — fossé Ste-Thérèse</t>
        </is>
      </c>
    </row>
    <row r="2">
      <c r="A2" t="inlineStr"/>
    </row>
    <row r="3">
      <c r="A3" t="inlineStr">
        <is>
          <t>Hypothèses</t>
        </is>
      </c>
    </row>
    <row r="4">
      <c r="A4" t="inlineStr">
        <is>
          <t xml:space="preserve">  • Régime permanent et uniforme (profondeur normale) lorsque la pente longitudinale S0 est positive.</t>
        </is>
      </c>
    </row>
    <row r="5">
      <c r="A5" t="inlineStr">
        <is>
          <t xml:space="preserve">  • Formule de Manning :  Q = (1/n) · A · R^(2/3) · √S0</t>
        </is>
      </c>
    </row>
    <row r="6">
      <c r="A6" t="inlineStr">
        <is>
          <t xml:space="preserve">  • Vitesse :  V = Q / A</t>
        </is>
      </c>
    </row>
    <row r="7">
      <c r="A7" t="inlineStr">
        <is>
          <t xml:space="preserve">  • Géométrie de chaque coupe : polyligne Distance–Élévation du levé (pas un trapèze forfaitaire).</t>
        </is>
      </c>
    </row>
    <row r="8">
      <c r="A8" t="inlineStr"/>
    </row>
    <row r="9">
      <c r="A9" t="inlineStr">
        <is>
          <t>Aire mouillée A et périmètre P</t>
        </is>
      </c>
    </row>
    <row r="10">
      <c r="A10" t="inlineStr">
        <is>
          <t xml:space="preserve">  Pour une cote d'eau donnée, chaque segment de la coupe est traité comme trapèze (entièrement</t>
        </is>
      </c>
    </row>
    <row r="11">
      <c r="A11" t="inlineStr">
        <is>
          <t xml:space="preserve">  noyé) ou triangle (partiellement noyé). A et P sont les sommes sur tous les segments mouillés.</t>
        </is>
      </c>
    </row>
    <row r="12">
      <c r="A12" t="inlineStr">
        <is>
          <t xml:space="preserve">  R = A / P.</t>
        </is>
      </c>
    </row>
    <row r="13">
      <c r="A13" t="inlineStr"/>
    </row>
    <row r="14">
      <c r="A14" t="inlineStr">
        <is>
          <t>Cote d'eau (profondeur normale)</t>
        </is>
      </c>
    </row>
    <row r="15">
      <c r="A15" t="inlineStr">
        <is>
          <t xml:space="preserve">  La cote est celle qui vérifie Q_Manning = Q de projet pour la coupe, n et S0 donnés.</t>
        </is>
      </c>
    </row>
    <row r="16">
      <c r="A16" t="inlineStr">
        <is>
          <t xml:space="preserve">  Le calcul est intégré dans le classeur (feuilles techniques masquées).</t>
        </is>
      </c>
    </row>
    <row r="17">
      <c r="A17" t="inlineStr"/>
    </row>
    <row r="18">
      <c r="A18" t="inlineStr">
        <is>
          <t>Pente adverse (S0 ≤ 0)</t>
        </is>
      </c>
    </row>
    <row r="19">
      <c r="A19" t="inlineStr">
        <is>
          <t xml:space="preserve">  La profondeur normale n'est pas définie ; S0 est reporté tel quel et V n'est pas calculée.</t>
        </is>
      </c>
    </row>
    <row r="20">
      <c r="A20" t="inlineStr"/>
    </row>
    <row r="21">
      <c r="A21" t="inlineStr">
        <is>
          <t>Entrées (jaune) sur chaque feuille Section_* : débit Q et coefficient 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5" t="inlineStr">
        <is>
          <t>Méthode</t>
        </is>
      </c>
    </row>
    <row r="2">
      <c r="A2" t="inlineStr"/>
    </row>
    <row r="3">
      <c r="A3" t="inlineStr">
        <is>
          <t>Pour chaque section transversale :</t>
        </is>
      </c>
    </row>
    <row r="4">
      <c r="A4" t="inlineStr">
        <is>
          <t xml:space="preserve">  1. S0 au profil longitudinal (station de la coupe).</t>
        </is>
      </c>
    </row>
    <row r="5">
      <c r="A5" t="inlineStr">
        <is>
          <t xml:space="preserve">  2. Si S0 ≤ 0 : reporter S0 ; ne pas calculer yn ni V.</t>
        </is>
      </c>
    </row>
    <row r="6">
      <c r="A6" t="inlineStr">
        <is>
          <t xml:space="preserve">  3. Si S0 &gt; 0 : déterminer la cote d'eau telle que</t>
        </is>
      </c>
    </row>
    <row r="7">
      <c r="A7" t="inlineStr">
        <is>
          <t xml:space="preserve">        Q = (1/n) · A · R^(2/3) · √S0</t>
        </is>
      </c>
    </row>
    <row r="8">
      <c r="A8" t="inlineStr">
        <is>
          <t xml:space="preserve">     avec A et R calculés sur la polyligne de la coupe.</t>
        </is>
      </c>
    </row>
    <row r="9">
      <c r="A9" t="inlineStr">
        <is>
          <t xml:space="preserve">  4. V = Q / A.</t>
        </is>
      </c>
    </row>
    <row r="10">
      <c r="A10" t="inlineStr"/>
    </row>
    <row r="11">
      <c r="A11" t="inlineStr">
        <is>
          <t>Q = 7.36 m³/s ; n = 0.035</t>
        </is>
      </c>
    </row>
    <row r="12">
      <c r="A12" t="inlineStr">
        <is>
          <t>Stations : 1+000 @ 0 m ; 2+000 @ 13,783 m ; 3+000 @ 23,663 m ; 4+000 @ 35,641 m ;</t>
        </is>
      </c>
    </row>
    <row r="13">
      <c r="A13" t="inlineStr">
        <is>
          <t xml:space="preserve">           5+000 @ 45,838 m ; 6+000 @ 59,435 m ; 7+000 @ 71,973 m ; 8+000 @ 89,361 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 longitudinal</t>
        </is>
      </c>
    </row>
    <row r="3">
      <c r="A3" s="4" t="inlineStr">
        <is>
          <t>Point</t>
        </is>
      </c>
      <c r="B3" s="4" t="inlineStr">
        <is>
          <t>Z fond (m)</t>
        </is>
      </c>
      <c r="C3" s="4" t="inlineStr">
        <is>
          <t>ΔL (m)</t>
        </is>
      </c>
      <c r="D3" s="4" t="inlineStr">
        <is>
          <t>S0 (-)</t>
        </is>
      </c>
      <c r="E3" s="4" t="inlineStr">
        <is>
          <t>Station (m)</t>
        </is>
      </c>
    </row>
    <row r="4">
      <c r="A4" s="5" t="inlineStr">
        <is>
          <t>112</t>
        </is>
      </c>
      <c r="B4" s="6" t="n">
        <v>34.47</v>
      </c>
      <c r="C4" s="6" t="n">
        <v>9.763</v>
      </c>
      <c r="D4" s="7" t="n">
        <v>-0.03175</v>
      </c>
      <c r="E4" s="6" t="n">
        <v>0</v>
      </c>
    </row>
    <row r="5">
      <c r="A5" s="5" t="inlineStr">
        <is>
          <t>122</t>
        </is>
      </c>
      <c r="B5" s="6" t="n">
        <v>34.78</v>
      </c>
      <c r="C5" s="6" t="n">
        <v>4.02</v>
      </c>
      <c r="D5" s="9" t="n">
        <v>0.05224</v>
      </c>
      <c r="E5" s="6" t="n">
        <v>9.763</v>
      </c>
    </row>
    <row r="6">
      <c r="A6" s="5" t="inlineStr">
        <is>
          <t>125</t>
        </is>
      </c>
      <c r="B6" s="6" t="n">
        <v>34.57</v>
      </c>
      <c r="C6" s="6" t="n">
        <v>3.481</v>
      </c>
      <c r="D6" s="9" t="n">
        <v>0.02011</v>
      </c>
      <c r="E6" s="6" t="n">
        <v>13.783</v>
      </c>
    </row>
    <row r="7">
      <c r="A7" s="5" t="inlineStr">
        <is>
          <t>128</t>
        </is>
      </c>
      <c r="B7" s="6" t="n">
        <v>34.5</v>
      </c>
      <c r="C7" s="6" t="n">
        <v>6.399</v>
      </c>
      <c r="D7" s="9" t="n">
        <v>0.0125</v>
      </c>
      <c r="E7" s="6" t="n">
        <v>17.264</v>
      </c>
    </row>
    <row r="8">
      <c r="A8" s="5" t="inlineStr">
        <is>
          <t>131</t>
        </is>
      </c>
      <c r="B8" s="6" t="n">
        <v>34.42</v>
      </c>
      <c r="C8" s="6" t="n">
        <v>11.978</v>
      </c>
      <c r="D8" s="7" t="n">
        <v>-0.0025</v>
      </c>
      <c r="E8" s="6" t="n">
        <v>23.663</v>
      </c>
    </row>
    <row r="9">
      <c r="A9" s="5" t="inlineStr">
        <is>
          <t>173</t>
        </is>
      </c>
      <c r="B9" s="6" t="n">
        <v>34.45</v>
      </c>
      <c r="C9" s="6" t="n">
        <v>3.937</v>
      </c>
      <c r="D9" s="9" t="n">
        <v>0.02032</v>
      </c>
      <c r="E9" s="6" t="n">
        <v>35.641</v>
      </c>
    </row>
    <row r="10">
      <c r="A10" s="5" t="inlineStr">
        <is>
          <t>149</t>
        </is>
      </c>
      <c r="B10" s="6" t="n">
        <v>34.37</v>
      </c>
      <c r="C10" s="6" t="n">
        <v>6.26</v>
      </c>
      <c r="D10" s="7" t="n">
        <v>-0.01278</v>
      </c>
      <c r="E10" s="6" t="n">
        <v>39.578</v>
      </c>
    </row>
    <row r="11">
      <c r="A11" s="5" t="inlineStr">
        <is>
          <t>5+000</t>
        </is>
      </c>
      <c r="B11" s="6" t="n">
        <v>34.45</v>
      </c>
      <c r="C11" s="6" t="n">
        <v>5.08</v>
      </c>
      <c r="D11" s="9" t="n">
        <v>0.0315</v>
      </c>
      <c r="E11" s="6" t="n">
        <v>45.838</v>
      </c>
    </row>
    <row r="12">
      <c r="A12" s="5" t="inlineStr">
        <is>
          <t>503</t>
        </is>
      </c>
      <c r="B12" s="6" t="n">
        <v>34.29</v>
      </c>
      <c r="C12" s="6" t="n">
        <v>8.516999999999999</v>
      </c>
      <c r="D12" s="9" t="n">
        <v>0.009390000000000001</v>
      </c>
      <c r="E12" s="6" t="n">
        <v>50.918</v>
      </c>
    </row>
    <row r="13">
      <c r="A13" s="5" t="inlineStr">
        <is>
          <t>511</t>
        </is>
      </c>
      <c r="B13" s="6" t="n">
        <v>34.21</v>
      </c>
      <c r="C13" s="6" t="n">
        <v>9.35</v>
      </c>
      <c r="D13" s="9" t="n">
        <v>0.00535</v>
      </c>
      <c r="E13" s="6" t="n">
        <v>59.435</v>
      </c>
    </row>
    <row r="14">
      <c r="A14" s="5" t="inlineStr">
        <is>
          <t>515</t>
        </is>
      </c>
      <c r="B14" s="6" t="n">
        <v>34.16</v>
      </c>
      <c r="C14" s="6" t="n">
        <v>3.188</v>
      </c>
      <c r="D14" s="9" t="n">
        <v>0.03241</v>
      </c>
      <c r="E14" s="6" t="n">
        <v>68.785</v>
      </c>
    </row>
    <row r="15">
      <c r="A15" s="5" t="inlineStr">
        <is>
          <t>7+000</t>
        </is>
      </c>
      <c r="B15" s="6" t="n">
        <v>34.056</v>
      </c>
      <c r="C15" s="6" t="n">
        <v>5.968</v>
      </c>
      <c r="D15" s="9" t="n">
        <v>0.01742</v>
      </c>
      <c r="E15" s="6" t="n">
        <v>71.973</v>
      </c>
    </row>
    <row r="16">
      <c r="A16" s="5" t="inlineStr">
        <is>
          <t>520</t>
        </is>
      </c>
      <c r="B16" s="6" t="n">
        <v>33.91</v>
      </c>
      <c r="C16" s="6" t="n">
        <v>11.42</v>
      </c>
      <c r="D16" s="9" t="n">
        <v>0.00175</v>
      </c>
      <c r="E16" s="6" t="n">
        <v>77.941</v>
      </c>
    </row>
    <row r="17">
      <c r="A17" s="5" t="inlineStr">
        <is>
          <t>527</t>
        </is>
      </c>
      <c r="B17" s="6" t="n">
        <v>33.89</v>
      </c>
      <c r="C17" s="5" t="inlineStr">
        <is>
          <t>—</t>
        </is>
      </c>
      <c r="D17" s="5" t="inlineStr">
        <is>
          <t>—</t>
        </is>
      </c>
      <c r="E17" s="6" t="n">
        <v>89.361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1+000 — vitesse à profondeur normale</t>
        </is>
      </c>
    </row>
    <row r="3">
      <c r="A3" t="inlineStr">
        <is>
          <t>Station (m)</t>
        </is>
      </c>
      <c r="B3" s="12" t="n">
        <v>0</v>
      </c>
    </row>
    <row r="4">
      <c r="A4" t="inlineStr">
        <is>
          <t>S0 (-)</t>
        </is>
      </c>
      <c r="B4" s="17" t="n">
        <v>-0.03175</v>
      </c>
      <c r="C4" s="18" t="inlineStr">
        <is>
          <t>Pente adverse ou nulle — V non calculée</t>
        </is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8" t="n"/>
    </row>
    <row r="10">
      <c r="A10" t="inlineStr">
        <is>
          <t>Profondeur y (m)</t>
        </is>
      </c>
      <c r="B10" s="8" t="n"/>
    </row>
    <row r="11">
      <c r="A11" t="inlineStr">
        <is>
          <t>Aire A (m²)</t>
        </is>
      </c>
      <c r="B11" s="8" t="n"/>
    </row>
    <row r="12">
      <c r="A12" t="inlineStr">
        <is>
          <t>Périmètre P (m)</t>
        </is>
      </c>
      <c r="B12" s="8" t="n"/>
    </row>
    <row r="13">
      <c r="A13" t="inlineStr">
        <is>
          <t>Rayon R = A/P (m)</t>
        </is>
      </c>
      <c r="B13" s="8" t="n"/>
    </row>
    <row r="14">
      <c r="A14" t="inlineStr">
        <is>
          <t>Vitesse V (m/s)</t>
        </is>
      </c>
      <c r="B14" s="8" t="n"/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41.31</v>
      </c>
      <c r="D19" s="5" t="inlineStr">
        <is>
          <t>TN</t>
        </is>
      </c>
    </row>
    <row r="20">
      <c r="A20" s="5" t="n">
        <v>2</v>
      </c>
      <c r="B20" s="6" t="n">
        <v>9.98</v>
      </c>
      <c r="C20" s="6" t="n">
        <v>41.33</v>
      </c>
      <c r="D20" s="5" t="inlineStr">
        <is>
          <t>TN</t>
        </is>
      </c>
    </row>
    <row r="21">
      <c r="A21" s="5" t="n">
        <v>3</v>
      </c>
      <c r="B21" s="6" t="n">
        <v>17.43</v>
      </c>
      <c r="C21" s="6" t="n">
        <v>40.92</v>
      </c>
      <c r="D21" s="5" t="inlineStr">
        <is>
          <t>TN</t>
        </is>
      </c>
    </row>
    <row r="22">
      <c r="A22" s="5" t="n">
        <v>4</v>
      </c>
      <c r="B22" s="6" t="n">
        <v>22.7</v>
      </c>
      <c r="C22" s="6" t="n">
        <v>39</v>
      </c>
      <c r="D22" s="5" t="inlineStr">
        <is>
          <t>TN</t>
        </is>
      </c>
    </row>
    <row r="23">
      <c r="A23" s="5" t="n">
        <v>5</v>
      </c>
      <c r="B23" s="6" t="n">
        <v>26.86</v>
      </c>
      <c r="C23" s="6" t="n">
        <v>36.55</v>
      </c>
      <c r="D23" s="5" t="inlineStr">
        <is>
          <t>TN</t>
        </is>
      </c>
    </row>
    <row r="24">
      <c r="A24" s="5" t="n">
        <v>6</v>
      </c>
      <c r="B24" s="6" t="n">
        <v>31.63</v>
      </c>
      <c r="C24" s="6" t="n">
        <v>34.47</v>
      </c>
      <c r="D24" s="5" t="inlineStr">
        <is>
          <t>FOND</t>
        </is>
      </c>
    </row>
    <row r="25">
      <c r="A25" s="5" t="n">
        <v>7</v>
      </c>
      <c r="B25" s="6" t="n">
        <v>33.084</v>
      </c>
      <c r="C25" s="6" t="n">
        <v>34.93</v>
      </c>
      <c r="D25" s="5" t="inlineStr">
        <is>
          <t>TN</t>
        </is>
      </c>
    </row>
    <row r="26">
      <c r="A26" s="5" t="n">
        <v>8</v>
      </c>
      <c r="B26" s="6" t="n">
        <v>35.476</v>
      </c>
      <c r="C26" s="6" t="n">
        <v>35.8</v>
      </c>
      <c r="D26" s="5" t="inlineStr">
        <is>
          <t>TN</t>
        </is>
      </c>
    </row>
    <row r="27">
      <c r="A27" s="5" t="n">
        <v>9</v>
      </c>
      <c r="B27" s="6" t="n">
        <v>37.766</v>
      </c>
      <c r="C27" s="6" t="n">
        <v>36.6</v>
      </c>
      <c r="D27" s="5" t="inlineStr">
        <is>
          <t>TN</t>
        </is>
      </c>
    </row>
    <row r="28">
      <c r="A28" s="5" t="n">
        <v>10</v>
      </c>
      <c r="B28" s="6" t="n">
        <v>40.855</v>
      </c>
      <c r="C28" s="6" t="n">
        <v>37.13</v>
      </c>
      <c r="D28" s="5" t="inlineStr">
        <is>
          <t>TN</t>
        </is>
      </c>
    </row>
    <row r="29">
      <c r="A29" s="5" t="n">
        <v>11</v>
      </c>
      <c r="B29" s="6" t="n">
        <v>43.953</v>
      </c>
      <c r="C29" s="6" t="n">
        <v>39.98</v>
      </c>
      <c r="D29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2+000 — vitesse à profondeur normale</t>
        </is>
      </c>
    </row>
    <row r="3">
      <c r="A3" t="inlineStr">
        <is>
          <t>Station (m)</t>
        </is>
      </c>
      <c r="B3" s="12" t="n">
        <v>13.783</v>
      </c>
    </row>
    <row r="4">
      <c r="A4" t="inlineStr">
        <is>
          <t>S0 (-)</t>
        </is>
      </c>
      <c r="B4" s="20" t="n">
        <v>0.02011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'calc_2000'!L3</f>
        <v/>
      </c>
    </row>
    <row r="10">
      <c r="A10" t="inlineStr">
        <is>
          <t>Profondeur y (m)</t>
        </is>
      </c>
      <c r="B10" s="10">
        <f>'calc_2000'!L8</f>
        <v/>
      </c>
    </row>
    <row r="11">
      <c r="A11" t="inlineStr">
        <is>
          <t>Aire A (m²)</t>
        </is>
      </c>
      <c r="B11" s="10">
        <f>'calc_2000'!L4</f>
        <v/>
      </c>
    </row>
    <row r="12">
      <c r="A12" t="inlineStr">
        <is>
          <t>Périmètre P (m)</t>
        </is>
      </c>
      <c r="B12" s="10">
        <f>'calc_2000'!L5</f>
        <v/>
      </c>
    </row>
    <row r="13">
      <c r="A13" t="inlineStr">
        <is>
          <t>Rayon R = A/P (m)</t>
        </is>
      </c>
      <c r="B13" s="10">
        <f>'calc_2000'!L6</f>
        <v/>
      </c>
    </row>
    <row r="14">
      <c r="A14" t="inlineStr">
        <is>
          <t>Vitesse V (m/s)</t>
        </is>
      </c>
      <c r="B14" s="10">
        <f>'calc_2000'!L7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40</v>
      </c>
      <c r="D19" s="5" t="inlineStr">
        <is>
          <t>BOR</t>
        </is>
      </c>
    </row>
    <row r="20">
      <c r="A20" s="5" t="n">
        <v>2</v>
      </c>
      <c r="B20" s="6" t="n">
        <v>4.8</v>
      </c>
      <c r="C20" s="6" t="n">
        <v>39.5</v>
      </c>
      <c r="D20" s="5" t="inlineStr">
        <is>
          <t>TN</t>
        </is>
      </c>
    </row>
    <row r="21">
      <c r="A21" s="5" t="n">
        <v>3</v>
      </c>
      <c r="B21" s="6" t="n">
        <v>7.05</v>
      </c>
      <c r="C21" s="6" t="n">
        <v>38.65</v>
      </c>
      <c r="D21" s="5" t="inlineStr">
        <is>
          <t>TN</t>
        </is>
      </c>
    </row>
    <row r="22">
      <c r="A22" s="5" t="n">
        <v>4</v>
      </c>
      <c r="B22" s="6" t="n">
        <v>9.797000000000001</v>
      </c>
      <c r="C22" s="6" t="n">
        <v>37</v>
      </c>
      <c r="D22" s="5" t="inlineStr">
        <is>
          <t>TN</t>
        </is>
      </c>
    </row>
    <row r="23">
      <c r="A23" s="5" t="n">
        <v>5</v>
      </c>
      <c r="B23" s="6" t="n">
        <v>15.147</v>
      </c>
      <c r="C23" s="6" t="n">
        <v>34.93</v>
      </c>
      <c r="D23" s="5" t="inlineStr">
        <is>
          <t>TAB</t>
        </is>
      </c>
    </row>
    <row r="24">
      <c r="A24" s="5" t="n">
        <v>6</v>
      </c>
      <c r="B24" s="6" t="n">
        <v>16.46</v>
      </c>
      <c r="C24" s="6" t="n">
        <v>34.57</v>
      </c>
      <c r="D24" s="5" t="inlineStr">
        <is>
          <t>FOND</t>
        </is>
      </c>
    </row>
    <row r="25">
      <c r="A25" s="5" t="n">
        <v>7</v>
      </c>
      <c r="B25" s="6" t="n">
        <v>17.76</v>
      </c>
      <c r="C25" s="6" t="n">
        <v>34.9</v>
      </c>
      <c r="D25" s="5" t="inlineStr">
        <is>
          <t>TAB</t>
        </is>
      </c>
    </row>
    <row r="26">
      <c r="A26" s="5" t="n">
        <v>8</v>
      </c>
      <c r="B26" s="6" t="n">
        <v>21.518</v>
      </c>
      <c r="C26" s="6" t="n">
        <v>36.43</v>
      </c>
      <c r="D26" s="5" t="inlineStr">
        <is>
          <t>TN</t>
        </is>
      </c>
    </row>
    <row r="27">
      <c r="A27" s="5" t="n">
        <v>9</v>
      </c>
      <c r="B27" s="6" t="n">
        <v>25.675</v>
      </c>
      <c r="C27" s="6" t="n">
        <v>36.64</v>
      </c>
      <c r="D27" s="5" t="inlineStr">
        <is>
          <t>TN</t>
        </is>
      </c>
    </row>
    <row r="28">
      <c r="A28" s="5" t="n">
        <v>10</v>
      </c>
      <c r="B28" s="6" t="n">
        <v>30.665</v>
      </c>
      <c r="C28" s="6" t="n">
        <v>39.69</v>
      </c>
      <c r="D28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2+000</t>
        </is>
      </c>
    </row>
    <row r="3">
      <c r="A3" t="inlineStr">
        <is>
          <t>Q</t>
        </is>
      </c>
      <c r="B3">
        <f>'Section_2000'!B5</f>
        <v/>
      </c>
      <c r="D3" t="inlineStr">
        <is>
          <t>fond</t>
        </is>
      </c>
      <c r="E3">
        <f>MIN(B10:B19)</f>
        <v/>
      </c>
      <c r="K3" t="inlineStr">
        <is>
          <t>WSE</t>
        </is>
      </c>
      <c r="L3">
        <f>F51</f>
        <v/>
      </c>
    </row>
    <row r="4">
      <c r="A4" t="inlineStr">
        <is>
          <t>n</t>
        </is>
      </c>
      <c r="B4">
        <f>'Section_2000'!B6</f>
        <v/>
      </c>
      <c r="D4" t="inlineStr">
        <is>
          <t>zmax</t>
        </is>
      </c>
      <c r="E4">
        <f>MAX(B10:B19)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+(IF(AND((L3-B18)&lt;=0,(L3-B19)&lt;=0),0,IF(AND((L3-B18)&gt;=0,(L3-B19)&gt;=0),0.5*((L3-B18)+(L3-B19))*ABS(A19-A18),IF((L3-B18)&gt;0,0.5*(L3-B18)*ABS((A18+((L3-B18)/((L3-B18)-(L3-B19)))*(A19-A18))-A18),0.5*(L3-B19)*ABS(A19-(A18+((L3-B18)/((L3-B18)-(L3-B19)))*(A19-A18)))))))</f>
        <v/>
      </c>
    </row>
    <row r="5">
      <c r="A5" t="inlineStr">
        <is>
          <t>S0</t>
        </is>
      </c>
      <c r="B5">
        <f>'Section_2000'!B4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+(IF(AND((L3-B18)&lt;=0,(L3-B19)&lt;=0),0,IF(AND((L3-B18)&gt;=0,(L3-B19)&gt;=0),SQRT((A19-A18)^2+(B19-B18)^2),IF((L3-B18)&gt;0,SQRT(((A18+((L3-B18)/((L3-B18)-(L3-B19)))*(A19-A18))-A18)^2+(L3-B18)^2),SQRT((A19-(A18+((L3-B18)/((L3-B18)-(L3-B19)))*(A19-A18)))^2+(L3-B19)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40</v>
      </c>
    </row>
    <row r="11">
      <c r="A11" t="n">
        <v>4.8</v>
      </c>
      <c r="B11" t="n">
        <v>39.5</v>
      </c>
    </row>
    <row r="12">
      <c r="A12" t="n">
        <v>7.05</v>
      </c>
      <c r="B12" t="n">
        <v>38.65</v>
      </c>
    </row>
    <row r="13">
      <c r="A13" t="n">
        <v>9.797000000000001</v>
      </c>
      <c r="B13" t="n">
        <v>37</v>
      </c>
    </row>
    <row r="14">
      <c r="A14" t="n">
        <v>15.147</v>
      </c>
      <c r="B14" t="n">
        <v>34.93</v>
      </c>
    </row>
    <row r="15">
      <c r="A15" t="n">
        <v>16.46</v>
      </c>
      <c r="B15" t="n">
        <v>34.57</v>
      </c>
    </row>
    <row r="16">
      <c r="A16" t="n">
        <v>17.76</v>
      </c>
      <c r="B16" t="n">
        <v>34.9</v>
      </c>
    </row>
    <row r="17">
      <c r="A17" t="n">
        <v>21.518</v>
      </c>
      <c r="B17" t="n">
        <v>36.43</v>
      </c>
    </row>
    <row r="18">
      <c r="A18" t="n">
        <v>25.675</v>
      </c>
      <c r="B18" t="n">
        <v>36.64</v>
      </c>
    </row>
    <row r="19">
      <c r="A19" t="n">
        <v>30.665</v>
      </c>
      <c r="B19" t="n">
        <v>39.69</v>
      </c>
    </row>
    <row r="21">
      <c r="D21" t="inlineStr">
        <is>
          <t>lo</t>
        </is>
      </c>
      <c r="E21" t="inlineStr">
        <is>
          <t>hi</t>
        </is>
      </c>
      <c r="F21" t="inlineStr">
        <is>
          <t>mid</t>
        </is>
      </c>
      <c r="G21" t="inlineStr">
        <is>
          <t>A</t>
        </is>
      </c>
      <c r="H21" t="inlineStr">
        <is>
          <t>P</t>
        </is>
      </c>
      <c r="I21" t="inlineStr">
        <is>
          <t>Qman</t>
        </is>
      </c>
    </row>
    <row r="22">
      <c r="D22">
        <f>E3+0.0001</f>
        <v/>
      </c>
      <c r="E22">
        <f>E4-0.0001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+(IF(AND((F22-B17)&lt;=0,(F22-B18)&lt;=0),0,IF(AND((F22-B17)&gt;=0,(F22-B18)&gt;=0),0.5*((F22-B17)+(F22-B18))*ABS(A18-A17),IF((F22-B17)&gt;0,0.5*(F22-B17)*ABS((A17+((F22-B17)/((F22-B17)-(F22-B18)))*(A18-A17))-A17),0.5*(F22-B18)*ABS(A18-(A17+((F22-B17)/((F22-B17)-(F22-B18)))*(A18-A17)))))))+(IF(AND((F22-B18)&lt;=0,(F22-B19)&lt;=0),0,IF(AND((F22-B18)&gt;=0,(F22-B19)&gt;=0),0.5*((F22-B18)+(F22-B19))*ABS(A19-A18),IF((F22-B18)&gt;0,0.5*(F22-B18)*ABS((A18+((F22-B18)/((F22-B18)-(F22-B19)))*(A19-A18))-A18),0.5*(F22-B19)*ABS(A19-(A18+((F22-B18)/((F22-B18)-(F22-B19)))*(A19-A18)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+(IF(AND((F22-B17)&lt;=0,(F22-B18)&lt;=0),0,IF(AND((F22-B17)&gt;=0,(F22-B18)&gt;=0),SQRT((A18-A17)^2+(B18-B17)^2),IF((F22-B17)&gt;0,SQRT(((A17+((F22-B17)/((F22-B17)-(F22-B18)))*(A18-A17))-A17)^2+(F22-B17)^2),SQRT((A18-(A17+((F22-B17)/((F22-B17)-(F22-B18)))*(A18-A17)))^2+(F22-B18)^2)))))+(IF(AND((F22-B18)&lt;=0,(F22-B19)&lt;=0),0,IF(AND((F22-B18)&gt;=0,(F22-B19)&gt;=0),SQRT((A19-A18)^2+(B19-B18)^2),IF((F22-B18)&gt;0,SQRT(((A18+((F22-B18)/((F22-B18)-(F22-B19)))*(A19-A18))-A18)^2+(F22-B18)^2),SQRT((A19-(A18+((F22-B18)/((F22-B18)-(F22-B19)))*(A19-A18)))^2+(F22-B19)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+(IF(AND((F23-B17)&lt;=0,(F23-B18)&lt;=0),0,IF(AND((F23-B17)&gt;=0,(F23-B18)&gt;=0),0.5*((F23-B17)+(F23-B18))*ABS(A18-A17),IF((F23-B17)&gt;0,0.5*(F23-B17)*ABS((A17+((F23-B17)/((F23-B17)-(F23-B18)))*(A18-A17))-A17),0.5*(F23-B18)*ABS(A18-(A17+((F23-B17)/((F23-B17)-(F23-B18)))*(A18-A17)))))))+(IF(AND((F23-B18)&lt;=0,(F23-B19)&lt;=0),0,IF(AND((F23-B18)&gt;=0,(F23-B19)&gt;=0),0.5*((F23-B18)+(F23-B19))*ABS(A19-A18),IF((F23-B18)&gt;0,0.5*(F23-B18)*ABS((A18+((F23-B18)/((F23-B18)-(F23-B19)))*(A19-A18))-A18),0.5*(F23-B19)*ABS(A19-(A18+((F23-B18)/((F23-B18)-(F23-B19)))*(A19-A18)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+(IF(AND((F23-B17)&lt;=0,(F23-B18)&lt;=0),0,IF(AND((F23-B17)&gt;=0,(F23-B18)&gt;=0),SQRT((A18-A17)^2+(B18-B17)^2),IF((F23-B17)&gt;0,SQRT(((A17+((F23-B17)/((F23-B17)-(F23-B18)))*(A18-A17))-A17)^2+(F23-B17)^2),SQRT((A18-(A17+((F23-B17)/((F23-B17)-(F23-B18)))*(A18-A17)))^2+(F23-B18)^2)))))+(IF(AND((F23-B18)&lt;=0,(F23-B19)&lt;=0),0,IF(AND((F23-B18)&gt;=0,(F23-B19)&gt;=0),SQRT((A19-A18)^2+(B19-B18)^2),IF((F23-B18)&gt;0,SQRT(((A18+((F23-B18)/((F23-B18)-(F23-B19)))*(A19-A18))-A18)^2+(F23-B18)^2),SQRT((A19-(A18+((F23-B18)/((F23-B18)-(F23-B19)))*(A19-A18)))^2+(F23-B19)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+(IF(AND((F24-B18)&lt;=0,(F24-B19)&lt;=0),0,IF(AND((F24-B18)&gt;=0,(F24-B19)&gt;=0),0.5*((F24-B18)+(F24-B19))*ABS(A19-A18),IF((F24-B18)&gt;0,0.5*(F24-B18)*ABS((A18+((F24-B18)/((F24-B18)-(F24-B19)))*(A19-A18))-A18),0.5*(F24-B19)*ABS(A19-(A18+((F24-B18)/((F24-B18)-(F24-B19)))*(A19-A18)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+(IF(AND((F24-B18)&lt;=0,(F24-B19)&lt;=0),0,IF(AND((F24-B18)&gt;=0,(F24-B19)&gt;=0),SQRT((A19-A18)^2+(B19-B18)^2),IF((F24-B18)&gt;0,SQRT(((A18+((F24-B18)/((F24-B18)-(F24-B19)))*(A19-A18))-A18)^2+(F24-B18)^2),SQRT((A19-(A18+((F24-B18)/((F24-B18)-(F24-B19)))*(A19-A18)))^2+(F24-B19)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+(IF(AND((F25-B18)&lt;=0,(F25-B19)&lt;=0),0,IF(AND((F25-B18)&gt;=0,(F25-B19)&gt;=0),0.5*((F25-B18)+(F25-B19))*ABS(A19-A18),IF((F25-B18)&gt;0,0.5*(F25-B18)*ABS((A18+((F25-B18)/((F25-B18)-(F25-B19)))*(A19-A18))-A18),0.5*(F25-B19)*ABS(A19-(A18+((F25-B18)/((F25-B18)-(F25-B19)))*(A19-A18)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+(IF(AND((F25-B18)&lt;=0,(F25-B19)&lt;=0),0,IF(AND((F25-B18)&gt;=0,(F25-B19)&gt;=0),SQRT((A19-A18)^2+(B19-B18)^2),IF((F25-B18)&gt;0,SQRT(((A18+((F25-B18)/((F25-B18)-(F25-B19)))*(A19-A18))-A18)^2+(F25-B18)^2),SQRT((A19-(A18+((F25-B18)/((F25-B18)-(F25-B19)))*(A19-A18)))^2+(F25-B19)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+(IF(AND((F26-B18)&lt;=0,(F26-B19)&lt;=0),0,IF(AND((F26-B18)&gt;=0,(F26-B19)&gt;=0),0.5*((F26-B18)+(F26-B19))*ABS(A19-A18),IF((F26-B18)&gt;0,0.5*(F26-B18)*ABS((A18+((F26-B18)/((F26-B18)-(F26-B19)))*(A19-A18))-A18),0.5*(F26-B19)*ABS(A19-(A18+((F26-B18)/((F26-B18)-(F26-B19)))*(A19-A18)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+(IF(AND((F26-B18)&lt;=0,(F26-B19)&lt;=0),0,IF(AND((F26-B18)&gt;=0,(F26-B19)&gt;=0),SQRT((A19-A18)^2+(B19-B18)^2),IF((F26-B18)&gt;0,SQRT(((A18+((F26-B18)/((F26-B18)-(F26-B19)))*(A19-A18))-A18)^2+(F26-B18)^2),SQRT((A19-(A18+((F26-B18)/((F26-B18)-(F26-B19)))*(A19-A18)))^2+(F26-B19)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+(IF(AND((F27-B18)&lt;=0,(F27-B19)&lt;=0),0,IF(AND((F27-B18)&gt;=0,(F27-B19)&gt;=0),0.5*((F27-B18)+(F27-B19))*ABS(A19-A18),IF((F27-B18)&gt;0,0.5*(F27-B18)*ABS((A18+((F27-B18)/((F27-B18)-(F27-B19)))*(A19-A18))-A18),0.5*(F27-B19)*ABS(A19-(A18+((F27-B18)/((F27-B18)-(F27-B19)))*(A19-A18)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+(IF(AND((F27-B18)&lt;=0,(F27-B19)&lt;=0),0,IF(AND((F27-B18)&gt;=0,(F27-B19)&gt;=0),SQRT((A19-A18)^2+(B19-B18)^2),IF((F27-B18)&gt;0,SQRT(((A18+((F27-B18)/((F27-B18)-(F27-B19)))*(A19-A18))-A18)^2+(F27-B18)^2),SQRT((A19-(A18+((F27-B18)/((F27-B18)-(F27-B19)))*(A19-A18)))^2+(F27-B19)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+(IF(AND((F28-B18)&lt;=0,(F28-B19)&lt;=0),0,IF(AND((F28-B18)&gt;=0,(F28-B19)&gt;=0),0.5*((F28-B18)+(F28-B19))*ABS(A19-A18),IF((F28-B18)&gt;0,0.5*(F28-B18)*ABS((A18+((F28-B18)/((F28-B18)-(F28-B19)))*(A19-A18))-A18),0.5*(F28-B19)*ABS(A19-(A18+((F28-B18)/((F28-B18)-(F28-B19)))*(A19-A18)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+(IF(AND((F28-B18)&lt;=0,(F28-B19)&lt;=0),0,IF(AND((F28-B18)&gt;=0,(F28-B19)&gt;=0),SQRT((A19-A18)^2+(B19-B18)^2),IF((F28-B18)&gt;0,SQRT(((A18+((F28-B18)/((F28-B18)-(F28-B19)))*(A19-A18))-A18)^2+(F28-B18)^2),SQRT((A19-(A18+((F28-B18)/((F28-B18)-(F28-B19)))*(A19-A18)))^2+(F28-B19)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+(IF(AND((F29-B18)&lt;=0,(F29-B19)&lt;=0),0,IF(AND((F29-B18)&gt;=0,(F29-B19)&gt;=0),0.5*((F29-B18)+(F29-B19))*ABS(A19-A18),IF((F29-B18)&gt;0,0.5*(F29-B18)*ABS((A18+((F29-B18)/((F29-B18)-(F29-B19)))*(A19-A18))-A18),0.5*(F29-B19)*ABS(A19-(A18+((F29-B18)/((F29-B18)-(F29-B19)))*(A19-A18)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+(IF(AND((F29-B18)&lt;=0,(F29-B19)&lt;=0),0,IF(AND((F29-B18)&gt;=0,(F29-B19)&gt;=0),SQRT((A19-A18)^2+(B19-B18)^2),IF((F29-B18)&gt;0,SQRT(((A18+((F29-B18)/((F29-B18)-(F29-B19)))*(A19-A18))-A18)^2+(F29-B18)^2),SQRT((A19-(A18+((F29-B18)/((F29-B18)-(F29-B19)))*(A19-A18)))^2+(F29-B19)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+(IF(AND((F30-B18)&lt;=0,(F30-B19)&lt;=0),0,IF(AND((F30-B18)&gt;=0,(F30-B19)&gt;=0),0.5*((F30-B18)+(F30-B19))*ABS(A19-A18),IF((F30-B18)&gt;0,0.5*(F30-B18)*ABS((A18+((F30-B18)/((F30-B18)-(F30-B19)))*(A19-A18))-A18),0.5*(F30-B19)*ABS(A19-(A18+((F30-B18)/((F30-B18)-(F30-B19)))*(A19-A18)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+(IF(AND((F30-B18)&lt;=0,(F30-B19)&lt;=0),0,IF(AND((F30-B18)&gt;=0,(F30-B19)&gt;=0),SQRT((A19-A18)^2+(B19-B18)^2),IF((F30-B18)&gt;0,SQRT(((A18+((F30-B18)/((F30-B18)-(F30-B19)))*(A19-A18))-A18)^2+(F30-B18)^2),SQRT((A19-(A18+((F30-B18)/((F30-B18)-(F30-B19)))*(A19-A18)))^2+(F30-B19)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+(IF(AND((F31-B18)&lt;=0,(F31-B19)&lt;=0),0,IF(AND((F31-B18)&gt;=0,(F31-B19)&gt;=0),0.5*((F31-B18)+(F31-B19))*ABS(A19-A18),IF((F31-B18)&gt;0,0.5*(F31-B18)*ABS((A18+((F31-B18)/((F31-B18)-(F31-B19)))*(A19-A18))-A18),0.5*(F31-B19)*ABS(A19-(A18+((F31-B18)/((F31-B18)-(F31-B19)))*(A19-A18)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+(IF(AND((F31-B18)&lt;=0,(F31-B19)&lt;=0),0,IF(AND((F31-B18)&gt;=0,(F31-B19)&gt;=0),SQRT((A19-A18)^2+(B19-B18)^2),IF((F31-B18)&gt;0,SQRT(((A18+((F31-B18)/((F31-B18)-(F31-B19)))*(A19-A18))-A18)^2+(F31-B18)^2),SQRT((A19-(A18+((F31-B18)/((F31-B18)-(F31-B19)))*(A19-A18)))^2+(F31-B19)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+(IF(AND((F32-B18)&lt;=0,(F32-B19)&lt;=0),0,IF(AND((F32-B18)&gt;=0,(F32-B19)&gt;=0),0.5*((F32-B18)+(F32-B19))*ABS(A19-A18),IF((F32-B18)&gt;0,0.5*(F32-B18)*ABS((A18+((F32-B18)/((F32-B18)-(F32-B19)))*(A19-A18))-A18),0.5*(F32-B19)*ABS(A19-(A18+((F32-B18)/((F32-B18)-(F32-B19)))*(A19-A18)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+(IF(AND((F32-B18)&lt;=0,(F32-B19)&lt;=0),0,IF(AND((F32-B18)&gt;=0,(F32-B19)&gt;=0),SQRT((A19-A18)^2+(B19-B18)^2),IF((F32-B18)&gt;0,SQRT(((A18+((F32-B18)/((F32-B18)-(F32-B19)))*(A19-A18))-A18)^2+(F32-B18)^2),SQRT((A19-(A18+((F32-B18)/((F32-B18)-(F32-B19)))*(A19-A18)))^2+(F32-B19)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+(IF(AND((F33-B18)&lt;=0,(F33-B19)&lt;=0),0,IF(AND((F33-B18)&gt;=0,(F33-B19)&gt;=0),0.5*((F33-B18)+(F33-B19))*ABS(A19-A18),IF((F33-B18)&gt;0,0.5*(F33-B18)*ABS((A18+((F33-B18)/((F33-B18)-(F33-B19)))*(A19-A18))-A18),0.5*(F33-B19)*ABS(A19-(A18+((F33-B18)/((F33-B18)-(F33-B19)))*(A19-A18)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+(IF(AND((F33-B18)&lt;=0,(F33-B19)&lt;=0),0,IF(AND((F33-B18)&gt;=0,(F33-B19)&gt;=0),SQRT((A19-A18)^2+(B19-B18)^2),IF((F33-B18)&gt;0,SQRT(((A18+((F33-B18)/((F33-B18)-(F33-B19)))*(A19-A18))-A18)^2+(F33-B18)^2),SQRT((A19-(A18+((F33-B18)/((F33-B18)-(F33-B19)))*(A19-A18)))^2+(F33-B19)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+(IF(AND((F34-B18)&lt;=0,(F34-B19)&lt;=0),0,IF(AND((F34-B18)&gt;=0,(F34-B19)&gt;=0),0.5*((F34-B18)+(F34-B19))*ABS(A19-A18),IF((F34-B18)&gt;0,0.5*(F34-B18)*ABS((A18+((F34-B18)/((F34-B18)-(F34-B19)))*(A19-A18))-A18),0.5*(F34-B19)*ABS(A19-(A18+((F34-B18)/((F34-B18)-(F34-B19)))*(A19-A18)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+(IF(AND((F34-B18)&lt;=0,(F34-B19)&lt;=0),0,IF(AND((F34-B18)&gt;=0,(F34-B19)&gt;=0),SQRT((A19-A18)^2+(B19-B18)^2),IF((F34-B18)&gt;0,SQRT(((A18+((F34-B18)/((F34-B18)-(F34-B19)))*(A19-A18))-A18)^2+(F34-B18)^2),SQRT((A19-(A18+((F34-B18)/((F34-B18)-(F34-B19)))*(A19-A18)))^2+(F34-B19)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+(IF(AND((F35-B18)&lt;=0,(F35-B19)&lt;=0),0,IF(AND((F35-B18)&gt;=0,(F35-B19)&gt;=0),0.5*((F35-B18)+(F35-B19))*ABS(A19-A18),IF((F35-B18)&gt;0,0.5*(F35-B18)*ABS((A18+((F35-B18)/((F35-B18)-(F35-B19)))*(A19-A18))-A18),0.5*(F35-B19)*ABS(A19-(A18+((F35-B18)/((F35-B18)-(F35-B19)))*(A19-A18)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+(IF(AND((F35-B18)&lt;=0,(F35-B19)&lt;=0),0,IF(AND((F35-B18)&gt;=0,(F35-B19)&gt;=0),SQRT((A19-A18)^2+(B19-B18)^2),IF((F35-B18)&gt;0,SQRT(((A18+((F35-B18)/((F35-B18)-(F35-B19)))*(A19-A18))-A18)^2+(F35-B18)^2),SQRT((A19-(A18+((F35-B18)/((F35-B18)-(F35-B19)))*(A19-A18)))^2+(F35-B19)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+(IF(AND((F36-B18)&lt;=0,(F36-B19)&lt;=0),0,IF(AND((F36-B18)&gt;=0,(F36-B19)&gt;=0),0.5*((F36-B18)+(F36-B19))*ABS(A19-A18),IF((F36-B18)&gt;0,0.5*(F36-B18)*ABS((A18+((F36-B18)/((F36-B18)-(F36-B19)))*(A19-A18))-A18),0.5*(F36-B19)*ABS(A19-(A18+((F36-B18)/((F36-B18)-(F36-B19)))*(A19-A18)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+(IF(AND((F36-B18)&lt;=0,(F36-B19)&lt;=0),0,IF(AND((F36-B18)&gt;=0,(F36-B19)&gt;=0),SQRT((A19-A18)^2+(B19-B18)^2),IF((F36-B18)&gt;0,SQRT(((A18+((F36-B18)/((F36-B18)-(F36-B19)))*(A19-A18))-A18)^2+(F36-B18)^2),SQRT((A19-(A18+((F36-B18)/((F36-B18)-(F36-B19)))*(A19-A18)))^2+(F36-B19)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+(IF(AND((F37-B18)&lt;=0,(F37-B19)&lt;=0),0,IF(AND((F37-B18)&gt;=0,(F37-B19)&gt;=0),0.5*((F37-B18)+(F37-B19))*ABS(A19-A18),IF((F37-B18)&gt;0,0.5*(F37-B18)*ABS((A18+((F37-B18)/((F37-B18)-(F37-B19)))*(A19-A18))-A18),0.5*(F37-B19)*ABS(A19-(A18+((F37-B18)/((F37-B18)-(F37-B19)))*(A19-A18)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+(IF(AND((F37-B18)&lt;=0,(F37-B19)&lt;=0),0,IF(AND((F37-B18)&gt;=0,(F37-B19)&gt;=0),SQRT((A19-A18)^2+(B19-B18)^2),IF((F37-B18)&gt;0,SQRT(((A18+((F37-B18)/((F37-B18)-(F37-B19)))*(A19-A18))-A18)^2+(F37-B18)^2),SQRT((A19-(A18+((F37-B18)/((F37-B18)-(F37-B19)))*(A19-A18)))^2+(F37-B19)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+(IF(AND((F38-B18)&lt;=0,(F38-B19)&lt;=0),0,IF(AND((F38-B18)&gt;=0,(F38-B19)&gt;=0),0.5*((F38-B18)+(F38-B19))*ABS(A19-A18),IF((F38-B18)&gt;0,0.5*(F38-B18)*ABS((A18+((F38-B18)/((F38-B18)-(F38-B19)))*(A19-A18))-A18),0.5*(F38-B19)*ABS(A19-(A18+((F38-B18)/((F38-B18)-(F38-B19)))*(A19-A18)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+(IF(AND((F38-B18)&lt;=0,(F38-B19)&lt;=0),0,IF(AND((F38-B18)&gt;=0,(F38-B19)&gt;=0),SQRT((A19-A18)^2+(B19-B18)^2),IF((F38-B18)&gt;0,SQRT(((A18+((F38-B18)/((F38-B18)-(F38-B19)))*(A19-A18))-A18)^2+(F38-B18)^2),SQRT((A19-(A18+((F38-B18)/((F38-B18)-(F38-B19)))*(A19-A18)))^2+(F38-B19)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+(IF(AND((F39-B18)&lt;=0,(F39-B19)&lt;=0),0,IF(AND((F39-B18)&gt;=0,(F39-B19)&gt;=0),0.5*((F39-B18)+(F39-B19))*ABS(A19-A18),IF((F39-B18)&gt;0,0.5*(F39-B18)*ABS((A18+((F39-B18)/((F39-B18)-(F39-B19)))*(A19-A18))-A18),0.5*(F39-B19)*ABS(A19-(A18+((F39-B18)/((F39-B18)-(F39-B19)))*(A19-A18)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+(IF(AND((F39-B18)&lt;=0,(F39-B19)&lt;=0),0,IF(AND((F39-B18)&gt;=0,(F39-B19)&gt;=0),SQRT((A19-A18)^2+(B19-B18)^2),IF((F39-B18)&gt;0,SQRT(((A18+((F39-B18)/((F39-B18)-(F39-B19)))*(A19-A18))-A18)^2+(F39-B18)^2),SQRT((A19-(A18+((F39-B18)/((F39-B18)-(F39-B19)))*(A19-A18)))^2+(F39-B19)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+(IF(AND((F40-B18)&lt;=0,(F40-B19)&lt;=0),0,IF(AND((F40-B18)&gt;=0,(F40-B19)&gt;=0),0.5*((F40-B18)+(F40-B19))*ABS(A19-A18),IF((F40-B18)&gt;0,0.5*(F40-B18)*ABS((A18+((F40-B18)/((F40-B18)-(F40-B19)))*(A19-A18))-A18),0.5*(F40-B19)*ABS(A19-(A18+((F40-B18)/((F40-B18)-(F40-B19)))*(A19-A18)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+(IF(AND((F40-B18)&lt;=0,(F40-B19)&lt;=0),0,IF(AND((F40-B18)&gt;=0,(F40-B19)&gt;=0),SQRT((A19-A18)^2+(B19-B18)^2),IF((F40-B18)&gt;0,SQRT(((A18+((F40-B18)/((F40-B18)-(F40-B19)))*(A19-A18))-A18)^2+(F40-B18)^2),SQRT((A19-(A18+((F40-B18)/((F40-B18)-(F40-B19)))*(A19-A18)))^2+(F40-B19)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+(IF(AND((F41-B18)&lt;=0,(F41-B19)&lt;=0),0,IF(AND((F41-B18)&gt;=0,(F41-B19)&gt;=0),0.5*((F41-B18)+(F41-B19))*ABS(A19-A18),IF((F41-B18)&gt;0,0.5*(F41-B18)*ABS((A18+((F41-B18)/((F41-B18)-(F41-B19)))*(A19-A18))-A18),0.5*(F41-B19)*ABS(A19-(A18+((F41-B18)/((F41-B18)-(F41-B19)))*(A19-A18)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+(IF(AND((F41-B18)&lt;=0,(F41-B19)&lt;=0),0,IF(AND((F41-B18)&gt;=0,(F41-B19)&gt;=0),SQRT((A19-A18)^2+(B19-B18)^2),IF((F41-B18)&gt;0,SQRT(((A18+((F41-B18)/((F41-B18)-(F41-B19)))*(A19-A18))-A18)^2+(F41-B18)^2),SQRT((A19-(A18+((F41-B18)/((F41-B18)-(F41-B19)))*(A19-A18)))^2+(F41-B19)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+(IF(AND((F42-B18)&lt;=0,(F42-B19)&lt;=0),0,IF(AND((F42-B18)&gt;=0,(F42-B19)&gt;=0),0.5*((F42-B18)+(F42-B19))*ABS(A19-A18),IF((F42-B18)&gt;0,0.5*(F42-B18)*ABS((A18+((F42-B18)/((F42-B18)-(F42-B19)))*(A19-A18))-A18),0.5*(F42-B19)*ABS(A19-(A18+((F42-B18)/((F42-B18)-(F42-B19)))*(A19-A18)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+(IF(AND((F42-B18)&lt;=0,(F42-B19)&lt;=0),0,IF(AND((F42-B18)&gt;=0,(F42-B19)&gt;=0),SQRT((A19-A18)^2+(B19-B18)^2),IF((F42-B18)&gt;0,SQRT(((A18+((F42-B18)/((F42-B18)-(F42-B19)))*(A19-A18))-A18)^2+(F42-B18)^2),SQRT((A19-(A18+((F42-B18)/((F42-B18)-(F42-B19)))*(A19-A18)))^2+(F42-B19)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+(IF(AND((F43-B18)&lt;=0,(F43-B19)&lt;=0),0,IF(AND((F43-B18)&gt;=0,(F43-B19)&gt;=0),0.5*((F43-B18)+(F43-B19))*ABS(A19-A18),IF((F43-B18)&gt;0,0.5*(F43-B18)*ABS((A18+((F43-B18)/((F43-B18)-(F43-B19)))*(A19-A18))-A18),0.5*(F43-B19)*ABS(A19-(A18+((F43-B18)/((F43-B18)-(F43-B19)))*(A19-A18)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+(IF(AND((F43-B18)&lt;=0,(F43-B19)&lt;=0),0,IF(AND((F43-B18)&gt;=0,(F43-B19)&gt;=0),SQRT((A19-A18)^2+(B19-B18)^2),IF((F43-B18)&gt;0,SQRT(((A18+((F43-B18)/((F43-B18)-(F43-B19)))*(A19-A18))-A18)^2+(F43-B18)^2),SQRT((A19-(A18+((F43-B18)/((F43-B18)-(F43-B19)))*(A19-A18)))^2+(F43-B19)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+(IF(AND((F44-B18)&lt;=0,(F44-B19)&lt;=0),0,IF(AND((F44-B18)&gt;=0,(F44-B19)&gt;=0),0.5*((F44-B18)+(F44-B19))*ABS(A19-A18),IF((F44-B18)&gt;0,0.5*(F44-B18)*ABS((A18+((F44-B18)/((F44-B18)-(F44-B19)))*(A19-A18))-A18),0.5*(F44-B19)*ABS(A19-(A18+((F44-B18)/((F44-B18)-(F44-B19)))*(A19-A18)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+(IF(AND((F44-B18)&lt;=0,(F44-B19)&lt;=0),0,IF(AND((F44-B18)&gt;=0,(F44-B19)&gt;=0),SQRT((A19-A18)^2+(B19-B18)^2),IF((F44-B18)&gt;0,SQRT(((A18+((F44-B18)/((F44-B18)-(F44-B19)))*(A19-A18))-A18)^2+(F44-B18)^2),SQRT((A19-(A18+((F44-B18)/((F44-B18)-(F44-B19)))*(A19-A18)))^2+(F44-B19)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+(IF(AND((F45-B18)&lt;=0,(F45-B19)&lt;=0),0,IF(AND((F45-B18)&gt;=0,(F45-B19)&gt;=0),0.5*((F45-B18)+(F45-B19))*ABS(A19-A18),IF((F45-B18)&gt;0,0.5*(F45-B18)*ABS((A18+((F45-B18)/((F45-B18)-(F45-B19)))*(A19-A18))-A18),0.5*(F45-B19)*ABS(A19-(A18+((F45-B18)/((F45-B18)-(F45-B19)))*(A19-A18)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+(IF(AND((F45-B18)&lt;=0,(F45-B19)&lt;=0),0,IF(AND((F45-B18)&gt;=0,(F45-B19)&gt;=0),SQRT((A19-A18)^2+(B19-B18)^2),IF((F45-B18)&gt;0,SQRT(((A18+((F45-B18)/((F45-B18)-(F45-B19)))*(A19-A18))-A18)^2+(F45-B18)^2),SQRT((A19-(A18+((F45-B18)/((F45-B18)-(F45-B19)))*(A19-A18)))^2+(F45-B19)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+(IF(AND((F46-B18)&lt;=0,(F46-B19)&lt;=0),0,IF(AND((F46-B18)&gt;=0,(F46-B19)&gt;=0),0.5*((F46-B18)+(F46-B19))*ABS(A19-A18),IF((F46-B18)&gt;0,0.5*(F46-B18)*ABS((A18+((F46-B18)/((F46-B18)-(F46-B19)))*(A19-A18))-A18),0.5*(F46-B19)*ABS(A19-(A18+((F46-B18)/((F46-B18)-(F46-B19)))*(A19-A18)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+(IF(AND((F46-B18)&lt;=0,(F46-B19)&lt;=0),0,IF(AND((F46-B18)&gt;=0,(F46-B19)&gt;=0),SQRT((A19-A18)^2+(B19-B18)^2),IF((F46-B18)&gt;0,SQRT(((A18+((F46-B18)/((F46-B18)-(F46-B19)))*(A19-A18))-A18)^2+(F46-B18)^2),SQRT((A19-(A18+((F46-B18)/((F46-B18)-(F46-B19)))*(A19-A18)))^2+(F46-B19)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+(IF(AND((F47-B18)&lt;=0,(F47-B19)&lt;=0),0,IF(AND((F47-B18)&gt;=0,(F47-B19)&gt;=0),0.5*((F47-B18)+(F47-B19))*ABS(A19-A18),IF((F47-B18)&gt;0,0.5*(F47-B18)*ABS((A18+((F47-B18)/((F47-B18)-(F47-B19)))*(A19-A18))-A18),0.5*(F47-B19)*ABS(A19-(A18+((F47-B18)/((F47-B18)-(F47-B19)))*(A19-A18)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+(IF(AND((F47-B18)&lt;=0,(F47-B19)&lt;=0),0,IF(AND((F47-B18)&gt;=0,(F47-B19)&gt;=0),SQRT((A19-A18)^2+(B19-B18)^2),IF((F47-B18)&gt;0,SQRT(((A18+((F47-B18)/((F47-B18)-(F47-B19)))*(A19-A18))-A18)^2+(F47-B18)^2),SQRT((A19-(A18+((F47-B18)/((F47-B18)-(F47-B19)))*(A19-A18)))^2+(F47-B19)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+(IF(AND((F48-B18)&lt;=0,(F48-B19)&lt;=0),0,IF(AND((F48-B18)&gt;=0,(F48-B19)&gt;=0),0.5*((F48-B18)+(F48-B19))*ABS(A19-A18),IF((F48-B18)&gt;0,0.5*(F48-B18)*ABS((A18+((F48-B18)/((F48-B18)-(F48-B19)))*(A19-A18))-A18),0.5*(F48-B19)*ABS(A19-(A18+((F48-B18)/((F48-B18)-(F48-B19)))*(A19-A18)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+(IF(AND((F48-B18)&lt;=0,(F48-B19)&lt;=0),0,IF(AND((F48-B18)&gt;=0,(F48-B19)&gt;=0),SQRT((A19-A18)^2+(B19-B18)^2),IF((F48-B18)&gt;0,SQRT(((A18+((F48-B18)/((F48-B18)-(F48-B19)))*(A19-A18))-A18)^2+(F48-B18)^2),SQRT((A19-(A18+((F48-B18)/((F48-B18)-(F48-B19)))*(A19-A18)))^2+(F48-B19)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+(IF(AND((F49-B18)&lt;=0,(F49-B19)&lt;=0),0,IF(AND((F49-B18)&gt;=0,(F49-B19)&gt;=0),0.5*((F49-B18)+(F49-B19))*ABS(A19-A18),IF((F49-B18)&gt;0,0.5*(F49-B18)*ABS((A18+((F49-B18)/((F49-B18)-(F49-B19)))*(A19-A18))-A18),0.5*(F49-B19)*ABS(A19-(A18+((F49-B18)/((F49-B18)-(F49-B19)))*(A19-A18)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+(IF(AND((F49-B18)&lt;=0,(F49-B19)&lt;=0),0,IF(AND((F49-B18)&gt;=0,(F49-B19)&gt;=0),SQRT((A19-A18)^2+(B19-B18)^2),IF((F49-B18)&gt;0,SQRT(((A18+((F49-B18)/((F49-B18)-(F49-B19)))*(A19-A18))-A18)^2+(F49-B18)^2),SQRT((A19-(A18+((F49-B18)/((F49-B18)-(F49-B19)))*(A19-A18)))^2+(F49-B19)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+(IF(AND((F50-B18)&lt;=0,(F50-B19)&lt;=0),0,IF(AND((F50-B18)&gt;=0,(F50-B19)&gt;=0),0.5*((F50-B18)+(F50-B19))*ABS(A19-A18),IF((F50-B18)&gt;0,0.5*(F50-B18)*ABS((A18+((F50-B18)/((F50-B18)-(F50-B19)))*(A19-A18))-A18),0.5*(F50-B19)*ABS(A19-(A18+((F50-B18)/((F50-B18)-(F50-B19)))*(A19-A18)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+(IF(AND((F50-B18)&lt;=0,(F50-B19)&lt;=0),0,IF(AND((F50-B18)&gt;=0,(F50-B19)&gt;=0),SQRT((A19-A18)^2+(B19-B18)^2),IF((F50-B18)&gt;0,SQRT(((A18+((F50-B18)/((F50-B18)-(F50-B19)))*(A19-A18))-A18)^2+(F50-B18)^2),SQRT((A19-(A18+((F50-B18)/((F50-B18)-(F50-B19)))*(A19-A18)))^2+(F50-B19)^2)))))</f>
        <v/>
      </c>
      <c r="I50">
        <f>IF(OR($B$4&lt;=0,G50&lt;=0,H50&lt;=0,$B$5&lt;=0),0,(1/$B$4)*G50*((G50/H50)^(2/3))*SQRT($B$5))</f>
        <v/>
      </c>
    </row>
    <row r="51">
      <c r="D51">
        <f>IF(I50&lt;$B$3,F50,D50)</f>
        <v/>
      </c>
      <c r="E51">
        <f>IF(I50&lt;$B$3,E50,F50)</f>
        <v/>
      </c>
      <c r="F51">
        <f>(D51+E51)/2</f>
        <v/>
      </c>
      <c r="G51">
        <f>(IF(AND((F51-B10)&lt;=0,(F51-B11)&lt;=0),0,IF(AND((F51-B10)&gt;=0,(F51-B11)&gt;=0),0.5*((F51-B10)+(F51-B11))*ABS(A11-A10),IF((F51-B10)&gt;0,0.5*(F51-B10)*ABS((A10+((F51-B10)/((F51-B10)-(F51-B11)))*(A11-A10))-A10),0.5*(F51-B11)*ABS(A11-(A10+((F51-B10)/((F51-B10)-(F51-B11)))*(A11-A10)))))))+(IF(AND((F51-B11)&lt;=0,(F51-B12)&lt;=0),0,IF(AND((F51-B11)&gt;=0,(F51-B12)&gt;=0),0.5*((F51-B11)+(F51-B12))*ABS(A12-A11),IF((F51-B11)&gt;0,0.5*(F51-B11)*ABS((A11+((F51-B11)/((F51-B11)-(F51-B12)))*(A12-A11))-A11),0.5*(F51-B12)*ABS(A12-(A11+((F51-B11)/((F51-B11)-(F51-B12)))*(A12-A11)))))))+(IF(AND((F51-B12)&lt;=0,(F51-B13)&lt;=0),0,IF(AND((F51-B12)&gt;=0,(F51-B13)&gt;=0),0.5*((F51-B12)+(F51-B13))*ABS(A13-A12),IF((F51-B12)&gt;0,0.5*(F51-B12)*ABS((A12+((F51-B12)/((F51-B12)-(F51-B13)))*(A13-A12))-A12),0.5*(F51-B13)*ABS(A13-(A12+((F51-B12)/((F51-B12)-(F51-B13)))*(A13-A12)))))))+(IF(AND((F51-B13)&lt;=0,(F51-B14)&lt;=0),0,IF(AND((F51-B13)&gt;=0,(F51-B14)&gt;=0),0.5*((F51-B13)+(F51-B14))*ABS(A14-A13),IF((F51-B13)&gt;0,0.5*(F51-B13)*ABS((A13+((F51-B13)/((F51-B13)-(F51-B14)))*(A14-A13))-A13),0.5*(F51-B14)*ABS(A14-(A13+((F51-B13)/((F51-B13)-(F51-B14)))*(A14-A13)))))))+(IF(AND((F51-B14)&lt;=0,(F51-B15)&lt;=0),0,IF(AND((F51-B14)&gt;=0,(F51-B15)&gt;=0),0.5*((F51-B14)+(F51-B15))*ABS(A15-A14),IF((F51-B14)&gt;0,0.5*(F51-B14)*ABS((A14+((F51-B14)/((F51-B14)-(F51-B15)))*(A15-A14))-A14),0.5*(F51-B15)*ABS(A15-(A14+((F51-B14)/((F51-B14)-(F51-B15)))*(A15-A14)))))))+(IF(AND((F51-B15)&lt;=0,(F51-B16)&lt;=0),0,IF(AND((F51-B15)&gt;=0,(F51-B16)&gt;=0),0.5*((F51-B15)+(F51-B16))*ABS(A16-A15),IF((F51-B15)&gt;0,0.5*(F51-B15)*ABS((A15+((F51-B15)/((F51-B15)-(F51-B16)))*(A16-A15))-A15),0.5*(F51-B16)*ABS(A16-(A15+((F51-B15)/((F51-B15)-(F51-B16)))*(A16-A15)))))))+(IF(AND((F51-B16)&lt;=0,(F51-B17)&lt;=0),0,IF(AND((F51-B16)&gt;=0,(F51-B17)&gt;=0),0.5*((F51-B16)+(F51-B17))*ABS(A17-A16),IF((F51-B16)&gt;0,0.5*(F51-B16)*ABS((A16+((F51-B16)/((F51-B16)-(F51-B17)))*(A17-A16))-A16),0.5*(F51-B17)*ABS(A17-(A16+((F51-B16)/((F51-B16)-(F51-B17)))*(A17-A16)))))))+(IF(AND((F51-B17)&lt;=0,(F51-B18)&lt;=0),0,IF(AND((F51-B17)&gt;=0,(F51-B18)&gt;=0),0.5*((F51-B17)+(F51-B18))*ABS(A18-A17),IF((F51-B17)&gt;0,0.5*(F51-B17)*ABS((A17+((F51-B17)/((F51-B17)-(F51-B18)))*(A18-A17))-A17),0.5*(F51-B18)*ABS(A18-(A17+((F51-B17)/((F51-B17)-(F51-B18)))*(A18-A17)))))))+(IF(AND((F51-B18)&lt;=0,(F51-B19)&lt;=0),0,IF(AND((F51-B18)&gt;=0,(F51-B19)&gt;=0),0.5*((F51-B18)+(F51-B19))*ABS(A19-A18),IF((F51-B18)&gt;0,0.5*(F51-B18)*ABS((A18+((F51-B18)/((F51-B18)-(F51-B19)))*(A19-A18))-A18),0.5*(F51-B19)*ABS(A19-(A18+((F51-B18)/((F51-B18)-(F51-B19)))*(A19-A18)))))))</f>
        <v/>
      </c>
      <c r="H51">
        <f>(IF(AND((F51-B10)&lt;=0,(F51-B11)&lt;=0),0,IF(AND((F51-B10)&gt;=0,(F51-B11)&gt;=0),SQRT((A11-A10)^2+(B11-B10)^2),IF((F51-B10)&gt;0,SQRT(((A10+((F51-B10)/((F51-B10)-(F51-B11)))*(A11-A10))-A10)^2+(F51-B10)^2),SQRT((A11-(A10+((F51-B10)/((F51-B10)-(F51-B11)))*(A11-A10)))^2+(F51-B11)^2)))))+(IF(AND((F51-B11)&lt;=0,(F51-B12)&lt;=0),0,IF(AND((F51-B11)&gt;=0,(F51-B12)&gt;=0),SQRT((A12-A11)^2+(B12-B11)^2),IF((F51-B11)&gt;0,SQRT(((A11+((F51-B11)/((F51-B11)-(F51-B12)))*(A12-A11))-A11)^2+(F51-B11)^2),SQRT((A12-(A11+((F51-B11)/((F51-B11)-(F51-B12)))*(A12-A11)))^2+(F51-B12)^2)))))+(IF(AND((F51-B12)&lt;=0,(F51-B13)&lt;=0),0,IF(AND((F51-B12)&gt;=0,(F51-B13)&gt;=0),SQRT((A13-A12)^2+(B13-B12)^2),IF((F51-B12)&gt;0,SQRT(((A12+((F51-B12)/((F51-B12)-(F51-B13)))*(A13-A12))-A12)^2+(F51-B12)^2),SQRT((A13-(A12+((F51-B12)/((F51-B12)-(F51-B13)))*(A13-A12)))^2+(F51-B13)^2)))))+(IF(AND((F51-B13)&lt;=0,(F51-B14)&lt;=0),0,IF(AND((F51-B13)&gt;=0,(F51-B14)&gt;=0),SQRT((A14-A13)^2+(B14-B13)^2),IF((F51-B13)&gt;0,SQRT(((A13+((F51-B13)/((F51-B13)-(F51-B14)))*(A14-A13))-A13)^2+(F51-B13)^2),SQRT((A14-(A13+((F51-B13)/((F51-B13)-(F51-B14)))*(A14-A13)))^2+(F51-B14)^2)))))+(IF(AND((F51-B14)&lt;=0,(F51-B15)&lt;=0),0,IF(AND((F51-B14)&gt;=0,(F51-B15)&gt;=0),SQRT((A15-A14)^2+(B15-B14)^2),IF((F51-B14)&gt;0,SQRT(((A14+((F51-B14)/((F51-B14)-(F51-B15)))*(A15-A14))-A14)^2+(F51-B14)^2),SQRT((A15-(A14+((F51-B14)/((F51-B14)-(F51-B15)))*(A15-A14)))^2+(F51-B15)^2)))))+(IF(AND((F51-B15)&lt;=0,(F51-B16)&lt;=0),0,IF(AND((F51-B15)&gt;=0,(F51-B16)&gt;=0),SQRT((A16-A15)^2+(B16-B15)^2),IF((F51-B15)&gt;0,SQRT(((A15+((F51-B15)/((F51-B15)-(F51-B16)))*(A16-A15))-A15)^2+(F51-B15)^2),SQRT((A16-(A15+((F51-B15)/((F51-B15)-(F51-B16)))*(A16-A15)))^2+(F51-B16)^2)))))+(IF(AND((F51-B16)&lt;=0,(F51-B17)&lt;=0),0,IF(AND((F51-B16)&gt;=0,(F51-B17)&gt;=0),SQRT((A17-A16)^2+(B17-B16)^2),IF((F51-B16)&gt;0,SQRT(((A16+((F51-B16)/((F51-B16)-(F51-B17)))*(A17-A16))-A16)^2+(F51-B16)^2),SQRT((A17-(A16+((F51-B16)/((F51-B16)-(F51-B17)))*(A17-A16)))^2+(F51-B17)^2)))))+(IF(AND((F51-B17)&lt;=0,(F51-B18)&lt;=0),0,IF(AND((F51-B17)&gt;=0,(F51-B18)&gt;=0),SQRT((A18-A17)^2+(B18-B17)^2),IF((F51-B17)&gt;0,SQRT(((A17+((F51-B17)/((F51-B17)-(F51-B18)))*(A18-A17))-A17)^2+(F51-B17)^2),SQRT((A18-(A17+((F51-B17)/((F51-B17)-(F51-B18)))*(A18-A17)))^2+(F51-B18)^2)))))+(IF(AND((F51-B18)&lt;=0,(F51-B19)&lt;=0),0,IF(AND((F51-B18)&gt;=0,(F51-B19)&gt;=0),SQRT((A19-A18)^2+(B19-B18)^2),IF((F51-B18)&gt;0,SQRT(((A18+((F51-B18)/((F51-B18)-(F51-B19)))*(A19-A18))-A18)^2+(F51-B18)^2),SQRT((A19-(A18+((F51-B18)/((F51-B18)-(F51-B19)))*(A19-A18)))^2+(F51-B19)^2)))))</f>
        <v/>
      </c>
      <c r="I51">
        <f>IF(OR($B$4&lt;=0,G51&lt;=0,H51&lt;=0,$B$5&lt;=0),0,(1/$B$4)*G51*((G51/H51)^(2/3))*SQRT($B$5))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3+000 — vitesse à profondeur normale</t>
        </is>
      </c>
    </row>
    <row r="3">
      <c r="A3" t="inlineStr">
        <is>
          <t>Station (m)</t>
        </is>
      </c>
      <c r="B3" s="12" t="n">
        <v>23.663</v>
      </c>
    </row>
    <row r="4">
      <c r="A4" t="inlineStr">
        <is>
          <t>S0 (-)</t>
        </is>
      </c>
      <c r="B4" s="17" t="n">
        <v>-0.0025</v>
      </c>
      <c r="C4" s="18" t="inlineStr">
        <is>
          <t>Pente adverse ou nulle — V non calculée</t>
        </is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8" t="n"/>
    </row>
    <row r="10">
      <c r="A10" t="inlineStr">
        <is>
          <t>Profondeur y (m)</t>
        </is>
      </c>
      <c r="B10" s="8" t="n"/>
    </row>
    <row r="11">
      <c r="A11" t="inlineStr">
        <is>
          <t>Aire A (m²)</t>
        </is>
      </c>
      <c r="B11" s="8" t="n"/>
    </row>
    <row r="12">
      <c r="A12" t="inlineStr">
        <is>
          <t>Périmètre P (m)</t>
        </is>
      </c>
      <c r="B12" s="8" t="n"/>
    </row>
    <row r="13">
      <c r="A13" t="inlineStr">
        <is>
          <t>Rayon R = A/P (m)</t>
        </is>
      </c>
      <c r="B13" s="8" t="n"/>
    </row>
    <row r="14">
      <c r="A14" t="inlineStr">
        <is>
          <t>Vitesse V (m/s)</t>
        </is>
      </c>
      <c r="B14" s="8" t="n"/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39.84</v>
      </c>
      <c r="D19" s="5" t="inlineStr">
        <is>
          <t>TN</t>
        </is>
      </c>
    </row>
    <row r="20">
      <c r="A20" s="5" t="n">
        <v>2</v>
      </c>
      <c r="B20" s="6" t="n">
        <v>5.187</v>
      </c>
      <c r="C20" s="6" t="n">
        <v>38.8</v>
      </c>
      <c r="D20" s="5" t="inlineStr">
        <is>
          <t>TN</t>
        </is>
      </c>
    </row>
    <row r="21">
      <c r="A21" s="5" t="n">
        <v>3</v>
      </c>
      <c r="B21" s="6" t="n">
        <v>8.771000000000001</v>
      </c>
      <c r="C21" s="6" t="n">
        <v>36.81</v>
      </c>
      <c r="D21" s="5" t="inlineStr">
        <is>
          <t>TN</t>
        </is>
      </c>
    </row>
    <row r="22">
      <c r="A22" s="5" t="n">
        <v>4</v>
      </c>
      <c r="B22" s="6" t="n">
        <v>11.741</v>
      </c>
      <c r="C22" s="6" t="n">
        <v>35.92</v>
      </c>
      <c r="D22" s="5" t="inlineStr">
        <is>
          <t>TN</t>
        </is>
      </c>
    </row>
    <row r="23">
      <c r="A23" s="5" t="n">
        <v>5</v>
      </c>
      <c r="B23" s="6" t="n">
        <v>13.106</v>
      </c>
      <c r="C23" s="6" t="n">
        <v>34.94</v>
      </c>
      <c r="D23" s="5" t="inlineStr">
        <is>
          <t>TAB</t>
        </is>
      </c>
    </row>
    <row r="24">
      <c r="A24" s="5" t="n">
        <v>6</v>
      </c>
      <c r="B24" s="6" t="n">
        <v>13.616</v>
      </c>
      <c r="C24" s="6" t="n">
        <v>34.93</v>
      </c>
      <c r="D24" s="5" t="inlineStr">
        <is>
          <t>TN</t>
        </is>
      </c>
    </row>
    <row r="25">
      <c r="A25" s="5" t="n">
        <v>7</v>
      </c>
      <c r="B25" s="6" t="n">
        <v>14.646</v>
      </c>
      <c r="C25" s="6" t="n">
        <v>34.42</v>
      </c>
      <c r="D25" s="5" t="inlineStr">
        <is>
          <t>FOND</t>
        </is>
      </c>
    </row>
    <row r="26">
      <c r="A26" s="5" t="n">
        <v>8</v>
      </c>
      <c r="B26" s="6" t="n">
        <v>16.266</v>
      </c>
      <c r="C26" s="6" t="n">
        <v>34.89</v>
      </c>
      <c r="D26" s="5" t="inlineStr">
        <is>
          <t>TN</t>
        </is>
      </c>
    </row>
    <row r="27">
      <c r="A27" s="5" t="n">
        <v>9</v>
      </c>
      <c r="B27" s="6" t="n">
        <v>20.406</v>
      </c>
      <c r="C27" s="6" t="n">
        <v>35.05</v>
      </c>
      <c r="D27" s="5" t="inlineStr">
        <is>
          <t>TN</t>
        </is>
      </c>
    </row>
    <row r="28">
      <c r="A28" s="5" t="n">
        <v>10</v>
      </c>
      <c r="B28" s="6" t="n">
        <v>23.631</v>
      </c>
      <c r="C28" s="6" t="n">
        <v>37.16</v>
      </c>
      <c r="D28" s="5" t="inlineStr">
        <is>
          <t>TN</t>
        </is>
      </c>
    </row>
    <row r="29">
      <c r="A29" s="5" t="n">
        <v>11</v>
      </c>
      <c r="B29" s="6" t="n">
        <v>25.653</v>
      </c>
      <c r="C29" s="6" t="n">
        <v>38.39</v>
      </c>
      <c r="D29" s="5" t="inlineStr">
        <is>
          <t>TN</t>
        </is>
      </c>
    </row>
    <row r="30">
      <c r="A30" s="5" t="n">
        <v>12</v>
      </c>
      <c r="B30" s="6" t="n">
        <v>27.412</v>
      </c>
      <c r="C30" s="6" t="n">
        <v>39.62</v>
      </c>
      <c r="D30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4+000 — vitesse à profondeur normale</t>
        </is>
      </c>
    </row>
    <row r="3">
      <c r="A3" t="inlineStr">
        <is>
          <t>Station (m)</t>
        </is>
      </c>
      <c r="B3" s="12" t="n">
        <v>35.641</v>
      </c>
    </row>
    <row r="4">
      <c r="A4" t="inlineStr">
        <is>
          <t>S0 (-)</t>
        </is>
      </c>
      <c r="B4" s="20" t="n">
        <v>0.02032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'calc_4000'!L3</f>
        <v/>
      </c>
    </row>
    <row r="10">
      <c r="A10" t="inlineStr">
        <is>
          <t>Profondeur y (m)</t>
        </is>
      </c>
      <c r="B10" s="10">
        <f>'calc_4000'!L8</f>
        <v/>
      </c>
    </row>
    <row r="11">
      <c r="A11" t="inlineStr">
        <is>
          <t>Aire A (m²)</t>
        </is>
      </c>
      <c r="B11" s="10">
        <f>'calc_4000'!L4</f>
        <v/>
      </c>
    </row>
    <row r="12">
      <c r="A12" t="inlineStr">
        <is>
          <t>Périmètre P (m)</t>
        </is>
      </c>
      <c r="B12" s="10">
        <f>'calc_4000'!L5</f>
        <v/>
      </c>
    </row>
    <row r="13">
      <c r="A13" t="inlineStr">
        <is>
          <t>Rayon R = A/P (m)</t>
        </is>
      </c>
      <c r="B13" s="10">
        <f>'calc_4000'!L6</f>
        <v/>
      </c>
    </row>
    <row r="14">
      <c r="A14" t="inlineStr">
        <is>
          <t>Vitesse V (m/s)</t>
        </is>
      </c>
      <c r="B14" s="10">
        <f>'calc_4000'!L7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39.53</v>
      </c>
      <c r="D19" s="5" t="inlineStr">
        <is>
          <t>BOR</t>
        </is>
      </c>
    </row>
    <row r="20">
      <c r="A20" s="5" t="n">
        <v>2</v>
      </c>
      <c r="B20" s="6" t="n">
        <v>6.395</v>
      </c>
      <c r="C20" s="6" t="n">
        <v>38.9</v>
      </c>
      <c r="D20" s="5" t="inlineStr">
        <is>
          <t>TN</t>
        </is>
      </c>
    </row>
    <row r="21">
      <c r="A21" s="5" t="n">
        <v>3</v>
      </c>
      <c r="B21" s="6" t="n">
        <v>8.019</v>
      </c>
      <c r="C21" s="6" t="n">
        <v>38.22</v>
      </c>
      <c r="D21" s="5" t="inlineStr">
        <is>
          <t>TN</t>
        </is>
      </c>
    </row>
    <row r="22">
      <c r="A22" s="5" t="n">
        <v>4</v>
      </c>
      <c r="B22" s="6" t="n">
        <v>12.369</v>
      </c>
      <c r="C22" s="6" t="n">
        <v>35.8</v>
      </c>
      <c r="D22" s="5" t="inlineStr">
        <is>
          <t>TN</t>
        </is>
      </c>
    </row>
    <row r="23">
      <c r="A23" s="5" t="n">
        <v>5</v>
      </c>
      <c r="B23" s="6" t="n">
        <v>12.964</v>
      </c>
      <c r="C23" s="6" t="n">
        <v>34.74</v>
      </c>
      <c r="D23" s="5" t="inlineStr">
        <is>
          <t>TAB</t>
        </is>
      </c>
    </row>
    <row r="24">
      <c r="A24" s="5" t="n">
        <v>6</v>
      </c>
      <c r="B24" s="6" t="n">
        <v>14.846</v>
      </c>
      <c r="C24" s="6" t="n">
        <v>34.45</v>
      </c>
      <c r="D24" s="5" t="inlineStr">
        <is>
          <t>FOND</t>
        </is>
      </c>
    </row>
    <row r="25">
      <c r="A25" s="5" t="n">
        <v>7</v>
      </c>
      <c r="B25" s="6" t="n">
        <v>17.093</v>
      </c>
      <c r="C25" s="6" t="n">
        <v>34.43</v>
      </c>
      <c r="D25" s="5" t="inlineStr">
        <is>
          <t>FOND</t>
        </is>
      </c>
    </row>
    <row r="26">
      <c r="A26" s="5" t="n">
        <v>8</v>
      </c>
      <c r="B26" s="6" t="n">
        <v>18.878</v>
      </c>
      <c r="C26" s="6" t="n">
        <v>34.59</v>
      </c>
      <c r="D26" s="5" t="inlineStr">
        <is>
          <t>FOND</t>
        </is>
      </c>
    </row>
    <row r="27">
      <c r="A27" s="5" t="n">
        <v>9</v>
      </c>
      <c r="B27" s="6" t="n">
        <v>20.643</v>
      </c>
      <c r="C27" s="6" t="n">
        <v>34.94</v>
      </c>
      <c r="D27" s="5" t="inlineStr">
        <is>
          <t>TAB</t>
        </is>
      </c>
    </row>
    <row r="28">
      <c r="A28" s="5" t="n">
        <v>10</v>
      </c>
      <c r="B28" s="6" t="n">
        <v>21.275</v>
      </c>
      <c r="C28" s="6" t="n">
        <v>35.77</v>
      </c>
      <c r="D28" s="5" t="inlineStr">
        <is>
          <t>TN</t>
        </is>
      </c>
    </row>
    <row r="29">
      <c r="A29" s="5" t="n">
        <v>11</v>
      </c>
      <c r="B29" s="6" t="n">
        <v>24.672</v>
      </c>
      <c r="C29" s="6" t="n">
        <v>37.9</v>
      </c>
      <c r="D29" s="5" t="inlineStr">
        <is>
          <t>TN</t>
        </is>
      </c>
    </row>
    <row r="30">
      <c r="A30" s="5" t="n">
        <v>12</v>
      </c>
      <c r="B30" s="6" t="n">
        <v>26.991</v>
      </c>
      <c r="C30" s="6" t="n">
        <v>39.53</v>
      </c>
      <c r="D30" s="5" t="inlineStr">
        <is>
          <t>CLO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4+000</t>
        </is>
      </c>
    </row>
    <row r="3">
      <c r="A3" t="inlineStr">
        <is>
          <t>Q</t>
        </is>
      </c>
      <c r="B3">
        <f>'Section_4000'!B5</f>
        <v/>
      </c>
      <c r="D3" t="inlineStr">
        <is>
          <t>fond</t>
        </is>
      </c>
      <c r="E3">
        <f>MIN(B10:B21)</f>
        <v/>
      </c>
      <c r="K3" t="inlineStr">
        <is>
          <t>WSE</t>
        </is>
      </c>
      <c r="L3">
        <f>F53</f>
        <v/>
      </c>
    </row>
    <row r="4">
      <c r="A4" t="inlineStr">
        <is>
          <t>n</t>
        </is>
      </c>
      <c r="B4">
        <f>'Section_4000'!B6</f>
        <v/>
      </c>
      <c r="D4" t="inlineStr">
        <is>
          <t>zmax</t>
        </is>
      </c>
      <c r="E4">
        <f>MAX(B10:B21)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+(IF(AND((L3-B18)&lt;=0,(L3-B19)&lt;=0),0,IF(AND((L3-B18)&gt;=0,(L3-B19)&gt;=0),0.5*((L3-B18)+(L3-B19))*ABS(A19-A18),IF((L3-B18)&gt;0,0.5*(L3-B18)*ABS((A18+((L3-B18)/((L3-B18)-(L3-B19)))*(A19-A18))-A18),0.5*(L3-B19)*ABS(A19-(A18+((L3-B18)/((L3-B18)-(L3-B19)))*(A19-A18)))))))+(IF(AND((L3-B19)&lt;=0,(L3-B20)&lt;=0),0,IF(AND((L3-B19)&gt;=0,(L3-B20)&gt;=0),0.5*((L3-B19)+(L3-B20))*ABS(A20-A19),IF((L3-B19)&gt;0,0.5*(L3-B19)*ABS((A19+((L3-B19)/((L3-B19)-(L3-B20)))*(A20-A19))-A19),0.5*(L3-B20)*ABS(A20-(A19+((L3-B19)/((L3-B19)-(L3-B20)))*(A20-A19)))))))+(IF(AND((L3-B20)&lt;=0,(L3-B21)&lt;=0),0,IF(AND((L3-B20)&gt;=0,(L3-B21)&gt;=0),0.5*((L3-B20)+(L3-B21))*ABS(A21-A20),IF((L3-B20)&gt;0,0.5*(L3-B20)*ABS((A20+((L3-B20)/((L3-B20)-(L3-B21)))*(A21-A20))-A20),0.5*(L3-B21)*ABS(A21-(A20+((L3-B20)/((L3-B20)-(L3-B21)))*(A21-A20)))))))</f>
        <v/>
      </c>
    </row>
    <row r="5">
      <c r="A5" t="inlineStr">
        <is>
          <t>S0</t>
        </is>
      </c>
      <c r="B5">
        <f>'Section_4000'!B4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+(IF(AND((L3-B18)&lt;=0,(L3-B19)&lt;=0),0,IF(AND((L3-B18)&gt;=0,(L3-B19)&gt;=0),SQRT((A19-A18)^2+(B19-B18)^2),IF((L3-B18)&gt;0,SQRT(((A18+((L3-B18)/((L3-B18)-(L3-B19)))*(A19-A18))-A18)^2+(L3-B18)^2),SQRT((A19-(A18+((L3-B18)/((L3-B18)-(L3-B19)))*(A19-A18)))^2+(L3-B19)^2)))))+(IF(AND((L3-B19)&lt;=0,(L3-B20)&lt;=0),0,IF(AND((L3-B19)&gt;=0,(L3-B20)&gt;=0),SQRT((A20-A19)^2+(B20-B19)^2),IF((L3-B19)&gt;0,SQRT(((A19+((L3-B19)/((L3-B19)-(L3-B20)))*(A20-A19))-A19)^2+(L3-B19)^2),SQRT((A20-(A19+((L3-B19)/((L3-B19)-(L3-B20)))*(A20-A19)))^2+(L3-B20)^2)))))+(IF(AND((L3-B20)&lt;=0,(L3-B21)&lt;=0),0,IF(AND((L3-B20)&gt;=0,(L3-B21)&gt;=0),SQRT((A21-A20)^2+(B21-B20)^2),IF((L3-B20)&gt;0,SQRT(((A20+((L3-B20)/((L3-B20)-(L3-B21)))*(A21-A20))-A20)^2+(L3-B20)^2),SQRT((A21-(A20+((L3-B20)/((L3-B20)-(L3-B21)))*(A21-A20)))^2+(L3-B21)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39.53</v>
      </c>
    </row>
    <row r="11">
      <c r="A11" t="n">
        <v>6.395</v>
      </c>
      <c r="B11" t="n">
        <v>38.9</v>
      </c>
    </row>
    <row r="12">
      <c r="A12" t="n">
        <v>8.019</v>
      </c>
      <c r="B12" t="n">
        <v>38.22</v>
      </c>
    </row>
    <row r="13">
      <c r="A13" t="n">
        <v>12.369</v>
      </c>
      <c r="B13" t="n">
        <v>35.8</v>
      </c>
    </row>
    <row r="14">
      <c r="A14" t="n">
        <v>12.964</v>
      </c>
      <c r="B14" t="n">
        <v>34.74</v>
      </c>
    </row>
    <row r="15">
      <c r="A15" t="n">
        <v>14.846</v>
      </c>
      <c r="B15" t="n">
        <v>34.45</v>
      </c>
    </row>
    <row r="16">
      <c r="A16" t="n">
        <v>17.093</v>
      </c>
      <c r="B16" t="n">
        <v>34.43</v>
      </c>
    </row>
    <row r="17">
      <c r="A17" t="n">
        <v>18.878</v>
      </c>
      <c r="B17" t="n">
        <v>34.59</v>
      </c>
    </row>
    <row r="18">
      <c r="A18" t="n">
        <v>20.643</v>
      </c>
      <c r="B18" t="n">
        <v>34.94</v>
      </c>
    </row>
    <row r="19">
      <c r="A19" t="n">
        <v>21.275</v>
      </c>
      <c r="B19" t="n">
        <v>35.77</v>
      </c>
    </row>
    <row r="20">
      <c r="A20" t="n">
        <v>24.672</v>
      </c>
      <c r="B20" t="n">
        <v>37.9</v>
      </c>
    </row>
    <row r="21">
      <c r="A21" t="n">
        <v>26.991</v>
      </c>
      <c r="B21" t="n">
        <v>39.53</v>
      </c>
    </row>
    <row r="23">
      <c r="D23" t="inlineStr">
        <is>
          <t>lo</t>
        </is>
      </c>
      <c r="E23" t="inlineStr">
        <is>
          <t>hi</t>
        </is>
      </c>
      <c r="F23" t="inlineStr">
        <is>
          <t>mid</t>
        </is>
      </c>
      <c r="G23" t="inlineStr">
        <is>
          <t>A</t>
        </is>
      </c>
      <c r="H23" t="inlineStr">
        <is>
          <t>P</t>
        </is>
      </c>
      <c r="I23" t="inlineStr">
        <is>
          <t>Qman</t>
        </is>
      </c>
    </row>
    <row r="24">
      <c r="D24">
        <f>E3+0.0001</f>
        <v/>
      </c>
      <c r="E24">
        <f>E4-0.0001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+(IF(AND((F24-B18)&lt;=0,(F24-B19)&lt;=0),0,IF(AND((F24-B18)&gt;=0,(F24-B19)&gt;=0),0.5*((F24-B18)+(F24-B19))*ABS(A19-A18),IF((F24-B18)&gt;0,0.5*(F24-B18)*ABS((A18+((F24-B18)/((F24-B18)-(F24-B19)))*(A19-A18))-A18),0.5*(F24-B19)*ABS(A19-(A18+((F24-B18)/((F24-B18)-(F24-B19)))*(A19-A18)))))))+(IF(AND((F24-B19)&lt;=0,(F24-B20)&lt;=0),0,IF(AND((F24-B19)&gt;=0,(F24-B20)&gt;=0),0.5*((F24-B19)+(F24-B20))*ABS(A20-A19),IF((F24-B19)&gt;0,0.5*(F24-B19)*ABS((A19+((F24-B19)/((F24-B19)-(F24-B20)))*(A20-A19))-A19),0.5*(F24-B20)*ABS(A20-(A19+((F24-B19)/((F24-B19)-(F24-B20)))*(A20-A19)))))))+(IF(AND((F24-B20)&lt;=0,(F24-B21)&lt;=0),0,IF(AND((F24-B20)&gt;=0,(F24-B21)&gt;=0),0.5*((F24-B20)+(F24-B21))*ABS(A21-A20),IF((F24-B20)&gt;0,0.5*(F24-B20)*ABS((A20+((F24-B20)/((F24-B20)-(F24-B21)))*(A21-A20))-A20),0.5*(F24-B21)*ABS(A21-(A20+((F24-B20)/((F24-B20)-(F24-B21)))*(A21-A20)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+(IF(AND((F24-B18)&lt;=0,(F24-B19)&lt;=0),0,IF(AND((F24-B18)&gt;=0,(F24-B19)&gt;=0),SQRT((A19-A18)^2+(B19-B18)^2),IF((F24-B18)&gt;0,SQRT(((A18+((F24-B18)/((F24-B18)-(F24-B19)))*(A19-A18))-A18)^2+(F24-B18)^2),SQRT((A19-(A18+((F24-B18)/((F24-B18)-(F24-B19)))*(A19-A18)))^2+(F24-B19)^2)))))+(IF(AND((F24-B19)&lt;=0,(F24-B20)&lt;=0),0,IF(AND((F24-B19)&gt;=0,(F24-B20)&gt;=0),SQRT((A20-A19)^2+(B20-B19)^2),IF((F24-B19)&gt;0,SQRT(((A19+((F24-B19)/((F24-B19)-(F24-B20)))*(A20-A19))-A19)^2+(F24-B19)^2),SQRT((A20-(A19+((F24-B19)/((F24-B19)-(F24-B20)))*(A20-A19)))^2+(F24-B20)^2)))))+(IF(AND((F24-B20)&lt;=0,(F24-B21)&lt;=0),0,IF(AND((F24-B20)&gt;=0,(F24-B21)&gt;=0),SQRT((A21-A20)^2+(B21-B20)^2),IF((F24-B20)&gt;0,SQRT(((A20+((F24-B20)/((F24-B20)-(F24-B21)))*(A21-A20))-A20)^2+(F24-B20)^2),SQRT((A21-(A20+((F24-B20)/((F24-B20)-(F24-B21)))*(A21-A20)))^2+(F24-B21)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+(IF(AND((F25-B18)&lt;=0,(F25-B19)&lt;=0),0,IF(AND((F25-B18)&gt;=0,(F25-B19)&gt;=0),0.5*((F25-B18)+(F25-B19))*ABS(A19-A18),IF((F25-B18)&gt;0,0.5*(F25-B18)*ABS((A18+((F25-B18)/((F25-B18)-(F25-B19)))*(A19-A18))-A18),0.5*(F25-B19)*ABS(A19-(A18+((F25-B18)/((F25-B18)-(F25-B19)))*(A19-A18)))))))+(IF(AND((F25-B19)&lt;=0,(F25-B20)&lt;=0),0,IF(AND((F25-B19)&gt;=0,(F25-B20)&gt;=0),0.5*((F25-B19)+(F25-B20))*ABS(A20-A19),IF((F25-B19)&gt;0,0.5*(F25-B19)*ABS((A19+((F25-B19)/((F25-B19)-(F25-B20)))*(A20-A19))-A19),0.5*(F25-B20)*ABS(A20-(A19+((F25-B19)/((F25-B19)-(F25-B20)))*(A20-A19)))))))+(IF(AND((F25-B20)&lt;=0,(F25-B21)&lt;=0),0,IF(AND((F25-B20)&gt;=0,(F25-B21)&gt;=0),0.5*((F25-B20)+(F25-B21))*ABS(A21-A20),IF((F25-B20)&gt;0,0.5*(F25-B20)*ABS((A20+((F25-B20)/((F25-B20)-(F25-B21)))*(A21-A20))-A20),0.5*(F25-B21)*ABS(A21-(A20+((F25-B20)/((F25-B20)-(F25-B21)))*(A21-A20)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+(IF(AND((F25-B18)&lt;=0,(F25-B19)&lt;=0),0,IF(AND((F25-B18)&gt;=0,(F25-B19)&gt;=0),SQRT((A19-A18)^2+(B19-B18)^2),IF((F25-B18)&gt;0,SQRT(((A18+((F25-B18)/((F25-B18)-(F25-B19)))*(A19-A18))-A18)^2+(F25-B18)^2),SQRT((A19-(A18+((F25-B18)/((F25-B18)-(F25-B19)))*(A19-A18)))^2+(F25-B19)^2)))))+(IF(AND((F25-B19)&lt;=0,(F25-B20)&lt;=0),0,IF(AND((F25-B19)&gt;=0,(F25-B20)&gt;=0),SQRT((A20-A19)^2+(B20-B19)^2),IF((F25-B19)&gt;0,SQRT(((A19+((F25-B19)/((F25-B19)-(F25-B20)))*(A20-A19))-A19)^2+(F25-B19)^2),SQRT((A20-(A19+((F25-B19)/((F25-B19)-(F25-B20)))*(A20-A19)))^2+(F25-B20)^2)))))+(IF(AND((F25-B20)&lt;=0,(F25-B21)&lt;=0),0,IF(AND((F25-B20)&gt;=0,(F25-B21)&gt;=0),SQRT((A21-A20)^2+(B21-B20)^2),IF((F25-B20)&gt;0,SQRT(((A20+((F25-B20)/((F25-B20)-(F25-B21)))*(A21-A20))-A20)^2+(F25-B20)^2),SQRT((A21-(A20+((F25-B20)/((F25-B20)-(F25-B21)))*(A21-A20)))^2+(F25-B21)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+(IF(AND((F26-B18)&lt;=0,(F26-B19)&lt;=0),0,IF(AND((F26-B18)&gt;=0,(F26-B19)&gt;=0),0.5*((F26-B18)+(F26-B19))*ABS(A19-A18),IF((F26-B18)&gt;0,0.5*(F26-B18)*ABS((A18+((F26-B18)/((F26-B18)-(F26-B19)))*(A19-A18))-A18),0.5*(F26-B19)*ABS(A19-(A18+((F26-B18)/((F26-B18)-(F26-B19)))*(A19-A18)))))))+(IF(AND((F26-B19)&lt;=0,(F26-B20)&lt;=0),0,IF(AND((F26-B19)&gt;=0,(F26-B20)&gt;=0),0.5*((F26-B19)+(F26-B20))*ABS(A20-A19),IF((F26-B19)&gt;0,0.5*(F26-B19)*ABS((A19+((F26-B19)/((F26-B19)-(F26-B20)))*(A20-A19))-A19),0.5*(F26-B20)*ABS(A20-(A19+((F26-B19)/((F26-B19)-(F26-B20)))*(A20-A19)))))))+(IF(AND((F26-B20)&lt;=0,(F26-B21)&lt;=0),0,IF(AND((F26-B20)&gt;=0,(F26-B21)&gt;=0),0.5*((F26-B20)+(F26-B21))*ABS(A21-A20),IF((F26-B20)&gt;0,0.5*(F26-B20)*ABS((A20+((F26-B20)/((F26-B20)-(F26-B21)))*(A21-A20))-A20),0.5*(F26-B21)*ABS(A21-(A20+((F26-B20)/((F26-B20)-(F26-B21)))*(A21-A20)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+(IF(AND((F26-B18)&lt;=0,(F26-B19)&lt;=0),0,IF(AND((F26-B18)&gt;=0,(F26-B19)&gt;=0),SQRT((A19-A18)^2+(B19-B18)^2),IF((F26-B18)&gt;0,SQRT(((A18+((F26-B18)/((F26-B18)-(F26-B19)))*(A19-A18))-A18)^2+(F26-B18)^2),SQRT((A19-(A18+((F26-B18)/((F26-B18)-(F26-B19)))*(A19-A18)))^2+(F26-B19)^2)))))+(IF(AND((F26-B19)&lt;=0,(F26-B20)&lt;=0),0,IF(AND((F26-B19)&gt;=0,(F26-B20)&gt;=0),SQRT((A20-A19)^2+(B20-B19)^2),IF((F26-B19)&gt;0,SQRT(((A19+((F26-B19)/((F26-B19)-(F26-B20)))*(A20-A19))-A19)^2+(F26-B19)^2),SQRT((A20-(A19+((F26-B19)/((F26-B19)-(F26-B20)))*(A20-A19)))^2+(F26-B20)^2)))))+(IF(AND((F26-B20)&lt;=0,(F26-B21)&lt;=0),0,IF(AND((F26-B20)&gt;=0,(F26-B21)&gt;=0),SQRT((A21-A20)^2+(B21-B20)^2),IF((F26-B20)&gt;0,SQRT(((A20+((F26-B20)/((F26-B20)-(F26-B21)))*(A21-A20))-A20)^2+(F26-B20)^2),SQRT((A21-(A20+((F26-B20)/((F26-B20)-(F26-B21)))*(A21-A20)))^2+(F26-B21)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+(IF(AND((F27-B18)&lt;=0,(F27-B19)&lt;=0),0,IF(AND((F27-B18)&gt;=0,(F27-B19)&gt;=0),0.5*((F27-B18)+(F27-B19))*ABS(A19-A18),IF((F27-B18)&gt;0,0.5*(F27-B18)*ABS((A18+((F27-B18)/((F27-B18)-(F27-B19)))*(A19-A18))-A18),0.5*(F27-B19)*ABS(A19-(A18+((F27-B18)/((F27-B18)-(F27-B19)))*(A19-A18)))))))+(IF(AND((F27-B19)&lt;=0,(F27-B20)&lt;=0),0,IF(AND((F27-B19)&gt;=0,(F27-B20)&gt;=0),0.5*((F27-B19)+(F27-B20))*ABS(A20-A19),IF((F27-B19)&gt;0,0.5*(F27-B19)*ABS((A19+((F27-B19)/((F27-B19)-(F27-B20)))*(A20-A19))-A19),0.5*(F27-B20)*ABS(A20-(A19+((F27-B19)/((F27-B19)-(F27-B20)))*(A20-A19)))))))+(IF(AND((F27-B20)&lt;=0,(F27-B21)&lt;=0),0,IF(AND((F27-B20)&gt;=0,(F27-B21)&gt;=0),0.5*((F27-B20)+(F27-B21))*ABS(A21-A20),IF((F27-B20)&gt;0,0.5*(F27-B20)*ABS((A20+((F27-B20)/((F27-B20)-(F27-B21)))*(A21-A20))-A20),0.5*(F27-B21)*ABS(A21-(A20+((F27-B20)/((F27-B20)-(F27-B21)))*(A21-A20)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+(IF(AND((F27-B18)&lt;=0,(F27-B19)&lt;=0),0,IF(AND((F27-B18)&gt;=0,(F27-B19)&gt;=0),SQRT((A19-A18)^2+(B19-B18)^2),IF((F27-B18)&gt;0,SQRT(((A18+((F27-B18)/((F27-B18)-(F27-B19)))*(A19-A18))-A18)^2+(F27-B18)^2),SQRT((A19-(A18+((F27-B18)/((F27-B18)-(F27-B19)))*(A19-A18)))^2+(F27-B19)^2)))))+(IF(AND((F27-B19)&lt;=0,(F27-B20)&lt;=0),0,IF(AND((F27-B19)&gt;=0,(F27-B20)&gt;=0),SQRT((A20-A19)^2+(B20-B19)^2),IF((F27-B19)&gt;0,SQRT(((A19+((F27-B19)/((F27-B19)-(F27-B20)))*(A20-A19))-A19)^2+(F27-B19)^2),SQRT((A20-(A19+((F27-B19)/((F27-B19)-(F27-B20)))*(A20-A19)))^2+(F27-B20)^2)))))+(IF(AND((F27-B20)&lt;=0,(F27-B21)&lt;=0),0,IF(AND((F27-B20)&gt;=0,(F27-B21)&gt;=0),SQRT((A21-A20)^2+(B21-B20)^2),IF((F27-B20)&gt;0,SQRT(((A20+((F27-B20)/((F27-B20)-(F27-B21)))*(A21-A20))-A20)^2+(F27-B20)^2),SQRT((A21-(A20+((F27-B20)/((F27-B20)-(F27-B21)))*(A21-A20)))^2+(F27-B21)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+(IF(AND((F28-B18)&lt;=0,(F28-B19)&lt;=0),0,IF(AND((F28-B18)&gt;=0,(F28-B19)&gt;=0),0.5*((F28-B18)+(F28-B19))*ABS(A19-A18),IF((F28-B18)&gt;0,0.5*(F28-B18)*ABS((A18+((F28-B18)/((F28-B18)-(F28-B19)))*(A19-A18))-A18),0.5*(F28-B19)*ABS(A19-(A18+((F28-B18)/((F28-B18)-(F28-B19)))*(A19-A18)))))))+(IF(AND((F28-B19)&lt;=0,(F28-B20)&lt;=0),0,IF(AND((F28-B19)&gt;=0,(F28-B20)&gt;=0),0.5*((F28-B19)+(F28-B20))*ABS(A20-A19),IF((F28-B19)&gt;0,0.5*(F28-B19)*ABS((A19+((F28-B19)/((F28-B19)-(F28-B20)))*(A20-A19))-A19),0.5*(F28-B20)*ABS(A20-(A19+((F28-B19)/((F28-B19)-(F28-B20)))*(A20-A19)))))))+(IF(AND((F28-B20)&lt;=0,(F28-B21)&lt;=0),0,IF(AND((F28-B20)&gt;=0,(F28-B21)&gt;=0),0.5*((F28-B20)+(F28-B21))*ABS(A21-A20),IF((F28-B20)&gt;0,0.5*(F28-B20)*ABS((A20+((F28-B20)/((F28-B20)-(F28-B21)))*(A21-A20))-A20),0.5*(F28-B21)*ABS(A21-(A20+((F28-B20)/((F28-B20)-(F28-B21)))*(A21-A20)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+(IF(AND((F28-B18)&lt;=0,(F28-B19)&lt;=0),0,IF(AND((F28-B18)&gt;=0,(F28-B19)&gt;=0),SQRT((A19-A18)^2+(B19-B18)^2),IF((F28-B18)&gt;0,SQRT(((A18+((F28-B18)/((F28-B18)-(F28-B19)))*(A19-A18))-A18)^2+(F28-B18)^2),SQRT((A19-(A18+((F28-B18)/((F28-B18)-(F28-B19)))*(A19-A18)))^2+(F28-B19)^2)))))+(IF(AND((F28-B19)&lt;=0,(F28-B20)&lt;=0),0,IF(AND((F28-B19)&gt;=0,(F28-B20)&gt;=0),SQRT((A20-A19)^2+(B20-B19)^2),IF((F28-B19)&gt;0,SQRT(((A19+((F28-B19)/((F28-B19)-(F28-B20)))*(A20-A19))-A19)^2+(F28-B19)^2),SQRT((A20-(A19+((F28-B19)/((F28-B19)-(F28-B20)))*(A20-A19)))^2+(F28-B20)^2)))))+(IF(AND((F28-B20)&lt;=0,(F28-B21)&lt;=0),0,IF(AND((F28-B20)&gt;=0,(F28-B21)&gt;=0),SQRT((A21-A20)^2+(B21-B20)^2),IF((F28-B20)&gt;0,SQRT(((A20+((F28-B20)/((F28-B20)-(F28-B21)))*(A21-A20))-A20)^2+(F28-B20)^2),SQRT((A21-(A20+((F28-B20)/((F28-B20)-(F28-B21)))*(A21-A20)))^2+(F28-B21)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+(IF(AND((F29-B18)&lt;=0,(F29-B19)&lt;=0),0,IF(AND((F29-B18)&gt;=0,(F29-B19)&gt;=0),0.5*((F29-B18)+(F29-B19))*ABS(A19-A18),IF((F29-B18)&gt;0,0.5*(F29-B18)*ABS((A18+((F29-B18)/((F29-B18)-(F29-B19)))*(A19-A18))-A18),0.5*(F29-B19)*ABS(A19-(A18+((F29-B18)/((F29-B18)-(F29-B19)))*(A19-A18)))))))+(IF(AND((F29-B19)&lt;=0,(F29-B20)&lt;=0),0,IF(AND((F29-B19)&gt;=0,(F29-B20)&gt;=0),0.5*((F29-B19)+(F29-B20))*ABS(A20-A19),IF((F29-B19)&gt;0,0.5*(F29-B19)*ABS((A19+((F29-B19)/((F29-B19)-(F29-B20)))*(A20-A19))-A19),0.5*(F29-B20)*ABS(A20-(A19+((F29-B19)/((F29-B19)-(F29-B20)))*(A20-A19)))))))+(IF(AND((F29-B20)&lt;=0,(F29-B21)&lt;=0),0,IF(AND((F29-B20)&gt;=0,(F29-B21)&gt;=0),0.5*((F29-B20)+(F29-B21))*ABS(A21-A20),IF((F29-B20)&gt;0,0.5*(F29-B20)*ABS((A20+((F29-B20)/((F29-B20)-(F29-B21)))*(A21-A20))-A20),0.5*(F29-B21)*ABS(A21-(A20+((F29-B20)/((F29-B20)-(F29-B21)))*(A21-A20)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+(IF(AND((F29-B18)&lt;=0,(F29-B19)&lt;=0),0,IF(AND((F29-B18)&gt;=0,(F29-B19)&gt;=0),SQRT((A19-A18)^2+(B19-B18)^2),IF((F29-B18)&gt;0,SQRT(((A18+((F29-B18)/((F29-B18)-(F29-B19)))*(A19-A18))-A18)^2+(F29-B18)^2),SQRT((A19-(A18+((F29-B18)/((F29-B18)-(F29-B19)))*(A19-A18)))^2+(F29-B19)^2)))))+(IF(AND((F29-B19)&lt;=0,(F29-B20)&lt;=0),0,IF(AND((F29-B19)&gt;=0,(F29-B20)&gt;=0),SQRT((A20-A19)^2+(B20-B19)^2),IF((F29-B19)&gt;0,SQRT(((A19+((F29-B19)/((F29-B19)-(F29-B20)))*(A20-A19))-A19)^2+(F29-B19)^2),SQRT((A20-(A19+((F29-B19)/((F29-B19)-(F29-B20)))*(A20-A19)))^2+(F29-B20)^2)))))+(IF(AND((F29-B20)&lt;=0,(F29-B21)&lt;=0),0,IF(AND((F29-B20)&gt;=0,(F29-B21)&gt;=0),SQRT((A21-A20)^2+(B21-B20)^2),IF((F29-B20)&gt;0,SQRT(((A20+((F29-B20)/((F29-B20)-(F29-B21)))*(A21-A20))-A20)^2+(F29-B20)^2),SQRT((A21-(A20+((F29-B20)/((F29-B20)-(F29-B21)))*(A21-A20)))^2+(F29-B21)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+(IF(AND((F30-B18)&lt;=0,(F30-B19)&lt;=0),0,IF(AND((F30-B18)&gt;=0,(F30-B19)&gt;=0),0.5*((F30-B18)+(F30-B19))*ABS(A19-A18),IF((F30-B18)&gt;0,0.5*(F30-B18)*ABS((A18+((F30-B18)/((F30-B18)-(F30-B19)))*(A19-A18))-A18),0.5*(F30-B19)*ABS(A19-(A18+((F30-B18)/((F30-B18)-(F30-B19)))*(A19-A18)))))))+(IF(AND((F30-B19)&lt;=0,(F30-B20)&lt;=0),0,IF(AND((F30-B19)&gt;=0,(F30-B20)&gt;=0),0.5*((F30-B19)+(F30-B20))*ABS(A20-A19),IF((F30-B19)&gt;0,0.5*(F30-B19)*ABS((A19+((F30-B19)/((F30-B19)-(F30-B20)))*(A20-A19))-A19),0.5*(F30-B20)*ABS(A20-(A19+((F30-B19)/((F30-B19)-(F30-B20)))*(A20-A19)))))))+(IF(AND((F30-B20)&lt;=0,(F30-B21)&lt;=0),0,IF(AND((F30-B20)&gt;=0,(F30-B21)&gt;=0),0.5*((F30-B20)+(F30-B21))*ABS(A21-A20),IF((F30-B20)&gt;0,0.5*(F30-B20)*ABS((A20+((F30-B20)/((F30-B20)-(F30-B21)))*(A21-A20))-A20),0.5*(F30-B21)*ABS(A21-(A20+((F30-B20)/((F30-B20)-(F30-B21)))*(A21-A20)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+(IF(AND((F30-B18)&lt;=0,(F30-B19)&lt;=0),0,IF(AND((F30-B18)&gt;=0,(F30-B19)&gt;=0),SQRT((A19-A18)^2+(B19-B18)^2),IF((F30-B18)&gt;0,SQRT(((A18+((F30-B18)/((F30-B18)-(F30-B19)))*(A19-A18))-A18)^2+(F30-B18)^2),SQRT((A19-(A18+((F30-B18)/((F30-B18)-(F30-B19)))*(A19-A18)))^2+(F30-B19)^2)))))+(IF(AND((F30-B19)&lt;=0,(F30-B20)&lt;=0),0,IF(AND((F30-B19)&gt;=0,(F30-B20)&gt;=0),SQRT((A20-A19)^2+(B20-B19)^2),IF((F30-B19)&gt;0,SQRT(((A19+((F30-B19)/((F30-B19)-(F30-B20)))*(A20-A19))-A19)^2+(F30-B19)^2),SQRT((A20-(A19+((F30-B19)/((F30-B19)-(F30-B20)))*(A20-A19)))^2+(F30-B20)^2)))))+(IF(AND((F30-B20)&lt;=0,(F30-B21)&lt;=0),0,IF(AND((F30-B20)&gt;=0,(F30-B21)&gt;=0),SQRT((A21-A20)^2+(B21-B20)^2),IF((F30-B20)&gt;0,SQRT(((A20+((F30-B20)/((F30-B20)-(F30-B21)))*(A21-A20))-A20)^2+(F30-B20)^2),SQRT((A21-(A20+((F30-B20)/((F30-B20)-(F30-B21)))*(A21-A20)))^2+(F30-B21)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+(IF(AND((F31-B18)&lt;=0,(F31-B19)&lt;=0),0,IF(AND((F31-B18)&gt;=0,(F31-B19)&gt;=0),0.5*((F31-B18)+(F31-B19))*ABS(A19-A18),IF((F31-B18)&gt;0,0.5*(F31-B18)*ABS((A18+((F31-B18)/((F31-B18)-(F31-B19)))*(A19-A18))-A18),0.5*(F31-B19)*ABS(A19-(A18+((F31-B18)/((F31-B18)-(F31-B19)))*(A19-A18)))))))+(IF(AND((F31-B19)&lt;=0,(F31-B20)&lt;=0),0,IF(AND((F31-B19)&gt;=0,(F31-B20)&gt;=0),0.5*((F31-B19)+(F31-B20))*ABS(A20-A19),IF((F31-B19)&gt;0,0.5*(F31-B19)*ABS((A19+((F31-B19)/((F31-B19)-(F31-B20)))*(A20-A19))-A19),0.5*(F31-B20)*ABS(A20-(A19+((F31-B19)/((F31-B19)-(F31-B20)))*(A20-A19)))))))+(IF(AND((F31-B20)&lt;=0,(F31-B21)&lt;=0),0,IF(AND((F31-B20)&gt;=0,(F31-B21)&gt;=0),0.5*((F31-B20)+(F31-B21))*ABS(A21-A20),IF((F31-B20)&gt;0,0.5*(F31-B20)*ABS((A20+((F31-B20)/((F31-B20)-(F31-B21)))*(A21-A20))-A20),0.5*(F31-B21)*ABS(A21-(A20+((F31-B20)/((F31-B20)-(F31-B21)))*(A21-A20)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+(IF(AND((F31-B18)&lt;=0,(F31-B19)&lt;=0),0,IF(AND((F31-B18)&gt;=0,(F31-B19)&gt;=0),SQRT((A19-A18)^2+(B19-B18)^2),IF((F31-B18)&gt;0,SQRT(((A18+((F31-B18)/((F31-B18)-(F31-B19)))*(A19-A18))-A18)^2+(F31-B18)^2),SQRT((A19-(A18+((F31-B18)/((F31-B18)-(F31-B19)))*(A19-A18)))^2+(F31-B19)^2)))))+(IF(AND((F31-B19)&lt;=0,(F31-B20)&lt;=0),0,IF(AND((F31-B19)&gt;=0,(F31-B20)&gt;=0),SQRT((A20-A19)^2+(B20-B19)^2),IF((F31-B19)&gt;0,SQRT(((A19+((F31-B19)/((F31-B19)-(F31-B20)))*(A20-A19))-A19)^2+(F31-B19)^2),SQRT((A20-(A19+((F31-B19)/((F31-B19)-(F31-B20)))*(A20-A19)))^2+(F31-B20)^2)))))+(IF(AND((F31-B20)&lt;=0,(F31-B21)&lt;=0),0,IF(AND((F31-B20)&gt;=0,(F31-B21)&gt;=0),SQRT((A21-A20)^2+(B21-B20)^2),IF((F31-B20)&gt;0,SQRT(((A20+((F31-B20)/((F31-B20)-(F31-B21)))*(A21-A20))-A20)^2+(F31-B20)^2),SQRT((A21-(A20+((F31-B20)/((F31-B20)-(F31-B21)))*(A21-A20)))^2+(F31-B21)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+(IF(AND((F32-B18)&lt;=0,(F32-B19)&lt;=0),0,IF(AND((F32-B18)&gt;=0,(F32-B19)&gt;=0),0.5*((F32-B18)+(F32-B19))*ABS(A19-A18),IF((F32-B18)&gt;0,0.5*(F32-B18)*ABS((A18+((F32-B18)/((F32-B18)-(F32-B19)))*(A19-A18))-A18),0.5*(F32-B19)*ABS(A19-(A18+((F32-B18)/((F32-B18)-(F32-B19)))*(A19-A18)))))))+(IF(AND((F32-B19)&lt;=0,(F32-B20)&lt;=0),0,IF(AND((F32-B19)&gt;=0,(F32-B20)&gt;=0),0.5*((F32-B19)+(F32-B20))*ABS(A20-A19),IF((F32-B19)&gt;0,0.5*(F32-B19)*ABS((A19+((F32-B19)/((F32-B19)-(F32-B20)))*(A20-A19))-A19),0.5*(F32-B20)*ABS(A20-(A19+((F32-B19)/((F32-B19)-(F32-B20)))*(A20-A19)))))))+(IF(AND((F32-B20)&lt;=0,(F32-B21)&lt;=0),0,IF(AND((F32-B20)&gt;=0,(F32-B21)&gt;=0),0.5*((F32-B20)+(F32-B21))*ABS(A21-A20),IF((F32-B20)&gt;0,0.5*(F32-B20)*ABS((A20+((F32-B20)/((F32-B20)-(F32-B21)))*(A21-A20))-A20),0.5*(F32-B21)*ABS(A21-(A20+((F32-B20)/((F32-B20)-(F32-B21)))*(A21-A20)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+(IF(AND((F32-B18)&lt;=0,(F32-B19)&lt;=0),0,IF(AND((F32-B18)&gt;=0,(F32-B19)&gt;=0),SQRT((A19-A18)^2+(B19-B18)^2),IF((F32-B18)&gt;0,SQRT(((A18+((F32-B18)/((F32-B18)-(F32-B19)))*(A19-A18))-A18)^2+(F32-B18)^2),SQRT((A19-(A18+((F32-B18)/((F32-B18)-(F32-B19)))*(A19-A18)))^2+(F32-B19)^2)))))+(IF(AND((F32-B19)&lt;=0,(F32-B20)&lt;=0),0,IF(AND((F32-B19)&gt;=0,(F32-B20)&gt;=0),SQRT((A20-A19)^2+(B20-B19)^2),IF((F32-B19)&gt;0,SQRT(((A19+((F32-B19)/((F32-B19)-(F32-B20)))*(A20-A19))-A19)^2+(F32-B19)^2),SQRT((A20-(A19+((F32-B19)/((F32-B19)-(F32-B20)))*(A20-A19)))^2+(F32-B20)^2)))))+(IF(AND((F32-B20)&lt;=0,(F32-B21)&lt;=0),0,IF(AND((F32-B20)&gt;=0,(F32-B21)&gt;=0),SQRT((A21-A20)^2+(B21-B20)^2),IF((F32-B20)&gt;0,SQRT(((A20+((F32-B20)/((F32-B20)-(F32-B21)))*(A21-A20))-A20)^2+(F32-B20)^2),SQRT((A21-(A20+((F32-B20)/((F32-B20)-(F32-B21)))*(A21-A20)))^2+(F32-B21)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+(IF(AND((F33-B18)&lt;=0,(F33-B19)&lt;=0),0,IF(AND((F33-B18)&gt;=0,(F33-B19)&gt;=0),0.5*((F33-B18)+(F33-B19))*ABS(A19-A18),IF((F33-B18)&gt;0,0.5*(F33-B18)*ABS((A18+((F33-B18)/((F33-B18)-(F33-B19)))*(A19-A18))-A18),0.5*(F33-B19)*ABS(A19-(A18+((F33-B18)/((F33-B18)-(F33-B19)))*(A19-A18)))))))+(IF(AND((F33-B19)&lt;=0,(F33-B20)&lt;=0),0,IF(AND((F33-B19)&gt;=0,(F33-B20)&gt;=0),0.5*((F33-B19)+(F33-B20))*ABS(A20-A19),IF((F33-B19)&gt;0,0.5*(F33-B19)*ABS((A19+((F33-B19)/((F33-B19)-(F33-B20)))*(A20-A19))-A19),0.5*(F33-B20)*ABS(A20-(A19+((F33-B19)/((F33-B19)-(F33-B20)))*(A20-A19)))))))+(IF(AND((F33-B20)&lt;=0,(F33-B21)&lt;=0),0,IF(AND((F33-B20)&gt;=0,(F33-B21)&gt;=0),0.5*((F33-B20)+(F33-B21))*ABS(A21-A20),IF((F33-B20)&gt;0,0.5*(F33-B20)*ABS((A20+((F33-B20)/((F33-B20)-(F33-B21)))*(A21-A20))-A20),0.5*(F33-B21)*ABS(A21-(A20+((F33-B20)/((F33-B20)-(F33-B21)))*(A21-A20)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+(IF(AND((F33-B18)&lt;=0,(F33-B19)&lt;=0),0,IF(AND((F33-B18)&gt;=0,(F33-B19)&gt;=0),SQRT((A19-A18)^2+(B19-B18)^2),IF((F33-B18)&gt;0,SQRT(((A18+((F33-B18)/((F33-B18)-(F33-B19)))*(A19-A18))-A18)^2+(F33-B18)^2),SQRT((A19-(A18+((F33-B18)/((F33-B18)-(F33-B19)))*(A19-A18)))^2+(F33-B19)^2)))))+(IF(AND((F33-B19)&lt;=0,(F33-B20)&lt;=0),0,IF(AND((F33-B19)&gt;=0,(F33-B20)&gt;=0),SQRT((A20-A19)^2+(B20-B19)^2),IF((F33-B19)&gt;0,SQRT(((A19+((F33-B19)/((F33-B19)-(F33-B20)))*(A20-A19))-A19)^2+(F33-B19)^2),SQRT((A20-(A19+((F33-B19)/((F33-B19)-(F33-B20)))*(A20-A19)))^2+(F33-B20)^2)))))+(IF(AND((F33-B20)&lt;=0,(F33-B21)&lt;=0),0,IF(AND((F33-B20)&gt;=0,(F33-B21)&gt;=0),SQRT((A21-A20)^2+(B21-B20)^2),IF((F33-B20)&gt;0,SQRT(((A20+((F33-B20)/((F33-B20)-(F33-B21)))*(A21-A20))-A20)^2+(F33-B20)^2),SQRT((A21-(A20+((F33-B20)/((F33-B20)-(F33-B21)))*(A21-A20)))^2+(F33-B21)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+(IF(AND((F34-B18)&lt;=0,(F34-B19)&lt;=0),0,IF(AND((F34-B18)&gt;=0,(F34-B19)&gt;=0),0.5*((F34-B18)+(F34-B19))*ABS(A19-A18),IF((F34-B18)&gt;0,0.5*(F34-B18)*ABS((A18+((F34-B18)/((F34-B18)-(F34-B19)))*(A19-A18))-A18),0.5*(F34-B19)*ABS(A19-(A18+((F34-B18)/((F34-B18)-(F34-B19)))*(A19-A18)))))))+(IF(AND((F34-B19)&lt;=0,(F34-B20)&lt;=0),0,IF(AND((F34-B19)&gt;=0,(F34-B20)&gt;=0),0.5*((F34-B19)+(F34-B20))*ABS(A20-A19),IF((F34-B19)&gt;0,0.5*(F34-B19)*ABS((A19+((F34-B19)/((F34-B19)-(F34-B20)))*(A20-A19))-A19),0.5*(F34-B20)*ABS(A20-(A19+((F34-B19)/((F34-B19)-(F34-B20)))*(A20-A19)))))))+(IF(AND((F34-B20)&lt;=0,(F34-B21)&lt;=0),0,IF(AND((F34-B20)&gt;=0,(F34-B21)&gt;=0),0.5*((F34-B20)+(F34-B21))*ABS(A21-A20),IF((F34-B20)&gt;0,0.5*(F34-B20)*ABS((A20+((F34-B20)/((F34-B20)-(F34-B21)))*(A21-A20))-A20),0.5*(F34-B21)*ABS(A21-(A20+((F34-B20)/((F34-B20)-(F34-B21)))*(A21-A20)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+(IF(AND((F34-B18)&lt;=0,(F34-B19)&lt;=0),0,IF(AND((F34-B18)&gt;=0,(F34-B19)&gt;=0),SQRT((A19-A18)^2+(B19-B18)^2),IF((F34-B18)&gt;0,SQRT(((A18+((F34-B18)/((F34-B18)-(F34-B19)))*(A19-A18))-A18)^2+(F34-B18)^2),SQRT((A19-(A18+((F34-B18)/((F34-B18)-(F34-B19)))*(A19-A18)))^2+(F34-B19)^2)))))+(IF(AND((F34-B19)&lt;=0,(F34-B20)&lt;=0),0,IF(AND((F34-B19)&gt;=0,(F34-B20)&gt;=0),SQRT((A20-A19)^2+(B20-B19)^2),IF((F34-B19)&gt;0,SQRT(((A19+((F34-B19)/((F34-B19)-(F34-B20)))*(A20-A19))-A19)^2+(F34-B19)^2),SQRT((A20-(A19+((F34-B19)/((F34-B19)-(F34-B20)))*(A20-A19)))^2+(F34-B20)^2)))))+(IF(AND((F34-B20)&lt;=0,(F34-B21)&lt;=0),0,IF(AND((F34-B20)&gt;=0,(F34-B21)&gt;=0),SQRT((A21-A20)^2+(B21-B20)^2),IF((F34-B20)&gt;0,SQRT(((A20+((F34-B20)/((F34-B20)-(F34-B21)))*(A21-A20))-A20)^2+(F34-B20)^2),SQRT((A21-(A20+((F34-B20)/((F34-B20)-(F34-B21)))*(A21-A20)))^2+(F34-B21)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+(IF(AND((F35-B18)&lt;=0,(F35-B19)&lt;=0),0,IF(AND((F35-B18)&gt;=0,(F35-B19)&gt;=0),0.5*((F35-B18)+(F35-B19))*ABS(A19-A18),IF((F35-B18)&gt;0,0.5*(F35-B18)*ABS((A18+((F35-B18)/((F35-B18)-(F35-B19)))*(A19-A18))-A18),0.5*(F35-B19)*ABS(A19-(A18+((F35-B18)/((F35-B18)-(F35-B19)))*(A19-A18)))))))+(IF(AND((F35-B19)&lt;=0,(F35-B20)&lt;=0),0,IF(AND((F35-B19)&gt;=0,(F35-B20)&gt;=0),0.5*((F35-B19)+(F35-B20))*ABS(A20-A19),IF((F35-B19)&gt;0,0.5*(F35-B19)*ABS((A19+((F35-B19)/((F35-B19)-(F35-B20)))*(A20-A19))-A19),0.5*(F35-B20)*ABS(A20-(A19+((F35-B19)/((F35-B19)-(F35-B20)))*(A20-A19)))))))+(IF(AND((F35-B20)&lt;=0,(F35-B21)&lt;=0),0,IF(AND((F35-B20)&gt;=0,(F35-B21)&gt;=0),0.5*((F35-B20)+(F35-B21))*ABS(A21-A20),IF((F35-B20)&gt;0,0.5*(F35-B20)*ABS((A20+((F35-B20)/((F35-B20)-(F35-B21)))*(A21-A20))-A20),0.5*(F35-B21)*ABS(A21-(A20+((F35-B20)/((F35-B20)-(F35-B21)))*(A21-A20)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+(IF(AND((F35-B18)&lt;=0,(F35-B19)&lt;=0),0,IF(AND((F35-B18)&gt;=0,(F35-B19)&gt;=0),SQRT((A19-A18)^2+(B19-B18)^2),IF((F35-B18)&gt;0,SQRT(((A18+((F35-B18)/((F35-B18)-(F35-B19)))*(A19-A18))-A18)^2+(F35-B18)^2),SQRT((A19-(A18+((F35-B18)/((F35-B18)-(F35-B19)))*(A19-A18)))^2+(F35-B19)^2)))))+(IF(AND((F35-B19)&lt;=0,(F35-B20)&lt;=0),0,IF(AND((F35-B19)&gt;=0,(F35-B20)&gt;=0),SQRT((A20-A19)^2+(B20-B19)^2),IF((F35-B19)&gt;0,SQRT(((A19+((F35-B19)/((F35-B19)-(F35-B20)))*(A20-A19))-A19)^2+(F35-B19)^2),SQRT((A20-(A19+((F35-B19)/((F35-B19)-(F35-B20)))*(A20-A19)))^2+(F35-B20)^2)))))+(IF(AND((F35-B20)&lt;=0,(F35-B21)&lt;=0),0,IF(AND((F35-B20)&gt;=0,(F35-B21)&gt;=0),SQRT((A21-A20)^2+(B21-B20)^2),IF((F35-B20)&gt;0,SQRT(((A20+((F35-B20)/((F35-B20)-(F35-B21)))*(A21-A20))-A20)^2+(F35-B20)^2),SQRT((A21-(A20+((F35-B20)/((F35-B20)-(F35-B21)))*(A21-A20)))^2+(F35-B21)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+(IF(AND((F36-B18)&lt;=0,(F36-B19)&lt;=0),0,IF(AND((F36-B18)&gt;=0,(F36-B19)&gt;=0),0.5*((F36-B18)+(F36-B19))*ABS(A19-A18),IF((F36-B18)&gt;0,0.5*(F36-B18)*ABS((A18+((F36-B18)/((F36-B18)-(F36-B19)))*(A19-A18))-A18),0.5*(F36-B19)*ABS(A19-(A18+((F36-B18)/((F36-B18)-(F36-B19)))*(A19-A18)))))))+(IF(AND((F36-B19)&lt;=0,(F36-B20)&lt;=0),0,IF(AND((F36-B19)&gt;=0,(F36-B20)&gt;=0),0.5*((F36-B19)+(F36-B20))*ABS(A20-A19),IF((F36-B19)&gt;0,0.5*(F36-B19)*ABS((A19+((F36-B19)/((F36-B19)-(F36-B20)))*(A20-A19))-A19),0.5*(F36-B20)*ABS(A20-(A19+((F36-B19)/((F36-B19)-(F36-B20)))*(A20-A19)))))))+(IF(AND((F36-B20)&lt;=0,(F36-B21)&lt;=0),0,IF(AND((F36-B20)&gt;=0,(F36-B21)&gt;=0),0.5*((F36-B20)+(F36-B21))*ABS(A21-A20),IF((F36-B20)&gt;0,0.5*(F36-B20)*ABS((A20+((F36-B20)/((F36-B20)-(F36-B21)))*(A21-A20))-A20),0.5*(F36-B21)*ABS(A21-(A20+((F36-B20)/((F36-B20)-(F36-B21)))*(A21-A20)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+(IF(AND((F36-B18)&lt;=0,(F36-B19)&lt;=0),0,IF(AND((F36-B18)&gt;=0,(F36-B19)&gt;=0),SQRT((A19-A18)^2+(B19-B18)^2),IF((F36-B18)&gt;0,SQRT(((A18+((F36-B18)/((F36-B18)-(F36-B19)))*(A19-A18))-A18)^2+(F36-B18)^2),SQRT((A19-(A18+((F36-B18)/((F36-B18)-(F36-B19)))*(A19-A18)))^2+(F36-B19)^2)))))+(IF(AND((F36-B19)&lt;=0,(F36-B20)&lt;=0),0,IF(AND((F36-B19)&gt;=0,(F36-B20)&gt;=0),SQRT((A20-A19)^2+(B20-B19)^2),IF((F36-B19)&gt;0,SQRT(((A19+((F36-B19)/((F36-B19)-(F36-B20)))*(A20-A19))-A19)^2+(F36-B19)^2),SQRT((A20-(A19+((F36-B19)/((F36-B19)-(F36-B20)))*(A20-A19)))^2+(F36-B20)^2)))))+(IF(AND((F36-B20)&lt;=0,(F36-B21)&lt;=0),0,IF(AND((F36-B20)&gt;=0,(F36-B21)&gt;=0),SQRT((A21-A20)^2+(B21-B20)^2),IF((F36-B20)&gt;0,SQRT(((A20+((F36-B20)/((F36-B20)-(F36-B21)))*(A21-A20))-A20)^2+(F36-B20)^2),SQRT((A21-(A20+((F36-B20)/((F36-B20)-(F36-B21)))*(A21-A20)))^2+(F36-B21)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+(IF(AND((F37-B18)&lt;=0,(F37-B19)&lt;=0),0,IF(AND((F37-B18)&gt;=0,(F37-B19)&gt;=0),0.5*((F37-B18)+(F37-B19))*ABS(A19-A18),IF((F37-B18)&gt;0,0.5*(F37-B18)*ABS((A18+((F37-B18)/((F37-B18)-(F37-B19)))*(A19-A18))-A18),0.5*(F37-B19)*ABS(A19-(A18+((F37-B18)/((F37-B18)-(F37-B19)))*(A19-A18)))))))+(IF(AND((F37-B19)&lt;=0,(F37-B20)&lt;=0),0,IF(AND((F37-B19)&gt;=0,(F37-B20)&gt;=0),0.5*((F37-B19)+(F37-B20))*ABS(A20-A19),IF((F37-B19)&gt;0,0.5*(F37-B19)*ABS((A19+((F37-B19)/((F37-B19)-(F37-B20)))*(A20-A19))-A19),0.5*(F37-B20)*ABS(A20-(A19+((F37-B19)/((F37-B19)-(F37-B20)))*(A20-A19)))))))+(IF(AND((F37-B20)&lt;=0,(F37-B21)&lt;=0),0,IF(AND((F37-B20)&gt;=0,(F37-B21)&gt;=0),0.5*((F37-B20)+(F37-B21))*ABS(A21-A20),IF((F37-B20)&gt;0,0.5*(F37-B20)*ABS((A20+((F37-B20)/((F37-B20)-(F37-B21)))*(A21-A20))-A20),0.5*(F37-B21)*ABS(A21-(A20+((F37-B20)/((F37-B20)-(F37-B21)))*(A21-A20)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+(IF(AND((F37-B18)&lt;=0,(F37-B19)&lt;=0),0,IF(AND((F37-B18)&gt;=0,(F37-B19)&gt;=0),SQRT((A19-A18)^2+(B19-B18)^2),IF((F37-B18)&gt;0,SQRT(((A18+((F37-B18)/((F37-B18)-(F37-B19)))*(A19-A18))-A18)^2+(F37-B18)^2),SQRT((A19-(A18+((F37-B18)/((F37-B18)-(F37-B19)))*(A19-A18)))^2+(F37-B19)^2)))))+(IF(AND((F37-B19)&lt;=0,(F37-B20)&lt;=0),0,IF(AND((F37-B19)&gt;=0,(F37-B20)&gt;=0),SQRT((A20-A19)^2+(B20-B19)^2),IF((F37-B19)&gt;0,SQRT(((A19+((F37-B19)/((F37-B19)-(F37-B20)))*(A20-A19))-A19)^2+(F37-B19)^2),SQRT((A20-(A19+((F37-B19)/((F37-B19)-(F37-B20)))*(A20-A19)))^2+(F37-B20)^2)))))+(IF(AND((F37-B20)&lt;=0,(F37-B21)&lt;=0),0,IF(AND((F37-B20)&gt;=0,(F37-B21)&gt;=0),SQRT((A21-A20)^2+(B21-B20)^2),IF((F37-B20)&gt;0,SQRT(((A20+((F37-B20)/((F37-B20)-(F37-B21)))*(A21-A20))-A20)^2+(F37-B20)^2),SQRT((A21-(A20+((F37-B20)/((F37-B20)-(F37-B21)))*(A21-A20)))^2+(F37-B21)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+(IF(AND((F38-B18)&lt;=0,(F38-B19)&lt;=0),0,IF(AND((F38-B18)&gt;=0,(F38-B19)&gt;=0),0.5*((F38-B18)+(F38-B19))*ABS(A19-A18),IF((F38-B18)&gt;0,0.5*(F38-B18)*ABS((A18+((F38-B18)/((F38-B18)-(F38-B19)))*(A19-A18))-A18),0.5*(F38-B19)*ABS(A19-(A18+((F38-B18)/((F38-B18)-(F38-B19)))*(A19-A18)))))))+(IF(AND((F38-B19)&lt;=0,(F38-B20)&lt;=0),0,IF(AND((F38-B19)&gt;=0,(F38-B20)&gt;=0),0.5*((F38-B19)+(F38-B20))*ABS(A20-A19),IF((F38-B19)&gt;0,0.5*(F38-B19)*ABS((A19+((F38-B19)/((F38-B19)-(F38-B20)))*(A20-A19))-A19),0.5*(F38-B20)*ABS(A20-(A19+((F38-B19)/((F38-B19)-(F38-B20)))*(A20-A19)))))))+(IF(AND((F38-B20)&lt;=0,(F38-B21)&lt;=0),0,IF(AND((F38-B20)&gt;=0,(F38-B21)&gt;=0),0.5*((F38-B20)+(F38-B21))*ABS(A21-A20),IF((F38-B20)&gt;0,0.5*(F38-B20)*ABS((A20+((F38-B20)/((F38-B20)-(F38-B21)))*(A21-A20))-A20),0.5*(F38-B21)*ABS(A21-(A20+((F38-B20)/((F38-B20)-(F38-B21)))*(A21-A20)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+(IF(AND((F38-B18)&lt;=0,(F38-B19)&lt;=0),0,IF(AND((F38-B18)&gt;=0,(F38-B19)&gt;=0),SQRT((A19-A18)^2+(B19-B18)^2),IF((F38-B18)&gt;0,SQRT(((A18+((F38-B18)/((F38-B18)-(F38-B19)))*(A19-A18))-A18)^2+(F38-B18)^2),SQRT((A19-(A18+((F38-B18)/((F38-B18)-(F38-B19)))*(A19-A18)))^2+(F38-B19)^2)))))+(IF(AND((F38-B19)&lt;=0,(F38-B20)&lt;=0),0,IF(AND((F38-B19)&gt;=0,(F38-B20)&gt;=0),SQRT((A20-A19)^2+(B20-B19)^2),IF((F38-B19)&gt;0,SQRT(((A19+((F38-B19)/((F38-B19)-(F38-B20)))*(A20-A19))-A19)^2+(F38-B19)^2),SQRT((A20-(A19+((F38-B19)/((F38-B19)-(F38-B20)))*(A20-A19)))^2+(F38-B20)^2)))))+(IF(AND((F38-B20)&lt;=0,(F38-B21)&lt;=0),0,IF(AND((F38-B20)&gt;=0,(F38-B21)&gt;=0),SQRT((A21-A20)^2+(B21-B20)^2),IF((F38-B20)&gt;0,SQRT(((A20+((F38-B20)/((F38-B20)-(F38-B21)))*(A21-A20))-A20)^2+(F38-B20)^2),SQRT((A21-(A20+((F38-B20)/((F38-B20)-(F38-B21)))*(A21-A20)))^2+(F38-B21)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+(IF(AND((F39-B18)&lt;=0,(F39-B19)&lt;=0),0,IF(AND((F39-B18)&gt;=0,(F39-B19)&gt;=0),0.5*((F39-B18)+(F39-B19))*ABS(A19-A18),IF((F39-B18)&gt;0,0.5*(F39-B18)*ABS((A18+((F39-B18)/((F39-B18)-(F39-B19)))*(A19-A18))-A18),0.5*(F39-B19)*ABS(A19-(A18+((F39-B18)/((F39-B18)-(F39-B19)))*(A19-A18)))))))+(IF(AND((F39-B19)&lt;=0,(F39-B20)&lt;=0),0,IF(AND((F39-B19)&gt;=0,(F39-B20)&gt;=0),0.5*((F39-B19)+(F39-B20))*ABS(A20-A19),IF((F39-B19)&gt;0,0.5*(F39-B19)*ABS((A19+((F39-B19)/((F39-B19)-(F39-B20)))*(A20-A19))-A19),0.5*(F39-B20)*ABS(A20-(A19+((F39-B19)/((F39-B19)-(F39-B20)))*(A20-A19)))))))+(IF(AND((F39-B20)&lt;=0,(F39-B21)&lt;=0),0,IF(AND((F39-B20)&gt;=0,(F39-B21)&gt;=0),0.5*((F39-B20)+(F39-B21))*ABS(A21-A20),IF((F39-B20)&gt;0,0.5*(F39-B20)*ABS((A20+((F39-B20)/((F39-B20)-(F39-B21)))*(A21-A20))-A20),0.5*(F39-B21)*ABS(A21-(A20+((F39-B20)/((F39-B20)-(F39-B21)))*(A21-A20)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+(IF(AND((F39-B18)&lt;=0,(F39-B19)&lt;=0),0,IF(AND((F39-B18)&gt;=0,(F39-B19)&gt;=0),SQRT((A19-A18)^2+(B19-B18)^2),IF((F39-B18)&gt;0,SQRT(((A18+((F39-B18)/((F39-B18)-(F39-B19)))*(A19-A18))-A18)^2+(F39-B18)^2),SQRT((A19-(A18+((F39-B18)/((F39-B18)-(F39-B19)))*(A19-A18)))^2+(F39-B19)^2)))))+(IF(AND((F39-B19)&lt;=0,(F39-B20)&lt;=0),0,IF(AND((F39-B19)&gt;=0,(F39-B20)&gt;=0),SQRT((A20-A19)^2+(B20-B19)^2),IF((F39-B19)&gt;0,SQRT(((A19+((F39-B19)/((F39-B19)-(F39-B20)))*(A20-A19))-A19)^2+(F39-B19)^2),SQRT((A20-(A19+((F39-B19)/((F39-B19)-(F39-B20)))*(A20-A19)))^2+(F39-B20)^2)))))+(IF(AND((F39-B20)&lt;=0,(F39-B21)&lt;=0),0,IF(AND((F39-B20)&gt;=0,(F39-B21)&gt;=0),SQRT((A21-A20)^2+(B21-B20)^2),IF((F39-B20)&gt;0,SQRT(((A20+((F39-B20)/((F39-B20)-(F39-B21)))*(A21-A20))-A20)^2+(F39-B20)^2),SQRT((A21-(A20+((F39-B20)/((F39-B20)-(F39-B21)))*(A21-A20)))^2+(F39-B21)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+(IF(AND((F40-B18)&lt;=0,(F40-B19)&lt;=0),0,IF(AND((F40-B18)&gt;=0,(F40-B19)&gt;=0),0.5*((F40-B18)+(F40-B19))*ABS(A19-A18),IF((F40-B18)&gt;0,0.5*(F40-B18)*ABS((A18+((F40-B18)/((F40-B18)-(F40-B19)))*(A19-A18))-A18),0.5*(F40-B19)*ABS(A19-(A18+((F40-B18)/((F40-B18)-(F40-B19)))*(A19-A18)))))))+(IF(AND((F40-B19)&lt;=0,(F40-B20)&lt;=0),0,IF(AND((F40-B19)&gt;=0,(F40-B20)&gt;=0),0.5*((F40-B19)+(F40-B20))*ABS(A20-A19),IF((F40-B19)&gt;0,0.5*(F40-B19)*ABS((A19+((F40-B19)/((F40-B19)-(F40-B20)))*(A20-A19))-A19),0.5*(F40-B20)*ABS(A20-(A19+((F40-B19)/((F40-B19)-(F40-B20)))*(A20-A19)))))))+(IF(AND((F40-B20)&lt;=0,(F40-B21)&lt;=0),0,IF(AND((F40-B20)&gt;=0,(F40-B21)&gt;=0),0.5*((F40-B20)+(F40-B21))*ABS(A21-A20),IF((F40-B20)&gt;0,0.5*(F40-B20)*ABS((A20+((F40-B20)/((F40-B20)-(F40-B21)))*(A21-A20))-A20),0.5*(F40-B21)*ABS(A21-(A20+((F40-B20)/((F40-B20)-(F40-B21)))*(A21-A20)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+(IF(AND((F40-B18)&lt;=0,(F40-B19)&lt;=0),0,IF(AND((F40-B18)&gt;=0,(F40-B19)&gt;=0),SQRT((A19-A18)^2+(B19-B18)^2),IF((F40-B18)&gt;0,SQRT(((A18+((F40-B18)/((F40-B18)-(F40-B19)))*(A19-A18))-A18)^2+(F40-B18)^2),SQRT((A19-(A18+((F40-B18)/((F40-B18)-(F40-B19)))*(A19-A18)))^2+(F40-B19)^2)))))+(IF(AND((F40-B19)&lt;=0,(F40-B20)&lt;=0),0,IF(AND((F40-B19)&gt;=0,(F40-B20)&gt;=0),SQRT((A20-A19)^2+(B20-B19)^2),IF((F40-B19)&gt;0,SQRT(((A19+((F40-B19)/((F40-B19)-(F40-B20)))*(A20-A19))-A19)^2+(F40-B19)^2),SQRT((A20-(A19+((F40-B19)/((F40-B19)-(F40-B20)))*(A20-A19)))^2+(F40-B20)^2)))))+(IF(AND((F40-B20)&lt;=0,(F40-B21)&lt;=0),0,IF(AND((F40-B20)&gt;=0,(F40-B21)&gt;=0),SQRT((A21-A20)^2+(B21-B20)^2),IF((F40-B20)&gt;0,SQRT(((A20+((F40-B20)/((F40-B20)-(F40-B21)))*(A21-A20))-A20)^2+(F40-B20)^2),SQRT((A21-(A20+((F40-B20)/((F40-B20)-(F40-B21)))*(A21-A20)))^2+(F40-B21)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+(IF(AND((F41-B18)&lt;=0,(F41-B19)&lt;=0),0,IF(AND((F41-B18)&gt;=0,(F41-B19)&gt;=0),0.5*((F41-B18)+(F41-B19))*ABS(A19-A18),IF((F41-B18)&gt;0,0.5*(F41-B18)*ABS((A18+((F41-B18)/((F41-B18)-(F41-B19)))*(A19-A18))-A18),0.5*(F41-B19)*ABS(A19-(A18+((F41-B18)/((F41-B18)-(F41-B19)))*(A19-A18)))))))+(IF(AND((F41-B19)&lt;=0,(F41-B20)&lt;=0),0,IF(AND((F41-B19)&gt;=0,(F41-B20)&gt;=0),0.5*((F41-B19)+(F41-B20))*ABS(A20-A19),IF((F41-B19)&gt;0,0.5*(F41-B19)*ABS((A19+((F41-B19)/((F41-B19)-(F41-B20)))*(A20-A19))-A19),0.5*(F41-B20)*ABS(A20-(A19+((F41-B19)/((F41-B19)-(F41-B20)))*(A20-A19)))))))+(IF(AND((F41-B20)&lt;=0,(F41-B21)&lt;=0),0,IF(AND((F41-B20)&gt;=0,(F41-B21)&gt;=0),0.5*((F41-B20)+(F41-B21))*ABS(A21-A20),IF((F41-B20)&gt;0,0.5*(F41-B20)*ABS((A20+((F41-B20)/((F41-B20)-(F41-B21)))*(A21-A20))-A20),0.5*(F41-B21)*ABS(A21-(A20+((F41-B20)/((F41-B20)-(F41-B21)))*(A21-A20)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+(IF(AND((F41-B18)&lt;=0,(F41-B19)&lt;=0),0,IF(AND((F41-B18)&gt;=0,(F41-B19)&gt;=0),SQRT((A19-A18)^2+(B19-B18)^2),IF((F41-B18)&gt;0,SQRT(((A18+((F41-B18)/((F41-B18)-(F41-B19)))*(A19-A18))-A18)^2+(F41-B18)^2),SQRT((A19-(A18+((F41-B18)/((F41-B18)-(F41-B19)))*(A19-A18)))^2+(F41-B19)^2)))))+(IF(AND((F41-B19)&lt;=0,(F41-B20)&lt;=0),0,IF(AND((F41-B19)&gt;=0,(F41-B20)&gt;=0),SQRT((A20-A19)^2+(B20-B19)^2),IF((F41-B19)&gt;0,SQRT(((A19+((F41-B19)/((F41-B19)-(F41-B20)))*(A20-A19))-A19)^2+(F41-B19)^2),SQRT((A20-(A19+((F41-B19)/((F41-B19)-(F41-B20)))*(A20-A19)))^2+(F41-B20)^2)))))+(IF(AND((F41-B20)&lt;=0,(F41-B21)&lt;=0),0,IF(AND((F41-B20)&gt;=0,(F41-B21)&gt;=0),SQRT((A21-A20)^2+(B21-B20)^2),IF((F41-B20)&gt;0,SQRT(((A20+((F41-B20)/((F41-B20)-(F41-B21)))*(A21-A20))-A20)^2+(F41-B20)^2),SQRT((A21-(A20+((F41-B20)/((F41-B20)-(F41-B21)))*(A21-A20)))^2+(F41-B21)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+(IF(AND((F42-B18)&lt;=0,(F42-B19)&lt;=0),0,IF(AND((F42-B18)&gt;=0,(F42-B19)&gt;=0),0.5*((F42-B18)+(F42-B19))*ABS(A19-A18),IF((F42-B18)&gt;0,0.5*(F42-B18)*ABS((A18+((F42-B18)/((F42-B18)-(F42-B19)))*(A19-A18))-A18),0.5*(F42-B19)*ABS(A19-(A18+((F42-B18)/((F42-B18)-(F42-B19)))*(A19-A18)))))))+(IF(AND((F42-B19)&lt;=0,(F42-B20)&lt;=0),0,IF(AND((F42-B19)&gt;=0,(F42-B20)&gt;=0),0.5*((F42-B19)+(F42-B20))*ABS(A20-A19),IF((F42-B19)&gt;0,0.5*(F42-B19)*ABS((A19+((F42-B19)/((F42-B19)-(F42-B20)))*(A20-A19))-A19),0.5*(F42-B20)*ABS(A20-(A19+((F42-B19)/((F42-B19)-(F42-B20)))*(A20-A19)))))))+(IF(AND((F42-B20)&lt;=0,(F42-B21)&lt;=0),0,IF(AND((F42-B20)&gt;=0,(F42-B21)&gt;=0),0.5*((F42-B20)+(F42-B21))*ABS(A21-A20),IF((F42-B20)&gt;0,0.5*(F42-B20)*ABS((A20+((F42-B20)/((F42-B20)-(F42-B21)))*(A21-A20))-A20),0.5*(F42-B21)*ABS(A21-(A20+((F42-B20)/((F42-B20)-(F42-B21)))*(A21-A20)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+(IF(AND((F42-B18)&lt;=0,(F42-B19)&lt;=0),0,IF(AND((F42-B18)&gt;=0,(F42-B19)&gt;=0),SQRT((A19-A18)^2+(B19-B18)^2),IF((F42-B18)&gt;0,SQRT(((A18+((F42-B18)/((F42-B18)-(F42-B19)))*(A19-A18))-A18)^2+(F42-B18)^2),SQRT((A19-(A18+((F42-B18)/((F42-B18)-(F42-B19)))*(A19-A18)))^2+(F42-B19)^2)))))+(IF(AND((F42-B19)&lt;=0,(F42-B20)&lt;=0),0,IF(AND((F42-B19)&gt;=0,(F42-B20)&gt;=0),SQRT((A20-A19)^2+(B20-B19)^2),IF((F42-B19)&gt;0,SQRT(((A19+((F42-B19)/((F42-B19)-(F42-B20)))*(A20-A19))-A19)^2+(F42-B19)^2),SQRT((A20-(A19+((F42-B19)/((F42-B19)-(F42-B20)))*(A20-A19)))^2+(F42-B20)^2)))))+(IF(AND((F42-B20)&lt;=0,(F42-B21)&lt;=0),0,IF(AND((F42-B20)&gt;=0,(F42-B21)&gt;=0),SQRT((A21-A20)^2+(B21-B20)^2),IF((F42-B20)&gt;0,SQRT(((A20+((F42-B20)/((F42-B20)-(F42-B21)))*(A21-A20))-A20)^2+(F42-B20)^2),SQRT((A21-(A20+((F42-B20)/((F42-B20)-(F42-B21)))*(A21-A20)))^2+(F42-B21)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+(IF(AND((F43-B18)&lt;=0,(F43-B19)&lt;=0),0,IF(AND((F43-B18)&gt;=0,(F43-B19)&gt;=0),0.5*((F43-B18)+(F43-B19))*ABS(A19-A18),IF((F43-B18)&gt;0,0.5*(F43-B18)*ABS((A18+((F43-B18)/((F43-B18)-(F43-B19)))*(A19-A18))-A18),0.5*(F43-B19)*ABS(A19-(A18+((F43-B18)/((F43-B18)-(F43-B19)))*(A19-A18)))))))+(IF(AND((F43-B19)&lt;=0,(F43-B20)&lt;=0),0,IF(AND((F43-B19)&gt;=0,(F43-B20)&gt;=0),0.5*((F43-B19)+(F43-B20))*ABS(A20-A19),IF((F43-B19)&gt;0,0.5*(F43-B19)*ABS((A19+((F43-B19)/((F43-B19)-(F43-B20)))*(A20-A19))-A19),0.5*(F43-B20)*ABS(A20-(A19+((F43-B19)/((F43-B19)-(F43-B20)))*(A20-A19)))))))+(IF(AND((F43-B20)&lt;=0,(F43-B21)&lt;=0),0,IF(AND((F43-B20)&gt;=0,(F43-B21)&gt;=0),0.5*((F43-B20)+(F43-B21))*ABS(A21-A20),IF((F43-B20)&gt;0,0.5*(F43-B20)*ABS((A20+((F43-B20)/((F43-B20)-(F43-B21)))*(A21-A20))-A20),0.5*(F43-B21)*ABS(A21-(A20+((F43-B20)/((F43-B20)-(F43-B21)))*(A21-A20)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+(IF(AND((F43-B18)&lt;=0,(F43-B19)&lt;=0),0,IF(AND((F43-B18)&gt;=0,(F43-B19)&gt;=0),SQRT((A19-A18)^2+(B19-B18)^2),IF((F43-B18)&gt;0,SQRT(((A18+((F43-B18)/((F43-B18)-(F43-B19)))*(A19-A18))-A18)^2+(F43-B18)^2),SQRT((A19-(A18+((F43-B18)/((F43-B18)-(F43-B19)))*(A19-A18)))^2+(F43-B19)^2)))))+(IF(AND((F43-B19)&lt;=0,(F43-B20)&lt;=0),0,IF(AND((F43-B19)&gt;=0,(F43-B20)&gt;=0),SQRT((A20-A19)^2+(B20-B19)^2),IF((F43-B19)&gt;0,SQRT(((A19+((F43-B19)/((F43-B19)-(F43-B20)))*(A20-A19))-A19)^2+(F43-B19)^2),SQRT((A20-(A19+((F43-B19)/((F43-B19)-(F43-B20)))*(A20-A19)))^2+(F43-B20)^2)))))+(IF(AND((F43-B20)&lt;=0,(F43-B21)&lt;=0),0,IF(AND((F43-B20)&gt;=0,(F43-B21)&gt;=0),SQRT((A21-A20)^2+(B21-B20)^2),IF((F43-B20)&gt;0,SQRT(((A20+((F43-B20)/((F43-B20)-(F43-B21)))*(A21-A20))-A20)^2+(F43-B20)^2),SQRT((A21-(A20+((F43-B20)/((F43-B20)-(F43-B21)))*(A21-A20)))^2+(F43-B21)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+(IF(AND((F44-B18)&lt;=0,(F44-B19)&lt;=0),0,IF(AND((F44-B18)&gt;=0,(F44-B19)&gt;=0),0.5*((F44-B18)+(F44-B19))*ABS(A19-A18),IF((F44-B18)&gt;0,0.5*(F44-B18)*ABS((A18+((F44-B18)/((F44-B18)-(F44-B19)))*(A19-A18))-A18),0.5*(F44-B19)*ABS(A19-(A18+((F44-B18)/((F44-B18)-(F44-B19)))*(A19-A18)))))))+(IF(AND((F44-B19)&lt;=0,(F44-B20)&lt;=0),0,IF(AND((F44-B19)&gt;=0,(F44-B20)&gt;=0),0.5*((F44-B19)+(F44-B20))*ABS(A20-A19),IF((F44-B19)&gt;0,0.5*(F44-B19)*ABS((A19+((F44-B19)/((F44-B19)-(F44-B20)))*(A20-A19))-A19),0.5*(F44-B20)*ABS(A20-(A19+((F44-B19)/((F44-B19)-(F44-B20)))*(A20-A19)))))))+(IF(AND((F44-B20)&lt;=0,(F44-B21)&lt;=0),0,IF(AND((F44-B20)&gt;=0,(F44-B21)&gt;=0),0.5*((F44-B20)+(F44-B21))*ABS(A21-A20),IF((F44-B20)&gt;0,0.5*(F44-B20)*ABS((A20+((F44-B20)/((F44-B20)-(F44-B21)))*(A21-A20))-A20),0.5*(F44-B21)*ABS(A21-(A20+((F44-B20)/((F44-B20)-(F44-B21)))*(A21-A20)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+(IF(AND((F44-B18)&lt;=0,(F44-B19)&lt;=0),0,IF(AND((F44-B18)&gt;=0,(F44-B19)&gt;=0),SQRT((A19-A18)^2+(B19-B18)^2),IF((F44-B18)&gt;0,SQRT(((A18+((F44-B18)/((F44-B18)-(F44-B19)))*(A19-A18))-A18)^2+(F44-B18)^2),SQRT((A19-(A18+((F44-B18)/((F44-B18)-(F44-B19)))*(A19-A18)))^2+(F44-B19)^2)))))+(IF(AND((F44-B19)&lt;=0,(F44-B20)&lt;=0),0,IF(AND((F44-B19)&gt;=0,(F44-B20)&gt;=0),SQRT((A20-A19)^2+(B20-B19)^2),IF((F44-B19)&gt;0,SQRT(((A19+((F44-B19)/((F44-B19)-(F44-B20)))*(A20-A19))-A19)^2+(F44-B19)^2),SQRT((A20-(A19+((F44-B19)/((F44-B19)-(F44-B20)))*(A20-A19)))^2+(F44-B20)^2)))))+(IF(AND((F44-B20)&lt;=0,(F44-B21)&lt;=0),0,IF(AND((F44-B20)&gt;=0,(F44-B21)&gt;=0),SQRT((A21-A20)^2+(B21-B20)^2),IF((F44-B20)&gt;0,SQRT(((A20+((F44-B20)/((F44-B20)-(F44-B21)))*(A21-A20))-A20)^2+(F44-B20)^2),SQRT((A21-(A20+((F44-B20)/((F44-B20)-(F44-B21)))*(A21-A20)))^2+(F44-B21)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+(IF(AND((F45-B18)&lt;=0,(F45-B19)&lt;=0),0,IF(AND((F45-B18)&gt;=0,(F45-B19)&gt;=0),0.5*((F45-B18)+(F45-B19))*ABS(A19-A18),IF((F45-B18)&gt;0,0.5*(F45-B18)*ABS((A18+((F45-B18)/((F45-B18)-(F45-B19)))*(A19-A18))-A18),0.5*(F45-B19)*ABS(A19-(A18+((F45-B18)/((F45-B18)-(F45-B19)))*(A19-A18)))))))+(IF(AND((F45-B19)&lt;=0,(F45-B20)&lt;=0),0,IF(AND((F45-B19)&gt;=0,(F45-B20)&gt;=0),0.5*((F45-B19)+(F45-B20))*ABS(A20-A19),IF((F45-B19)&gt;0,0.5*(F45-B19)*ABS((A19+((F45-B19)/((F45-B19)-(F45-B20)))*(A20-A19))-A19),0.5*(F45-B20)*ABS(A20-(A19+((F45-B19)/((F45-B19)-(F45-B20)))*(A20-A19)))))))+(IF(AND((F45-B20)&lt;=0,(F45-B21)&lt;=0),0,IF(AND((F45-B20)&gt;=0,(F45-B21)&gt;=0),0.5*((F45-B20)+(F45-B21))*ABS(A21-A20),IF((F45-B20)&gt;0,0.5*(F45-B20)*ABS((A20+((F45-B20)/((F45-B20)-(F45-B21)))*(A21-A20))-A20),0.5*(F45-B21)*ABS(A21-(A20+((F45-B20)/((F45-B20)-(F45-B21)))*(A21-A20)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+(IF(AND((F45-B18)&lt;=0,(F45-B19)&lt;=0),0,IF(AND((F45-B18)&gt;=0,(F45-B19)&gt;=0),SQRT((A19-A18)^2+(B19-B18)^2),IF((F45-B18)&gt;0,SQRT(((A18+((F45-B18)/((F45-B18)-(F45-B19)))*(A19-A18))-A18)^2+(F45-B18)^2),SQRT((A19-(A18+((F45-B18)/((F45-B18)-(F45-B19)))*(A19-A18)))^2+(F45-B19)^2)))))+(IF(AND((F45-B19)&lt;=0,(F45-B20)&lt;=0),0,IF(AND((F45-B19)&gt;=0,(F45-B20)&gt;=0),SQRT((A20-A19)^2+(B20-B19)^2),IF((F45-B19)&gt;0,SQRT(((A19+((F45-B19)/((F45-B19)-(F45-B20)))*(A20-A19))-A19)^2+(F45-B19)^2),SQRT((A20-(A19+((F45-B19)/((F45-B19)-(F45-B20)))*(A20-A19)))^2+(F45-B20)^2)))))+(IF(AND((F45-B20)&lt;=0,(F45-B21)&lt;=0),0,IF(AND((F45-B20)&gt;=0,(F45-B21)&gt;=0),SQRT((A21-A20)^2+(B21-B20)^2),IF((F45-B20)&gt;0,SQRT(((A20+((F45-B20)/((F45-B20)-(F45-B21)))*(A21-A20))-A20)^2+(F45-B20)^2),SQRT((A21-(A20+((F45-B20)/((F45-B20)-(F45-B21)))*(A21-A20)))^2+(F45-B21)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+(IF(AND((F46-B18)&lt;=0,(F46-B19)&lt;=0),0,IF(AND((F46-B18)&gt;=0,(F46-B19)&gt;=0),0.5*((F46-B18)+(F46-B19))*ABS(A19-A18),IF((F46-B18)&gt;0,0.5*(F46-B18)*ABS((A18+((F46-B18)/((F46-B18)-(F46-B19)))*(A19-A18))-A18),0.5*(F46-B19)*ABS(A19-(A18+((F46-B18)/((F46-B18)-(F46-B19)))*(A19-A18)))))))+(IF(AND((F46-B19)&lt;=0,(F46-B20)&lt;=0),0,IF(AND((F46-B19)&gt;=0,(F46-B20)&gt;=0),0.5*((F46-B19)+(F46-B20))*ABS(A20-A19),IF((F46-B19)&gt;0,0.5*(F46-B19)*ABS((A19+((F46-B19)/((F46-B19)-(F46-B20)))*(A20-A19))-A19),0.5*(F46-B20)*ABS(A20-(A19+((F46-B19)/((F46-B19)-(F46-B20)))*(A20-A19)))))))+(IF(AND((F46-B20)&lt;=0,(F46-B21)&lt;=0),0,IF(AND((F46-B20)&gt;=0,(F46-B21)&gt;=0),0.5*((F46-B20)+(F46-B21))*ABS(A21-A20),IF((F46-B20)&gt;0,0.5*(F46-B20)*ABS((A20+((F46-B20)/((F46-B20)-(F46-B21)))*(A21-A20))-A20),0.5*(F46-B21)*ABS(A21-(A20+((F46-B20)/((F46-B20)-(F46-B21)))*(A21-A20)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+(IF(AND((F46-B18)&lt;=0,(F46-B19)&lt;=0),0,IF(AND((F46-B18)&gt;=0,(F46-B19)&gt;=0),SQRT((A19-A18)^2+(B19-B18)^2),IF((F46-B18)&gt;0,SQRT(((A18+((F46-B18)/((F46-B18)-(F46-B19)))*(A19-A18))-A18)^2+(F46-B18)^2),SQRT((A19-(A18+((F46-B18)/((F46-B18)-(F46-B19)))*(A19-A18)))^2+(F46-B19)^2)))))+(IF(AND((F46-B19)&lt;=0,(F46-B20)&lt;=0),0,IF(AND((F46-B19)&gt;=0,(F46-B20)&gt;=0),SQRT((A20-A19)^2+(B20-B19)^2),IF((F46-B19)&gt;0,SQRT(((A19+((F46-B19)/((F46-B19)-(F46-B20)))*(A20-A19))-A19)^2+(F46-B19)^2),SQRT((A20-(A19+((F46-B19)/((F46-B19)-(F46-B20)))*(A20-A19)))^2+(F46-B20)^2)))))+(IF(AND((F46-B20)&lt;=0,(F46-B21)&lt;=0),0,IF(AND((F46-B20)&gt;=0,(F46-B21)&gt;=0),SQRT((A21-A20)^2+(B21-B20)^2),IF((F46-B20)&gt;0,SQRT(((A20+((F46-B20)/((F46-B20)-(F46-B21)))*(A21-A20))-A20)^2+(F46-B20)^2),SQRT((A21-(A20+((F46-B20)/((F46-B20)-(F46-B21)))*(A21-A20)))^2+(F46-B21)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+(IF(AND((F47-B18)&lt;=0,(F47-B19)&lt;=0),0,IF(AND((F47-B18)&gt;=0,(F47-B19)&gt;=0),0.5*((F47-B18)+(F47-B19))*ABS(A19-A18),IF((F47-B18)&gt;0,0.5*(F47-B18)*ABS((A18+((F47-B18)/((F47-B18)-(F47-B19)))*(A19-A18))-A18),0.5*(F47-B19)*ABS(A19-(A18+((F47-B18)/((F47-B18)-(F47-B19)))*(A19-A18)))))))+(IF(AND((F47-B19)&lt;=0,(F47-B20)&lt;=0),0,IF(AND((F47-B19)&gt;=0,(F47-B20)&gt;=0),0.5*((F47-B19)+(F47-B20))*ABS(A20-A19),IF((F47-B19)&gt;0,0.5*(F47-B19)*ABS((A19+((F47-B19)/((F47-B19)-(F47-B20)))*(A20-A19))-A19),0.5*(F47-B20)*ABS(A20-(A19+((F47-B19)/((F47-B19)-(F47-B20)))*(A20-A19)))))))+(IF(AND((F47-B20)&lt;=0,(F47-B21)&lt;=0),0,IF(AND((F47-B20)&gt;=0,(F47-B21)&gt;=0),0.5*((F47-B20)+(F47-B21))*ABS(A21-A20),IF((F47-B20)&gt;0,0.5*(F47-B20)*ABS((A20+((F47-B20)/((F47-B20)-(F47-B21)))*(A21-A20))-A20),0.5*(F47-B21)*ABS(A21-(A20+((F47-B20)/((F47-B20)-(F47-B21)))*(A21-A20)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+(IF(AND((F47-B18)&lt;=0,(F47-B19)&lt;=0),0,IF(AND((F47-B18)&gt;=0,(F47-B19)&gt;=0),SQRT((A19-A18)^2+(B19-B18)^2),IF((F47-B18)&gt;0,SQRT(((A18+((F47-B18)/((F47-B18)-(F47-B19)))*(A19-A18))-A18)^2+(F47-B18)^2),SQRT((A19-(A18+((F47-B18)/((F47-B18)-(F47-B19)))*(A19-A18)))^2+(F47-B19)^2)))))+(IF(AND((F47-B19)&lt;=0,(F47-B20)&lt;=0),0,IF(AND((F47-B19)&gt;=0,(F47-B20)&gt;=0),SQRT((A20-A19)^2+(B20-B19)^2),IF((F47-B19)&gt;0,SQRT(((A19+((F47-B19)/((F47-B19)-(F47-B20)))*(A20-A19))-A19)^2+(F47-B19)^2),SQRT((A20-(A19+((F47-B19)/((F47-B19)-(F47-B20)))*(A20-A19)))^2+(F47-B20)^2)))))+(IF(AND((F47-B20)&lt;=0,(F47-B21)&lt;=0),0,IF(AND((F47-B20)&gt;=0,(F47-B21)&gt;=0),SQRT((A21-A20)^2+(B21-B20)^2),IF((F47-B20)&gt;0,SQRT(((A20+((F47-B20)/((F47-B20)-(F47-B21)))*(A21-A20))-A20)^2+(F47-B20)^2),SQRT((A21-(A20+((F47-B20)/((F47-B20)-(F47-B21)))*(A21-A20)))^2+(F47-B21)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+(IF(AND((F48-B18)&lt;=0,(F48-B19)&lt;=0),0,IF(AND((F48-B18)&gt;=0,(F48-B19)&gt;=0),0.5*((F48-B18)+(F48-B19))*ABS(A19-A18),IF((F48-B18)&gt;0,0.5*(F48-B18)*ABS((A18+((F48-B18)/((F48-B18)-(F48-B19)))*(A19-A18))-A18),0.5*(F48-B19)*ABS(A19-(A18+((F48-B18)/((F48-B18)-(F48-B19)))*(A19-A18)))))))+(IF(AND((F48-B19)&lt;=0,(F48-B20)&lt;=0),0,IF(AND((F48-B19)&gt;=0,(F48-B20)&gt;=0),0.5*((F48-B19)+(F48-B20))*ABS(A20-A19),IF((F48-B19)&gt;0,0.5*(F48-B19)*ABS((A19+((F48-B19)/((F48-B19)-(F48-B20)))*(A20-A19))-A19),0.5*(F48-B20)*ABS(A20-(A19+((F48-B19)/((F48-B19)-(F48-B20)))*(A20-A19)))))))+(IF(AND((F48-B20)&lt;=0,(F48-B21)&lt;=0),0,IF(AND((F48-B20)&gt;=0,(F48-B21)&gt;=0),0.5*((F48-B20)+(F48-B21))*ABS(A21-A20),IF((F48-B20)&gt;0,0.5*(F48-B20)*ABS((A20+((F48-B20)/((F48-B20)-(F48-B21)))*(A21-A20))-A20),0.5*(F48-B21)*ABS(A21-(A20+((F48-B20)/((F48-B20)-(F48-B21)))*(A21-A20)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+(IF(AND((F48-B18)&lt;=0,(F48-B19)&lt;=0),0,IF(AND((F48-B18)&gt;=0,(F48-B19)&gt;=0),SQRT((A19-A18)^2+(B19-B18)^2),IF((F48-B18)&gt;0,SQRT(((A18+((F48-B18)/((F48-B18)-(F48-B19)))*(A19-A18))-A18)^2+(F48-B18)^2),SQRT((A19-(A18+((F48-B18)/((F48-B18)-(F48-B19)))*(A19-A18)))^2+(F48-B19)^2)))))+(IF(AND((F48-B19)&lt;=0,(F48-B20)&lt;=0),0,IF(AND((F48-B19)&gt;=0,(F48-B20)&gt;=0),SQRT((A20-A19)^2+(B20-B19)^2),IF((F48-B19)&gt;0,SQRT(((A19+((F48-B19)/((F48-B19)-(F48-B20)))*(A20-A19))-A19)^2+(F48-B19)^2),SQRT((A20-(A19+((F48-B19)/((F48-B19)-(F48-B20)))*(A20-A19)))^2+(F48-B20)^2)))))+(IF(AND((F48-B20)&lt;=0,(F48-B21)&lt;=0),0,IF(AND((F48-B20)&gt;=0,(F48-B21)&gt;=0),SQRT((A21-A20)^2+(B21-B20)^2),IF((F48-B20)&gt;0,SQRT(((A20+((F48-B20)/((F48-B20)-(F48-B21)))*(A21-A20))-A20)^2+(F48-B20)^2),SQRT((A21-(A20+((F48-B20)/((F48-B20)-(F48-B21)))*(A21-A20)))^2+(F48-B21)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+(IF(AND((F49-B18)&lt;=0,(F49-B19)&lt;=0),0,IF(AND((F49-B18)&gt;=0,(F49-B19)&gt;=0),0.5*((F49-B18)+(F49-B19))*ABS(A19-A18),IF((F49-B18)&gt;0,0.5*(F49-B18)*ABS((A18+((F49-B18)/((F49-B18)-(F49-B19)))*(A19-A18))-A18),0.5*(F49-B19)*ABS(A19-(A18+((F49-B18)/((F49-B18)-(F49-B19)))*(A19-A18)))))))+(IF(AND((F49-B19)&lt;=0,(F49-B20)&lt;=0),0,IF(AND((F49-B19)&gt;=0,(F49-B20)&gt;=0),0.5*((F49-B19)+(F49-B20))*ABS(A20-A19),IF((F49-B19)&gt;0,0.5*(F49-B19)*ABS((A19+((F49-B19)/((F49-B19)-(F49-B20)))*(A20-A19))-A19),0.5*(F49-B20)*ABS(A20-(A19+((F49-B19)/((F49-B19)-(F49-B20)))*(A20-A19)))))))+(IF(AND((F49-B20)&lt;=0,(F49-B21)&lt;=0),0,IF(AND((F49-B20)&gt;=0,(F49-B21)&gt;=0),0.5*((F49-B20)+(F49-B21))*ABS(A21-A20),IF((F49-B20)&gt;0,0.5*(F49-B20)*ABS((A20+((F49-B20)/((F49-B20)-(F49-B21)))*(A21-A20))-A20),0.5*(F49-B21)*ABS(A21-(A20+((F49-B20)/((F49-B20)-(F49-B21)))*(A21-A20)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+(IF(AND((F49-B18)&lt;=0,(F49-B19)&lt;=0),0,IF(AND((F49-B18)&gt;=0,(F49-B19)&gt;=0),SQRT((A19-A18)^2+(B19-B18)^2),IF((F49-B18)&gt;0,SQRT(((A18+((F49-B18)/((F49-B18)-(F49-B19)))*(A19-A18))-A18)^2+(F49-B18)^2),SQRT((A19-(A18+((F49-B18)/((F49-B18)-(F49-B19)))*(A19-A18)))^2+(F49-B19)^2)))))+(IF(AND((F49-B19)&lt;=0,(F49-B20)&lt;=0),0,IF(AND((F49-B19)&gt;=0,(F49-B20)&gt;=0),SQRT((A20-A19)^2+(B20-B19)^2),IF((F49-B19)&gt;0,SQRT(((A19+((F49-B19)/((F49-B19)-(F49-B20)))*(A20-A19))-A19)^2+(F49-B19)^2),SQRT((A20-(A19+((F49-B19)/((F49-B19)-(F49-B20)))*(A20-A19)))^2+(F49-B20)^2)))))+(IF(AND((F49-B20)&lt;=0,(F49-B21)&lt;=0),0,IF(AND((F49-B20)&gt;=0,(F49-B21)&gt;=0),SQRT((A21-A20)^2+(B21-B20)^2),IF((F49-B20)&gt;0,SQRT(((A20+((F49-B20)/((F49-B20)-(F49-B21)))*(A21-A20))-A20)^2+(F49-B20)^2),SQRT((A21-(A20+((F49-B20)/((F49-B20)-(F49-B21)))*(A21-A20)))^2+(F49-B21)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+(IF(AND((F50-B18)&lt;=0,(F50-B19)&lt;=0),0,IF(AND((F50-B18)&gt;=0,(F50-B19)&gt;=0),0.5*((F50-B18)+(F50-B19))*ABS(A19-A18),IF((F50-B18)&gt;0,0.5*(F50-B18)*ABS((A18+((F50-B18)/((F50-B18)-(F50-B19)))*(A19-A18))-A18),0.5*(F50-B19)*ABS(A19-(A18+((F50-B18)/((F50-B18)-(F50-B19)))*(A19-A18)))))))+(IF(AND((F50-B19)&lt;=0,(F50-B20)&lt;=0),0,IF(AND((F50-B19)&gt;=0,(F50-B20)&gt;=0),0.5*((F50-B19)+(F50-B20))*ABS(A20-A19),IF((F50-B19)&gt;0,0.5*(F50-B19)*ABS((A19+((F50-B19)/((F50-B19)-(F50-B20)))*(A20-A19))-A19),0.5*(F50-B20)*ABS(A20-(A19+((F50-B19)/((F50-B19)-(F50-B20)))*(A20-A19)))))))+(IF(AND((F50-B20)&lt;=0,(F50-B21)&lt;=0),0,IF(AND((F50-B20)&gt;=0,(F50-B21)&gt;=0),0.5*((F50-B20)+(F50-B21))*ABS(A21-A20),IF((F50-B20)&gt;0,0.5*(F50-B20)*ABS((A20+((F50-B20)/((F50-B20)-(F50-B21)))*(A21-A20))-A20),0.5*(F50-B21)*ABS(A21-(A20+((F50-B20)/((F50-B20)-(F50-B21)))*(A21-A20)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+(IF(AND((F50-B18)&lt;=0,(F50-B19)&lt;=0),0,IF(AND((F50-B18)&gt;=0,(F50-B19)&gt;=0),SQRT((A19-A18)^2+(B19-B18)^2),IF((F50-B18)&gt;0,SQRT(((A18+((F50-B18)/((F50-B18)-(F50-B19)))*(A19-A18))-A18)^2+(F50-B18)^2),SQRT((A19-(A18+((F50-B18)/((F50-B18)-(F50-B19)))*(A19-A18)))^2+(F50-B19)^2)))))+(IF(AND((F50-B19)&lt;=0,(F50-B20)&lt;=0),0,IF(AND((F50-B19)&gt;=0,(F50-B20)&gt;=0),SQRT((A20-A19)^2+(B20-B19)^2),IF((F50-B19)&gt;0,SQRT(((A19+((F50-B19)/((F50-B19)-(F50-B20)))*(A20-A19))-A19)^2+(F50-B19)^2),SQRT((A20-(A19+((F50-B19)/((F50-B19)-(F50-B20)))*(A20-A19)))^2+(F50-B20)^2)))))+(IF(AND((F50-B20)&lt;=0,(F50-B21)&lt;=0),0,IF(AND((F50-B20)&gt;=0,(F50-B21)&gt;=0),SQRT((A21-A20)^2+(B21-B20)^2),IF((F50-B20)&gt;0,SQRT(((A20+((F50-B20)/((F50-B20)-(F50-B21)))*(A21-A20))-A20)^2+(F50-B20)^2),SQRT((A21-(A20+((F50-B20)/((F50-B20)-(F50-B21)))*(A21-A20)))^2+(F50-B21)^2)))))</f>
        <v/>
      </c>
      <c r="I50">
        <f>IF(OR($B$4&lt;=0,G50&lt;=0,H50&lt;=0,$B$5&lt;=0),0,(1/$B$4)*G50*((G50/H50)^(2/3))*SQRT($B$5))</f>
        <v/>
      </c>
    </row>
    <row r="51">
      <c r="D51">
        <f>IF(I50&lt;$B$3,F50,D50)</f>
        <v/>
      </c>
      <c r="E51">
        <f>IF(I50&lt;$B$3,E50,F50)</f>
        <v/>
      </c>
      <c r="F51">
        <f>(D51+E51)/2</f>
        <v/>
      </c>
      <c r="G51">
        <f>(IF(AND((F51-B10)&lt;=0,(F51-B11)&lt;=0),0,IF(AND((F51-B10)&gt;=0,(F51-B11)&gt;=0),0.5*((F51-B10)+(F51-B11))*ABS(A11-A10),IF((F51-B10)&gt;0,0.5*(F51-B10)*ABS((A10+((F51-B10)/((F51-B10)-(F51-B11)))*(A11-A10))-A10),0.5*(F51-B11)*ABS(A11-(A10+((F51-B10)/((F51-B10)-(F51-B11)))*(A11-A10)))))))+(IF(AND((F51-B11)&lt;=0,(F51-B12)&lt;=0),0,IF(AND((F51-B11)&gt;=0,(F51-B12)&gt;=0),0.5*((F51-B11)+(F51-B12))*ABS(A12-A11),IF((F51-B11)&gt;0,0.5*(F51-B11)*ABS((A11+((F51-B11)/((F51-B11)-(F51-B12)))*(A12-A11))-A11),0.5*(F51-B12)*ABS(A12-(A11+((F51-B11)/((F51-B11)-(F51-B12)))*(A12-A11)))))))+(IF(AND((F51-B12)&lt;=0,(F51-B13)&lt;=0),0,IF(AND((F51-B12)&gt;=0,(F51-B13)&gt;=0),0.5*((F51-B12)+(F51-B13))*ABS(A13-A12),IF((F51-B12)&gt;0,0.5*(F51-B12)*ABS((A12+((F51-B12)/((F51-B12)-(F51-B13)))*(A13-A12))-A12),0.5*(F51-B13)*ABS(A13-(A12+((F51-B12)/((F51-B12)-(F51-B13)))*(A13-A12)))))))+(IF(AND((F51-B13)&lt;=0,(F51-B14)&lt;=0),0,IF(AND((F51-B13)&gt;=0,(F51-B14)&gt;=0),0.5*((F51-B13)+(F51-B14))*ABS(A14-A13),IF((F51-B13)&gt;0,0.5*(F51-B13)*ABS((A13+((F51-B13)/((F51-B13)-(F51-B14)))*(A14-A13))-A13),0.5*(F51-B14)*ABS(A14-(A13+((F51-B13)/((F51-B13)-(F51-B14)))*(A14-A13)))))))+(IF(AND((F51-B14)&lt;=0,(F51-B15)&lt;=0),0,IF(AND((F51-B14)&gt;=0,(F51-B15)&gt;=0),0.5*((F51-B14)+(F51-B15))*ABS(A15-A14),IF((F51-B14)&gt;0,0.5*(F51-B14)*ABS((A14+((F51-B14)/((F51-B14)-(F51-B15)))*(A15-A14))-A14),0.5*(F51-B15)*ABS(A15-(A14+((F51-B14)/((F51-B14)-(F51-B15)))*(A15-A14)))))))+(IF(AND((F51-B15)&lt;=0,(F51-B16)&lt;=0),0,IF(AND((F51-B15)&gt;=0,(F51-B16)&gt;=0),0.5*((F51-B15)+(F51-B16))*ABS(A16-A15),IF((F51-B15)&gt;0,0.5*(F51-B15)*ABS((A15+((F51-B15)/((F51-B15)-(F51-B16)))*(A16-A15))-A15),0.5*(F51-B16)*ABS(A16-(A15+((F51-B15)/((F51-B15)-(F51-B16)))*(A16-A15)))))))+(IF(AND((F51-B16)&lt;=0,(F51-B17)&lt;=0),0,IF(AND((F51-B16)&gt;=0,(F51-B17)&gt;=0),0.5*((F51-B16)+(F51-B17))*ABS(A17-A16),IF((F51-B16)&gt;0,0.5*(F51-B16)*ABS((A16+((F51-B16)/((F51-B16)-(F51-B17)))*(A17-A16))-A16),0.5*(F51-B17)*ABS(A17-(A16+((F51-B16)/((F51-B16)-(F51-B17)))*(A17-A16)))))))+(IF(AND((F51-B17)&lt;=0,(F51-B18)&lt;=0),0,IF(AND((F51-B17)&gt;=0,(F51-B18)&gt;=0),0.5*((F51-B17)+(F51-B18))*ABS(A18-A17),IF((F51-B17)&gt;0,0.5*(F51-B17)*ABS((A17+((F51-B17)/((F51-B17)-(F51-B18)))*(A18-A17))-A17),0.5*(F51-B18)*ABS(A18-(A17+((F51-B17)/((F51-B17)-(F51-B18)))*(A18-A17)))))))+(IF(AND((F51-B18)&lt;=0,(F51-B19)&lt;=0),0,IF(AND((F51-B18)&gt;=0,(F51-B19)&gt;=0),0.5*((F51-B18)+(F51-B19))*ABS(A19-A18),IF((F51-B18)&gt;0,0.5*(F51-B18)*ABS((A18+((F51-B18)/((F51-B18)-(F51-B19)))*(A19-A18))-A18),0.5*(F51-B19)*ABS(A19-(A18+((F51-B18)/((F51-B18)-(F51-B19)))*(A19-A18)))))))+(IF(AND((F51-B19)&lt;=0,(F51-B20)&lt;=0),0,IF(AND((F51-B19)&gt;=0,(F51-B20)&gt;=0),0.5*((F51-B19)+(F51-B20))*ABS(A20-A19),IF((F51-B19)&gt;0,0.5*(F51-B19)*ABS((A19+((F51-B19)/((F51-B19)-(F51-B20)))*(A20-A19))-A19),0.5*(F51-B20)*ABS(A20-(A19+((F51-B19)/((F51-B19)-(F51-B20)))*(A20-A19)))))))+(IF(AND((F51-B20)&lt;=0,(F51-B21)&lt;=0),0,IF(AND((F51-B20)&gt;=0,(F51-B21)&gt;=0),0.5*((F51-B20)+(F51-B21))*ABS(A21-A20),IF((F51-B20)&gt;0,0.5*(F51-B20)*ABS((A20+((F51-B20)/((F51-B20)-(F51-B21)))*(A21-A20))-A20),0.5*(F51-B21)*ABS(A21-(A20+((F51-B20)/((F51-B20)-(F51-B21)))*(A21-A20)))))))</f>
        <v/>
      </c>
      <c r="H51">
        <f>(IF(AND((F51-B10)&lt;=0,(F51-B11)&lt;=0),0,IF(AND((F51-B10)&gt;=0,(F51-B11)&gt;=0),SQRT((A11-A10)^2+(B11-B10)^2),IF((F51-B10)&gt;0,SQRT(((A10+((F51-B10)/((F51-B10)-(F51-B11)))*(A11-A10))-A10)^2+(F51-B10)^2),SQRT((A11-(A10+((F51-B10)/((F51-B10)-(F51-B11)))*(A11-A10)))^2+(F51-B11)^2)))))+(IF(AND((F51-B11)&lt;=0,(F51-B12)&lt;=0),0,IF(AND((F51-B11)&gt;=0,(F51-B12)&gt;=0),SQRT((A12-A11)^2+(B12-B11)^2),IF((F51-B11)&gt;0,SQRT(((A11+((F51-B11)/((F51-B11)-(F51-B12)))*(A12-A11))-A11)^2+(F51-B11)^2),SQRT((A12-(A11+((F51-B11)/((F51-B11)-(F51-B12)))*(A12-A11)))^2+(F51-B12)^2)))))+(IF(AND((F51-B12)&lt;=0,(F51-B13)&lt;=0),0,IF(AND((F51-B12)&gt;=0,(F51-B13)&gt;=0),SQRT((A13-A12)^2+(B13-B12)^2),IF((F51-B12)&gt;0,SQRT(((A12+((F51-B12)/((F51-B12)-(F51-B13)))*(A13-A12))-A12)^2+(F51-B12)^2),SQRT((A13-(A12+((F51-B12)/((F51-B12)-(F51-B13)))*(A13-A12)))^2+(F51-B13)^2)))))+(IF(AND((F51-B13)&lt;=0,(F51-B14)&lt;=0),0,IF(AND((F51-B13)&gt;=0,(F51-B14)&gt;=0),SQRT((A14-A13)^2+(B14-B13)^2),IF((F51-B13)&gt;0,SQRT(((A13+((F51-B13)/((F51-B13)-(F51-B14)))*(A14-A13))-A13)^2+(F51-B13)^2),SQRT((A14-(A13+((F51-B13)/((F51-B13)-(F51-B14)))*(A14-A13)))^2+(F51-B14)^2)))))+(IF(AND((F51-B14)&lt;=0,(F51-B15)&lt;=0),0,IF(AND((F51-B14)&gt;=0,(F51-B15)&gt;=0),SQRT((A15-A14)^2+(B15-B14)^2),IF((F51-B14)&gt;0,SQRT(((A14+((F51-B14)/((F51-B14)-(F51-B15)))*(A15-A14))-A14)^2+(F51-B14)^2),SQRT((A15-(A14+((F51-B14)/((F51-B14)-(F51-B15)))*(A15-A14)))^2+(F51-B15)^2)))))+(IF(AND((F51-B15)&lt;=0,(F51-B16)&lt;=0),0,IF(AND((F51-B15)&gt;=0,(F51-B16)&gt;=0),SQRT((A16-A15)^2+(B16-B15)^2),IF((F51-B15)&gt;0,SQRT(((A15+((F51-B15)/((F51-B15)-(F51-B16)))*(A16-A15))-A15)^2+(F51-B15)^2),SQRT((A16-(A15+((F51-B15)/((F51-B15)-(F51-B16)))*(A16-A15)))^2+(F51-B16)^2)))))+(IF(AND((F51-B16)&lt;=0,(F51-B17)&lt;=0),0,IF(AND((F51-B16)&gt;=0,(F51-B17)&gt;=0),SQRT((A17-A16)^2+(B17-B16)^2),IF((F51-B16)&gt;0,SQRT(((A16+((F51-B16)/((F51-B16)-(F51-B17)))*(A17-A16))-A16)^2+(F51-B16)^2),SQRT((A17-(A16+((F51-B16)/((F51-B16)-(F51-B17)))*(A17-A16)))^2+(F51-B17)^2)))))+(IF(AND((F51-B17)&lt;=0,(F51-B18)&lt;=0),0,IF(AND((F51-B17)&gt;=0,(F51-B18)&gt;=0),SQRT((A18-A17)^2+(B18-B17)^2),IF((F51-B17)&gt;0,SQRT(((A17+((F51-B17)/((F51-B17)-(F51-B18)))*(A18-A17))-A17)^2+(F51-B17)^2),SQRT((A18-(A17+((F51-B17)/((F51-B17)-(F51-B18)))*(A18-A17)))^2+(F51-B18)^2)))))+(IF(AND((F51-B18)&lt;=0,(F51-B19)&lt;=0),0,IF(AND((F51-B18)&gt;=0,(F51-B19)&gt;=0),SQRT((A19-A18)^2+(B19-B18)^2),IF((F51-B18)&gt;0,SQRT(((A18+((F51-B18)/((F51-B18)-(F51-B19)))*(A19-A18))-A18)^2+(F51-B18)^2),SQRT((A19-(A18+((F51-B18)/((F51-B18)-(F51-B19)))*(A19-A18)))^2+(F51-B19)^2)))))+(IF(AND((F51-B19)&lt;=0,(F51-B20)&lt;=0),0,IF(AND((F51-B19)&gt;=0,(F51-B20)&gt;=0),SQRT((A20-A19)^2+(B20-B19)^2),IF((F51-B19)&gt;0,SQRT(((A19+((F51-B19)/((F51-B19)-(F51-B20)))*(A20-A19))-A19)^2+(F51-B19)^2),SQRT((A20-(A19+((F51-B19)/((F51-B19)-(F51-B20)))*(A20-A19)))^2+(F51-B20)^2)))))+(IF(AND((F51-B20)&lt;=0,(F51-B21)&lt;=0),0,IF(AND((F51-B20)&gt;=0,(F51-B21)&gt;=0),SQRT((A21-A20)^2+(B21-B20)^2),IF((F51-B20)&gt;0,SQRT(((A20+((F51-B20)/((F51-B20)-(F51-B21)))*(A21-A20))-A20)^2+(F51-B20)^2),SQRT((A21-(A20+((F51-B20)/((F51-B20)-(F51-B21)))*(A21-A20)))^2+(F51-B21)^2)))))</f>
        <v/>
      </c>
      <c r="I51">
        <f>IF(OR($B$4&lt;=0,G51&lt;=0,H51&lt;=0,$B$5&lt;=0),0,(1/$B$4)*G51*((G51/H51)^(2/3))*SQRT($B$5))</f>
        <v/>
      </c>
    </row>
    <row r="52">
      <c r="D52">
        <f>IF(I51&lt;$B$3,F51,D51)</f>
        <v/>
      </c>
      <c r="E52">
        <f>IF(I51&lt;$B$3,E51,F51)</f>
        <v/>
      </c>
      <c r="F52">
        <f>(D52+E52)/2</f>
        <v/>
      </c>
      <c r="G52">
        <f>(IF(AND((F52-B10)&lt;=0,(F52-B11)&lt;=0),0,IF(AND((F52-B10)&gt;=0,(F52-B11)&gt;=0),0.5*((F52-B10)+(F52-B11))*ABS(A11-A10),IF((F52-B10)&gt;0,0.5*(F52-B10)*ABS((A10+((F52-B10)/((F52-B10)-(F52-B11)))*(A11-A10))-A10),0.5*(F52-B11)*ABS(A11-(A10+((F52-B10)/((F52-B10)-(F52-B11)))*(A11-A10)))))))+(IF(AND((F52-B11)&lt;=0,(F52-B12)&lt;=0),0,IF(AND((F52-B11)&gt;=0,(F52-B12)&gt;=0),0.5*((F52-B11)+(F52-B12))*ABS(A12-A11),IF((F52-B11)&gt;0,0.5*(F52-B11)*ABS((A11+((F52-B11)/((F52-B11)-(F52-B12)))*(A12-A11))-A11),0.5*(F52-B12)*ABS(A12-(A11+((F52-B11)/((F52-B11)-(F52-B12)))*(A12-A11)))))))+(IF(AND((F52-B12)&lt;=0,(F52-B13)&lt;=0),0,IF(AND((F52-B12)&gt;=0,(F52-B13)&gt;=0),0.5*((F52-B12)+(F52-B13))*ABS(A13-A12),IF((F52-B12)&gt;0,0.5*(F52-B12)*ABS((A12+((F52-B12)/((F52-B12)-(F52-B13)))*(A13-A12))-A12),0.5*(F52-B13)*ABS(A13-(A12+((F52-B12)/((F52-B12)-(F52-B13)))*(A13-A12)))))))+(IF(AND((F52-B13)&lt;=0,(F52-B14)&lt;=0),0,IF(AND((F52-B13)&gt;=0,(F52-B14)&gt;=0),0.5*((F52-B13)+(F52-B14))*ABS(A14-A13),IF((F52-B13)&gt;0,0.5*(F52-B13)*ABS((A13+((F52-B13)/((F52-B13)-(F52-B14)))*(A14-A13))-A13),0.5*(F52-B14)*ABS(A14-(A13+((F52-B13)/((F52-B13)-(F52-B14)))*(A14-A13)))))))+(IF(AND((F52-B14)&lt;=0,(F52-B15)&lt;=0),0,IF(AND((F52-B14)&gt;=0,(F52-B15)&gt;=0),0.5*((F52-B14)+(F52-B15))*ABS(A15-A14),IF((F52-B14)&gt;0,0.5*(F52-B14)*ABS((A14+((F52-B14)/((F52-B14)-(F52-B15)))*(A15-A14))-A14),0.5*(F52-B15)*ABS(A15-(A14+((F52-B14)/((F52-B14)-(F52-B15)))*(A15-A14)))))))+(IF(AND((F52-B15)&lt;=0,(F52-B16)&lt;=0),0,IF(AND((F52-B15)&gt;=0,(F52-B16)&gt;=0),0.5*((F52-B15)+(F52-B16))*ABS(A16-A15),IF((F52-B15)&gt;0,0.5*(F52-B15)*ABS((A15+((F52-B15)/((F52-B15)-(F52-B16)))*(A16-A15))-A15),0.5*(F52-B16)*ABS(A16-(A15+((F52-B15)/((F52-B15)-(F52-B16)))*(A16-A15)))))))+(IF(AND((F52-B16)&lt;=0,(F52-B17)&lt;=0),0,IF(AND((F52-B16)&gt;=0,(F52-B17)&gt;=0),0.5*((F52-B16)+(F52-B17))*ABS(A17-A16),IF((F52-B16)&gt;0,0.5*(F52-B16)*ABS((A16+((F52-B16)/((F52-B16)-(F52-B17)))*(A17-A16))-A16),0.5*(F52-B17)*ABS(A17-(A16+((F52-B16)/((F52-B16)-(F52-B17)))*(A17-A16)))))))+(IF(AND((F52-B17)&lt;=0,(F52-B18)&lt;=0),0,IF(AND((F52-B17)&gt;=0,(F52-B18)&gt;=0),0.5*((F52-B17)+(F52-B18))*ABS(A18-A17),IF((F52-B17)&gt;0,0.5*(F52-B17)*ABS((A17+((F52-B17)/((F52-B17)-(F52-B18)))*(A18-A17))-A17),0.5*(F52-B18)*ABS(A18-(A17+((F52-B17)/((F52-B17)-(F52-B18)))*(A18-A17)))))))+(IF(AND((F52-B18)&lt;=0,(F52-B19)&lt;=0),0,IF(AND((F52-B18)&gt;=0,(F52-B19)&gt;=0),0.5*((F52-B18)+(F52-B19))*ABS(A19-A18),IF((F52-B18)&gt;0,0.5*(F52-B18)*ABS((A18+((F52-B18)/((F52-B18)-(F52-B19)))*(A19-A18))-A18),0.5*(F52-B19)*ABS(A19-(A18+((F52-B18)/((F52-B18)-(F52-B19)))*(A19-A18)))))))+(IF(AND((F52-B19)&lt;=0,(F52-B20)&lt;=0),0,IF(AND((F52-B19)&gt;=0,(F52-B20)&gt;=0),0.5*((F52-B19)+(F52-B20))*ABS(A20-A19),IF((F52-B19)&gt;0,0.5*(F52-B19)*ABS((A19+((F52-B19)/((F52-B19)-(F52-B20)))*(A20-A19))-A19),0.5*(F52-B20)*ABS(A20-(A19+((F52-B19)/((F52-B19)-(F52-B20)))*(A20-A19)))))))+(IF(AND((F52-B20)&lt;=0,(F52-B21)&lt;=0),0,IF(AND((F52-B20)&gt;=0,(F52-B21)&gt;=0),0.5*((F52-B20)+(F52-B21))*ABS(A21-A20),IF((F52-B20)&gt;0,0.5*(F52-B20)*ABS((A20+((F52-B20)/((F52-B20)-(F52-B21)))*(A21-A20))-A20),0.5*(F52-B21)*ABS(A21-(A20+((F52-B20)/((F52-B20)-(F52-B21)))*(A21-A20)))))))</f>
        <v/>
      </c>
      <c r="H52">
        <f>(IF(AND((F52-B10)&lt;=0,(F52-B11)&lt;=0),0,IF(AND((F52-B10)&gt;=0,(F52-B11)&gt;=0),SQRT((A11-A10)^2+(B11-B10)^2),IF((F52-B10)&gt;0,SQRT(((A10+((F52-B10)/((F52-B10)-(F52-B11)))*(A11-A10))-A10)^2+(F52-B10)^2),SQRT((A11-(A10+((F52-B10)/((F52-B10)-(F52-B11)))*(A11-A10)))^2+(F52-B11)^2)))))+(IF(AND((F52-B11)&lt;=0,(F52-B12)&lt;=0),0,IF(AND((F52-B11)&gt;=0,(F52-B12)&gt;=0),SQRT((A12-A11)^2+(B12-B11)^2),IF((F52-B11)&gt;0,SQRT(((A11+((F52-B11)/((F52-B11)-(F52-B12)))*(A12-A11))-A11)^2+(F52-B11)^2),SQRT((A12-(A11+((F52-B11)/((F52-B11)-(F52-B12)))*(A12-A11)))^2+(F52-B12)^2)))))+(IF(AND((F52-B12)&lt;=0,(F52-B13)&lt;=0),0,IF(AND((F52-B12)&gt;=0,(F52-B13)&gt;=0),SQRT((A13-A12)^2+(B13-B12)^2),IF((F52-B12)&gt;0,SQRT(((A12+((F52-B12)/((F52-B12)-(F52-B13)))*(A13-A12))-A12)^2+(F52-B12)^2),SQRT((A13-(A12+((F52-B12)/((F52-B12)-(F52-B13)))*(A13-A12)))^2+(F52-B13)^2)))))+(IF(AND((F52-B13)&lt;=0,(F52-B14)&lt;=0),0,IF(AND((F52-B13)&gt;=0,(F52-B14)&gt;=0),SQRT((A14-A13)^2+(B14-B13)^2),IF((F52-B13)&gt;0,SQRT(((A13+((F52-B13)/((F52-B13)-(F52-B14)))*(A14-A13))-A13)^2+(F52-B13)^2),SQRT((A14-(A13+((F52-B13)/((F52-B13)-(F52-B14)))*(A14-A13)))^2+(F52-B14)^2)))))+(IF(AND((F52-B14)&lt;=0,(F52-B15)&lt;=0),0,IF(AND((F52-B14)&gt;=0,(F52-B15)&gt;=0),SQRT((A15-A14)^2+(B15-B14)^2),IF((F52-B14)&gt;0,SQRT(((A14+((F52-B14)/((F52-B14)-(F52-B15)))*(A15-A14))-A14)^2+(F52-B14)^2),SQRT((A15-(A14+((F52-B14)/((F52-B14)-(F52-B15)))*(A15-A14)))^2+(F52-B15)^2)))))+(IF(AND((F52-B15)&lt;=0,(F52-B16)&lt;=0),0,IF(AND((F52-B15)&gt;=0,(F52-B16)&gt;=0),SQRT((A16-A15)^2+(B16-B15)^2),IF((F52-B15)&gt;0,SQRT(((A15+((F52-B15)/((F52-B15)-(F52-B16)))*(A16-A15))-A15)^2+(F52-B15)^2),SQRT((A16-(A15+((F52-B15)/((F52-B15)-(F52-B16)))*(A16-A15)))^2+(F52-B16)^2)))))+(IF(AND((F52-B16)&lt;=0,(F52-B17)&lt;=0),0,IF(AND((F52-B16)&gt;=0,(F52-B17)&gt;=0),SQRT((A17-A16)^2+(B17-B16)^2),IF((F52-B16)&gt;0,SQRT(((A16+((F52-B16)/((F52-B16)-(F52-B17)))*(A17-A16))-A16)^2+(F52-B16)^2),SQRT((A17-(A16+((F52-B16)/((F52-B16)-(F52-B17)))*(A17-A16)))^2+(F52-B17)^2)))))+(IF(AND((F52-B17)&lt;=0,(F52-B18)&lt;=0),0,IF(AND((F52-B17)&gt;=0,(F52-B18)&gt;=0),SQRT((A18-A17)^2+(B18-B17)^2),IF((F52-B17)&gt;0,SQRT(((A17+((F52-B17)/((F52-B17)-(F52-B18)))*(A18-A17))-A17)^2+(F52-B17)^2),SQRT((A18-(A17+((F52-B17)/((F52-B17)-(F52-B18)))*(A18-A17)))^2+(F52-B18)^2)))))+(IF(AND((F52-B18)&lt;=0,(F52-B19)&lt;=0),0,IF(AND((F52-B18)&gt;=0,(F52-B19)&gt;=0),SQRT((A19-A18)^2+(B19-B18)^2),IF((F52-B18)&gt;0,SQRT(((A18+((F52-B18)/((F52-B18)-(F52-B19)))*(A19-A18))-A18)^2+(F52-B18)^2),SQRT((A19-(A18+((F52-B18)/((F52-B18)-(F52-B19)))*(A19-A18)))^2+(F52-B19)^2)))))+(IF(AND((F52-B19)&lt;=0,(F52-B20)&lt;=0),0,IF(AND((F52-B19)&gt;=0,(F52-B20)&gt;=0),SQRT((A20-A19)^2+(B20-B19)^2),IF((F52-B19)&gt;0,SQRT(((A19+((F52-B19)/((F52-B19)-(F52-B20)))*(A20-A19))-A19)^2+(F52-B19)^2),SQRT((A20-(A19+((F52-B19)/((F52-B19)-(F52-B20)))*(A20-A19)))^2+(F52-B20)^2)))))+(IF(AND((F52-B20)&lt;=0,(F52-B21)&lt;=0),0,IF(AND((F52-B20)&gt;=0,(F52-B21)&gt;=0),SQRT((A21-A20)^2+(B21-B20)^2),IF((F52-B20)&gt;0,SQRT(((A20+((F52-B20)/((F52-B20)-(F52-B21)))*(A21-A20))-A20)^2+(F52-B20)^2),SQRT((A21-(A20+((F52-B20)/((F52-B20)-(F52-B21)))*(A21-A20)))^2+(F52-B21)^2)))))</f>
        <v/>
      </c>
      <c r="I52">
        <f>IF(OR($B$4&lt;=0,G52&lt;=0,H52&lt;=0,$B$5&lt;=0),0,(1/$B$4)*G52*((G52/H52)^(2/3))*SQRT($B$5))</f>
        <v/>
      </c>
    </row>
    <row r="53">
      <c r="D53">
        <f>IF(I52&lt;$B$3,F52,D52)</f>
        <v/>
      </c>
      <c r="E53">
        <f>IF(I52&lt;$B$3,E52,F52)</f>
        <v/>
      </c>
      <c r="F53">
        <f>(D53+E53)/2</f>
        <v/>
      </c>
      <c r="G53">
        <f>(IF(AND((F53-B10)&lt;=0,(F53-B11)&lt;=0),0,IF(AND((F53-B10)&gt;=0,(F53-B11)&gt;=0),0.5*((F53-B10)+(F53-B11))*ABS(A11-A10),IF((F53-B10)&gt;0,0.5*(F53-B10)*ABS((A10+((F53-B10)/((F53-B10)-(F53-B11)))*(A11-A10))-A10),0.5*(F53-B11)*ABS(A11-(A10+((F53-B10)/((F53-B10)-(F53-B11)))*(A11-A10)))))))+(IF(AND((F53-B11)&lt;=0,(F53-B12)&lt;=0),0,IF(AND((F53-B11)&gt;=0,(F53-B12)&gt;=0),0.5*((F53-B11)+(F53-B12))*ABS(A12-A11),IF((F53-B11)&gt;0,0.5*(F53-B11)*ABS((A11+((F53-B11)/((F53-B11)-(F53-B12)))*(A12-A11))-A11),0.5*(F53-B12)*ABS(A12-(A11+((F53-B11)/((F53-B11)-(F53-B12)))*(A12-A11)))))))+(IF(AND((F53-B12)&lt;=0,(F53-B13)&lt;=0),0,IF(AND((F53-B12)&gt;=0,(F53-B13)&gt;=0),0.5*((F53-B12)+(F53-B13))*ABS(A13-A12),IF((F53-B12)&gt;0,0.5*(F53-B12)*ABS((A12+((F53-B12)/((F53-B12)-(F53-B13)))*(A13-A12))-A12),0.5*(F53-B13)*ABS(A13-(A12+((F53-B12)/((F53-B12)-(F53-B13)))*(A13-A12)))))))+(IF(AND((F53-B13)&lt;=0,(F53-B14)&lt;=0),0,IF(AND((F53-B13)&gt;=0,(F53-B14)&gt;=0),0.5*((F53-B13)+(F53-B14))*ABS(A14-A13),IF((F53-B13)&gt;0,0.5*(F53-B13)*ABS((A13+((F53-B13)/((F53-B13)-(F53-B14)))*(A14-A13))-A13),0.5*(F53-B14)*ABS(A14-(A13+((F53-B13)/((F53-B13)-(F53-B14)))*(A14-A13)))))))+(IF(AND((F53-B14)&lt;=0,(F53-B15)&lt;=0),0,IF(AND((F53-B14)&gt;=0,(F53-B15)&gt;=0),0.5*((F53-B14)+(F53-B15))*ABS(A15-A14),IF((F53-B14)&gt;0,0.5*(F53-B14)*ABS((A14+((F53-B14)/((F53-B14)-(F53-B15)))*(A15-A14))-A14),0.5*(F53-B15)*ABS(A15-(A14+((F53-B14)/((F53-B14)-(F53-B15)))*(A15-A14)))))))+(IF(AND((F53-B15)&lt;=0,(F53-B16)&lt;=0),0,IF(AND((F53-B15)&gt;=0,(F53-B16)&gt;=0),0.5*((F53-B15)+(F53-B16))*ABS(A16-A15),IF((F53-B15)&gt;0,0.5*(F53-B15)*ABS((A15+((F53-B15)/((F53-B15)-(F53-B16)))*(A16-A15))-A15),0.5*(F53-B16)*ABS(A16-(A15+((F53-B15)/((F53-B15)-(F53-B16)))*(A16-A15)))))))+(IF(AND((F53-B16)&lt;=0,(F53-B17)&lt;=0),0,IF(AND((F53-B16)&gt;=0,(F53-B17)&gt;=0),0.5*((F53-B16)+(F53-B17))*ABS(A17-A16),IF((F53-B16)&gt;0,0.5*(F53-B16)*ABS((A16+((F53-B16)/((F53-B16)-(F53-B17)))*(A17-A16))-A16),0.5*(F53-B17)*ABS(A17-(A16+((F53-B16)/((F53-B16)-(F53-B17)))*(A17-A16)))))))+(IF(AND((F53-B17)&lt;=0,(F53-B18)&lt;=0),0,IF(AND((F53-B17)&gt;=0,(F53-B18)&gt;=0),0.5*((F53-B17)+(F53-B18))*ABS(A18-A17),IF((F53-B17)&gt;0,0.5*(F53-B17)*ABS((A17+((F53-B17)/((F53-B17)-(F53-B18)))*(A18-A17))-A17),0.5*(F53-B18)*ABS(A18-(A17+((F53-B17)/((F53-B17)-(F53-B18)))*(A18-A17)))))))+(IF(AND((F53-B18)&lt;=0,(F53-B19)&lt;=0),0,IF(AND((F53-B18)&gt;=0,(F53-B19)&gt;=0),0.5*((F53-B18)+(F53-B19))*ABS(A19-A18),IF((F53-B18)&gt;0,0.5*(F53-B18)*ABS((A18+((F53-B18)/((F53-B18)-(F53-B19)))*(A19-A18))-A18),0.5*(F53-B19)*ABS(A19-(A18+((F53-B18)/((F53-B18)-(F53-B19)))*(A19-A18)))))))+(IF(AND((F53-B19)&lt;=0,(F53-B20)&lt;=0),0,IF(AND((F53-B19)&gt;=0,(F53-B20)&gt;=0),0.5*((F53-B19)+(F53-B20))*ABS(A20-A19),IF((F53-B19)&gt;0,0.5*(F53-B19)*ABS((A19+((F53-B19)/((F53-B19)-(F53-B20)))*(A20-A19))-A19),0.5*(F53-B20)*ABS(A20-(A19+((F53-B19)/((F53-B19)-(F53-B20)))*(A20-A19)))))))+(IF(AND((F53-B20)&lt;=0,(F53-B21)&lt;=0),0,IF(AND((F53-B20)&gt;=0,(F53-B21)&gt;=0),0.5*((F53-B20)+(F53-B21))*ABS(A21-A20),IF((F53-B20)&gt;0,0.5*(F53-B20)*ABS((A20+((F53-B20)/((F53-B20)-(F53-B21)))*(A21-A20))-A20),0.5*(F53-B21)*ABS(A21-(A20+((F53-B20)/((F53-B20)-(F53-B21)))*(A21-A20)))))))</f>
        <v/>
      </c>
      <c r="H53">
        <f>(IF(AND((F53-B10)&lt;=0,(F53-B11)&lt;=0),0,IF(AND((F53-B10)&gt;=0,(F53-B11)&gt;=0),SQRT((A11-A10)^2+(B11-B10)^2),IF((F53-B10)&gt;0,SQRT(((A10+((F53-B10)/((F53-B10)-(F53-B11)))*(A11-A10))-A10)^2+(F53-B10)^2),SQRT((A11-(A10+((F53-B10)/((F53-B10)-(F53-B11)))*(A11-A10)))^2+(F53-B11)^2)))))+(IF(AND((F53-B11)&lt;=0,(F53-B12)&lt;=0),0,IF(AND((F53-B11)&gt;=0,(F53-B12)&gt;=0),SQRT((A12-A11)^2+(B12-B11)^2),IF((F53-B11)&gt;0,SQRT(((A11+((F53-B11)/((F53-B11)-(F53-B12)))*(A12-A11))-A11)^2+(F53-B11)^2),SQRT((A12-(A11+((F53-B11)/((F53-B11)-(F53-B12)))*(A12-A11)))^2+(F53-B12)^2)))))+(IF(AND((F53-B12)&lt;=0,(F53-B13)&lt;=0),0,IF(AND((F53-B12)&gt;=0,(F53-B13)&gt;=0),SQRT((A13-A12)^2+(B13-B12)^2),IF((F53-B12)&gt;0,SQRT(((A12+((F53-B12)/((F53-B12)-(F53-B13)))*(A13-A12))-A12)^2+(F53-B12)^2),SQRT((A13-(A12+((F53-B12)/((F53-B12)-(F53-B13)))*(A13-A12)))^2+(F53-B13)^2)))))+(IF(AND((F53-B13)&lt;=0,(F53-B14)&lt;=0),0,IF(AND((F53-B13)&gt;=0,(F53-B14)&gt;=0),SQRT((A14-A13)^2+(B14-B13)^2),IF((F53-B13)&gt;0,SQRT(((A13+((F53-B13)/((F53-B13)-(F53-B14)))*(A14-A13))-A13)^2+(F53-B13)^2),SQRT((A14-(A13+((F53-B13)/((F53-B13)-(F53-B14)))*(A14-A13)))^2+(F53-B14)^2)))))+(IF(AND((F53-B14)&lt;=0,(F53-B15)&lt;=0),0,IF(AND((F53-B14)&gt;=0,(F53-B15)&gt;=0),SQRT((A15-A14)^2+(B15-B14)^2),IF((F53-B14)&gt;0,SQRT(((A14+((F53-B14)/((F53-B14)-(F53-B15)))*(A15-A14))-A14)^2+(F53-B14)^2),SQRT((A15-(A14+((F53-B14)/((F53-B14)-(F53-B15)))*(A15-A14)))^2+(F53-B15)^2)))))+(IF(AND((F53-B15)&lt;=0,(F53-B16)&lt;=0),0,IF(AND((F53-B15)&gt;=0,(F53-B16)&gt;=0),SQRT((A16-A15)^2+(B16-B15)^2),IF((F53-B15)&gt;0,SQRT(((A15+((F53-B15)/((F53-B15)-(F53-B16)))*(A16-A15))-A15)^2+(F53-B15)^2),SQRT((A16-(A15+((F53-B15)/((F53-B15)-(F53-B16)))*(A16-A15)))^2+(F53-B16)^2)))))+(IF(AND((F53-B16)&lt;=0,(F53-B17)&lt;=0),0,IF(AND((F53-B16)&gt;=0,(F53-B17)&gt;=0),SQRT((A17-A16)^2+(B17-B16)^2),IF((F53-B16)&gt;0,SQRT(((A16+((F53-B16)/((F53-B16)-(F53-B17)))*(A17-A16))-A16)^2+(F53-B16)^2),SQRT((A17-(A16+((F53-B16)/((F53-B16)-(F53-B17)))*(A17-A16)))^2+(F53-B17)^2)))))+(IF(AND((F53-B17)&lt;=0,(F53-B18)&lt;=0),0,IF(AND((F53-B17)&gt;=0,(F53-B18)&gt;=0),SQRT((A18-A17)^2+(B18-B17)^2),IF((F53-B17)&gt;0,SQRT(((A17+((F53-B17)/((F53-B17)-(F53-B18)))*(A18-A17))-A17)^2+(F53-B17)^2),SQRT((A18-(A17+((F53-B17)/((F53-B17)-(F53-B18)))*(A18-A17)))^2+(F53-B18)^2)))))+(IF(AND((F53-B18)&lt;=0,(F53-B19)&lt;=0),0,IF(AND((F53-B18)&gt;=0,(F53-B19)&gt;=0),SQRT((A19-A18)^2+(B19-B18)^2),IF((F53-B18)&gt;0,SQRT(((A18+((F53-B18)/((F53-B18)-(F53-B19)))*(A19-A18))-A18)^2+(F53-B18)^2),SQRT((A19-(A18+((F53-B18)/((F53-B18)-(F53-B19)))*(A19-A18)))^2+(F53-B19)^2)))))+(IF(AND((F53-B19)&lt;=0,(F53-B20)&lt;=0),0,IF(AND((F53-B19)&gt;=0,(F53-B20)&gt;=0),SQRT((A20-A19)^2+(B20-B19)^2),IF((F53-B19)&gt;0,SQRT(((A19+((F53-B19)/((F53-B19)-(F53-B20)))*(A20-A19))-A19)^2+(F53-B19)^2),SQRT((A20-(A19+((F53-B19)/((F53-B19)-(F53-B20)))*(A20-A19)))^2+(F53-B20)^2)))))+(IF(AND((F53-B20)&lt;=0,(F53-B21)&lt;=0),0,IF(AND((F53-B20)&gt;=0,(F53-B21)&gt;=0),SQRT((A21-A20)^2+(B21-B20)^2),IF((F53-B20)&gt;0,SQRT(((A20+((F53-B20)/((F53-B20)-(F53-B21)))*(A21-A20))-A20)^2+(F53-B20)^2),SQRT((A21-(A20+((F53-B20)/((F53-B20)-(F53-B21)))*(A21-A20)))^2+(F53-B21)^2)))))</f>
        <v/>
      </c>
      <c r="I53">
        <f>IF(OR($B$4&lt;=0,G53&lt;=0,H53&lt;=0,$B$5&lt;=0),0,(1/$B$4)*G53*((G53/H53)^(2/3))*SQRT($B$5))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5+000 — vitesse à profondeur normale</t>
        </is>
      </c>
    </row>
    <row r="3">
      <c r="A3" t="inlineStr">
        <is>
          <t>Station (m)</t>
        </is>
      </c>
      <c r="B3" s="12" t="n">
        <v>45.838</v>
      </c>
    </row>
    <row r="4">
      <c r="A4" t="inlineStr">
        <is>
          <t>S0 (-)</t>
        </is>
      </c>
      <c r="B4" s="20" t="n">
        <v>0.0315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'calc_5000'!L3</f>
        <v/>
      </c>
    </row>
    <row r="10">
      <c r="A10" t="inlineStr">
        <is>
          <t>Profondeur y (m)</t>
        </is>
      </c>
      <c r="B10" s="10">
        <f>'calc_5000'!L8</f>
        <v/>
      </c>
    </row>
    <row r="11">
      <c r="A11" t="inlineStr">
        <is>
          <t>Aire A (m²)</t>
        </is>
      </c>
      <c r="B11" s="10">
        <f>'calc_5000'!L4</f>
        <v/>
      </c>
    </row>
    <row r="12">
      <c r="A12" t="inlineStr">
        <is>
          <t>Périmètre P (m)</t>
        </is>
      </c>
      <c r="B12" s="10">
        <f>'calc_5000'!L5</f>
        <v/>
      </c>
    </row>
    <row r="13">
      <c r="A13" t="inlineStr">
        <is>
          <t>Rayon R = A/P (m)</t>
        </is>
      </c>
      <c r="B13" s="10">
        <f>'calc_5000'!L6</f>
        <v/>
      </c>
    </row>
    <row r="14">
      <c r="A14" t="inlineStr">
        <is>
          <t>Vitesse V (m/s)</t>
        </is>
      </c>
      <c r="B14" s="10">
        <f>'calc_5000'!L7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39.53</v>
      </c>
      <c r="D19" s="5" t="inlineStr">
        <is>
          <t>BOR</t>
        </is>
      </c>
    </row>
    <row r="20">
      <c r="A20" s="5" t="n">
        <v>2</v>
      </c>
      <c r="B20" s="6" t="n">
        <v>10.522</v>
      </c>
      <c r="C20" s="6" t="n">
        <v>39.1</v>
      </c>
      <c r="D20" s="5" t="inlineStr">
        <is>
          <t>TAH</t>
        </is>
      </c>
    </row>
    <row r="21">
      <c r="A21" s="5" t="n">
        <v>3</v>
      </c>
      <c r="B21" s="6" t="n">
        <v>17.92</v>
      </c>
      <c r="C21" s="6" t="n">
        <v>34.326</v>
      </c>
      <c r="D21" s="5" t="inlineStr">
        <is>
          <t>FOND</t>
        </is>
      </c>
    </row>
    <row r="22">
      <c r="A22" s="5" t="n">
        <v>4</v>
      </c>
      <c r="B22" s="6" t="n">
        <v>20.216</v>
      </c>
      <c r="C22" s="6" t="n">
        <v>34.45</v>
      </c>
      <c r="D22" s="5" t="inlineStr">
        <is>
          <t>FOND</t>
        </is>
      </c>
    </row>
    <row r="23">
      <c r="A23" s="5" t="n">
        <v>5</v>
      </c>
      <c r="B23" s="6" t="n">
        <v>22.19</v>
      </c>
      <c r="C23" s="6" t="n">
        <v>34.296</v>
      </c>
      <c r="D23" s="5" t="inlineStr">
        <is>
          <t>FOND</t>
        </is>
      </c>
    </row>
    <row r="24">
      <c r="A24" s="5" t="n">
        <v>6</v>
      </c>
      <c r="B24" s="6" t="n">
        <v>26.9</v>
      </c>
      <c r="C24" s="6" t="n">
        <v>34.87</v>
      </c>
      <c r="D24" s="5" t="inlineStr">
        <is>
          <t>LHE</t>
        </is>
      </c>
    </row>
    <row r="25">
      <c r="A25" s="5" t="n">
        <v>7</v>
      </c>
      <c r="B25" s="6" t="n">
        <v>30.703</v>
      </c>
      <c r="C25" s="6" t="n">
        <v>36.55</v>
      </c>
      <c r="D25" s="5" t="inlineStr">
        <is>
          <t>TN</t>
        </is>
      </c>
    </row>
    <row r="26">
      <c r="A26" s="5" t="n">
        <v>8</v>
      </c>
      <c r="B26" s="6" t="n">
        <v>34.784</v>
      </c>
      <c r="C26" s="6" t="n">
        <v>39.25</v>
      </c>
      <c r="D26" s="5" t="inlineStr">
        <is>
          <t>THA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5+000</t>
        </is>
      </c>
    </row>
    <row r="3">
      <c r="A3" t="inlineStr">
        <is>
          <t>Q</t>
        </is>
      </c>
      <c r="B3">
        <f>'Section_5000'!B5</f>
        <v/>
      </c>
      <c r="D3" t="inlineStr">
        <is>
          <t>fond</t>
        </is>
      </c>
      <c r="E3">
        <f>MIN(B10:B17)</f>
        <v/>
      </c>
      <c r="K3" t="inlineStr">
        <is>
          <t>WSE</t>
        </is>
      </c>
      <c r="L3">
        <f>F49</f>
        <v/>
      </c>
    </row>
    <row r="4">
      <c r="A4" t="inlineStr">
        <is>
          <t>n</t>
        </is>
      </c>
      <c r="B4">
        <f>'Section_5000'!B6</f>
        <v/>
      </c>
      <c r="D4" t="inlineStr">
        <is>
          <t>zmax</t>
        </is>
      </c>
      <c r="E4">
        <f>MAX(B10:B17)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</f>
        <v/>
      </c>
    </row>
    <row r="5">
      <c r="A5" t="inlineStr">
        <is>
          <t>S0</t>
        </is>
      </c>
      <c r="B5">
        <f>'Section_5000'!B4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39.53</v>
      </c>
    </row>
    <row r="11">
      <c r="A11" t="n">
        <v>10.522</v>
      </c>
      <c r="B11" t="n">
        <v>39.1</v>
      </c>
    </row>
    <row r="12">
      <c r="A12" t="n">
        <v>17.92</v>
      </c>
      <c r="B12" t="n">
        <v>34.326</v>
      </c>
    </row>
    <row r="13">
      <c r="A13" t="n">
        <v>20.216</v>
      </c>
      <c r="B13" t="n">
        <v>34.45</v>
      </c>
    </row>
    <row r="14">
      <c r="A14" t="n">
        <v>22.19</v>
      </c>
      <c r="B14" t="n">
        <v>34.296</v>
      </c>
    </row>
    <row r="15">
      <c r="A15" t="n">
        <v>26.9</v>
      </c>
      <c r="B15" t="n">
        <v>34.87</v>
      </c>
    </row>
    <row r="16">
      <c r="A16" t="n">
        <v>30.703</v>
      </c>
      <c r="B16" t="n">
        <v>36.55</v>
      </c>
    </row>
    <row r="17">
      <c r="A17" t="n">
        <v>34.784</v>
      </c>
      <c r="B17" t="n">
        <v>39.25</v>
      </c>
    </row>
    <row r="19">
      <c r="D19" t="inlineStr">
        <is>
          <t>lo</t>
        </is>
      </c>
      <c r="E19" t="inlineStr">
        <is>
          <t>hi</t>
        </is>
      </c>
      <c r="F19" t="inlineStr">
        <is>
          <t>mid</t>
        </is>
      </c>
      <c r="G19" t="inlineStr">
        <is>
          <t>A</t>
        </is>
      </c>
      <c r="H19" t="inlineStr">
        <is>
          <t>P</t>
        </is>
      </c>
      <c r="I19" t="inlineStr">
        <is>
          <t>Qman</t>
        </is>
      </c>
    </row>
    <row r="20">
      <c r="D20">
        <f>E3+0.0001</f>
        <v/>
      </c>
      <c r="E20">
        <f>E4-0.0001</f>
        <v/>
      </c>
      <c r="F20">
        <f>(D20+E20)/2</f>
        <v/>
      </c>
      <c r="G20">
        <f>(IF(AND((F20-B10)&lt;=0,(F20-B11)&lt;=0),0,IF(AND((F20-B10)&gt;=0,(F20-B11)&gt;=0),0.5*((F20-B10)+(F20-B11))*ABS(A11-A10),IF((F20-B10)&gt;0,0.5*(F20-B10)*ABS((A10+((F20-B10)/((F20-B10)-(F20-B11)))*(A11-A10))-A10),0.5*(F20-B11)*ABS(A11-(A10+((F20-B10)/((F20-B10)-(F20-B11)))*(A11-A10)))))))+(IF(AND((F20-B11)&lt;=0,(F20-B12)&lt;=0),0,IF(AND((F20-B11)&gt;=0,(F20-B12)&gt;=0),0.5*((F20-B11)+(F20-B12))*ABS(A12-A11),IF((F20-B11)&gt;0,0.5*(F20-B11)*ABS((A11+((F20-B11)/((F20-B11)-(F20-B12)))*(A12-A11))-A11),0.5*(F20-B12)*ABS(A12-(A11+((F20-B11)/((F20-B11)-(F20-B12)))*(A12-A11)))))))+(IF(AND((F20-B12)&lt;=0,(F20-B13)&lt;=0),0,IF(AND((F20-B12)&gt;=0,(F20-B13)&gt;=0),0.5*((F20-B12)+(F20-B13))*ABS(A13-A12),IF((F20-B12)&gt;0,0.5*(F20-B12)*ABS((A12+((F20-B12)/((F20-B12)-(F20-B13)))*(A13-A12))-A12),0.5*(F20-B13)*ABS(A13-(A12+((F20-B12)/((F20-B12)-(F20-B13)))*(A13-A12)))))))+(IF(AND((F20-B13)&lt;=0,(F20-B14)&lt;=0),0,IF(AND((F20-B13)&gt;=0,(F20-B14)&gt;=0),0.5*((F20-B13)+(F20-B14))*ABS(A14-A13),IF((F20-B13)&gt;0,0.5*(F20-B13)*ABS((A13+((F20-B13)/((F20-B13)-(F20-B14)))*(A14-A13))-A13),0.5*(F20-B14)*ABS(A14-(A13+((F20-B13)/((F20-B13)-(F20-B14)))*(A14-A13)))))))+(IF(AND((F20-B14)&lt;=0,(F20-B15)&lt;=0),0,IF(AND((F20-B14)&gt;=0,(F20-B15)&gt;=0),0.5*((F20-B14)+(F20-B15))*ABS(A15-A14),IF((F20-B14)&gt;0,0.5*(F20-B14)*ABS((A14+((F20-B14)/((F20-B14)-(F20-B15)))*(A15-A14))-A14),0.5*(F20-B15)*ABS(A15-(A14+((F20-B14)/((F20-B14)-(F20-B15)))*(A15-A14)))))))+(IF(AND((F20-B15)&lt;=0,(F20-B16)&lt;=0),0,IF(AND((F20-B15)&gt;=0,(F20-B16)&gt;=0),0.5*((F20-B15)+(F20-B16))*ABS(A16-A15),IF((F20-B15)&gt;0,0.5*(F20-B15)*ABS((A15+((F20-B15)/((F20-B15)-(F20-B16)))*(A16-A15))-A15),0.5*(F20-B16)*ABS(A16-(A15+((F20-B15)/((F20-B15)-(F20-B16)))*(A16-A15)))))))+(IF(AND((F20-B16)&lt;=0,(F20-B17)&lt;=0),0,IF(AND((F20-B16)&gt;=0,(F20-B17)&gt;=0),0.5*((F20-B16)+(F20-B17))*ABS(A17-A16),IF((F20-B16)&gt;0,0.5*(F20-B16)*ABS((A16+((F20-B16)/((F20-B16)-(F20-B17)))*(A17-A16))-A16),0.5*(F20-B17)*ABS(A17-(A16+((F20-B16)/((F20-B16)-(F20-B17)))*(A17-A16)))))))</f>
        <v/>
      </c>
      <c r="H20">
        <f>(IF(AND((F20-B10)&lt;=0,(F20-B11)&lt;=0),0,IF(AND((F20-B10)&gt;=0,(F20-B11)&gt;=0),SQRT((A11-A10)^2+(B11-B10)^2),IF((F20-B10)&gt;0,SQRT(((A10+((F20-B10)/((F20-B10)-(F20-B11)))*(A11-A10))-A10)^2+(F20-B10)^2),SQRT((A11-(A10+((F20-B10)/((F20-B10)-(F20-B11)))*(A11-A10)))^2+(F20-B11)^2)))))+(IF(AND((F20-B11)&lt;=0,(F20-B12)&lt;=0),0,IF(AND((F20-B11)&gt;=0,(F20-B12)&gt;=0),SQRT((A12-A11)^2+(B12-B11)^2),IF((F20-B11)&gt;0,SQRT(((A11+((F20-B11)/((F20-B11)-(F20-B12)))*(A12-A11))-A11)^2+(F20-B11)^2),SQRT((A12-(A11+((F20-B11)/((F20-B11)-(F20-B12)))*(A12-A11)))^2+(F20-B12)^2)))))+(IF(AND((F20-B12)&lt;=0,(F20-B13)&lt;=0),0,IF(AND((F20-B12)&gt;=0,(F20-B13)&gt;=0),SQRT((A13-A12)^2+(B13-B12)^2),IF((F20-B12)&gt;0,SQRT(((A12+((F20-B12)/((F20-B12)-(F20-B13)))*(A13-A12))-A12)^2+(F20-B12)^2),SQRT((A13-(A12+((F20-B12)/((F20-B12)-(F20-B13)))*(A13-A12)))^2+(F20-B13)^2)))))+(IF(AND((F20-B13)&lt;=0,(F20-B14)&lt;=0),0,IF(AND((F20-B13)&gt;=0,(F20-B14)&gt;=0),SQRT((A14-A13)^2+(B14-B13)^2),IF((F20-B13)&gt;0,SQRT(((A13+((F20-B13)/((F20-B13)-(F20-B14)))*(A14-A13))-A13)^2+(F20-B13)^2),SQRT((A14-(A13+((F20-B13)/((F20-B13)-(F20-B14)))*(A14-A13)))^2+(F20-B14)^2)))))+(IF(AND((F20-B14)&lt;=0,(F20-B15)&lt;=0),0,IF(AND((F20-B14)&gt;=0,(F20-B15)&gt;=0),SQRT((A15-A14)^2+(B15-B14)^2),IF((F20-B14)&gt;0,SQRT(((A14+((F20-B14)/((F20-B14)-(F20-B15)))*(A15-A14))-A14)^2+(F20-B14)^2),SQRT((A15-(A14+((F20-B14)/((F20-B14)-(F20-B15)))*(A15-A14)))^2+(F20-B15)^2)))))+(IF(AND((F20-B15)&lt;=0,(F20-B16)&lt;=0),0,IF(AND((F20-B15)&gt;=0,(F20-B16)&gt;=0),SQRT((A16-A15)^2+(B16-B15)^2),IF((F20-B15)&gt;0,SQRT(((A15+((F20-B15)/((F20-B15)-(F20-B16)))*(A16-A15))-A15)^2+(F20-B15)^2),SQRT((A16-(A15+((F20-B15)/((F20-B15)-(F20-B16)))*(A16-A15)))^2+(F20-B16)^2)))))+(IF(AND((F20-B16)&lt;=0,(F20-B17)&lt;=0),0,IF(AND((F20-B16)&gt;=0,(F20-B17)&gt;=0),SQRT((A17-A16)^2+(B17-B16)^2),IF((F20-B16)&gt;0,SQRT(((A16+((F20-B16)/((F20-B16)-(F20-B17)))*(A17-A16))-A16)^2+(F20-B16)^2),SQRT((A17-(A16+((F20-B16)/((F20-B16)-(F20-B17)))*(A17-A16)))^2+(F20-B17)^2)))))</f>
        <v/>
      </c>
      <c r="I20">
        <f>IF(OR($B$4&lt;=0,G20&lt;=0,H20&lt;=0,$B$5&lt;=0),0,(1/$B$4)*G20*((G20/H20)^(2/3))*SQRT($B$5))</f>
        <v/>
      </c>
    </row>
    <row r="21">
      <c r="D21">
        <f>IF(I20&lt;$B$3,F20,D20)</f>
        <v/>
      </c>
      <c r="E21">
        <f>IF(I20&lt;$B$3,E20,F20)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+(IF(AND((F21-B15)&lt;=0,(F21-B16)&lt;=0),0,IF(AND((F21-B15)&gt;=0,(F21-B16)&gt;=0),0.5*((F21-B15)+(F21-B16))*ABS(A16-A15),IF((F21-B15)&gt;0,0.5*(F21-B15)*ABS((A15+((F21-B15)/((F21-B15)-(F21-B16)))*(A16-A15))-A15),0.5*(F21-B16)*ABS(A16-(A15+((F21-B15)/((F21-B15)-(F21-B16)))*(A16-A15)))))))+(IF(AND((F21-B16)&lt;=0,(F21-B17)&lt;=0),0,IF(AND((F21-B16)&gt;=0,(F21-B17)&gt;=0),0.5*((F21-B16)+(F21-B17))*ABS(A17-A16),IF((F21-B16)&gt;0,0.5*(F21-B16)*ABS((A16+((F21-B16)/((F21-B16)-(F21-B17)))*(A17-A16))-A16),0.5*(F21-B17)*ABS(A17-(A16+((F21-B16)/((F21-B16)-(F21-B17)))*(A17-A16)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+(IF(AND((F21-B15)&lt;=0,(F21-B16)&lt;=0),0,IF(AND((F21-B15)&gt;=0,(F21-B16)&gt;=0),SQRT((A16-A15)^2+(B16-B15)^2),IF((F21-B15)&gt;0,SQRT(((A15+((F21-B15)/((F21-B15)-(F21-B16)))*(A16-A15))-A15)^2+(F21-B15)^2),SQRT((A16-(A15+((F21-B15)/((F21-B15)-(F21-B16)))*(A16-A15)))^2+(F21-B16)^2)))))+(IF(AND((F21-B16)&lt;=0,(F21-B17)&lt;=0),0,IF(AND((F21-B16)&gt;=0,(F21-B17)&gt;=0),SQRT((A17-A16)^2+(B17-B16)^2),IF((F21-B16)&gt;0,SQRT(((A16+((F21-B16)/((F21-B16)-(F21-B17)))*(A17-A16))-A16)^2+(F21-B16)^2),SQRT((A17-(A16+((F21-B16)/((F21-B16)-(F21-B17)))*(A17-A16)))^2+(F21-B17)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</f>
        <v/>
      </c>
      <c r="I49">
        <f>IF(OR($B$4&lt;=0,G49&lt;=0,H49&lt;=0,$B$5&lt;=0),0,(1/$B$4)*G49*((G49/H49)^(2/3))*SQRT($B$5))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6+000 — vitesse à profondeur normale</t>
        </is>
      </c>
    </row>
    <row r="3">
      <c r="A3" t="inlineStr">
        <is>
          <t>Station (m)</t>
        </is>
      </c>
      <c r="B3" s="12" t="n">
        <v>59.435</v>
      </c>
    </row>
    <row r="4">
      <c r="A4" t="inlineStr">
        <is>
          <t>S0 (-)</t>
        </is>
      </c>
      <c r="B4" s="20" t="n">
        <v>0.00535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'calc_6000'!L3</f>
        <v/>
      </c>
    </row>
    <row r="10">
      <c r="A10" t="inlineStr">
        <is>
          <t>Profondeur y (m)</t>
        </is>
      </c>
      <c r="B10" s="10">
        <f>'calc_6000'!L8</f>
        <v/>
      </c>
    </row>
    <row r="11">
      <c r="A11" t="inlineStr">
        <is>
          <t>Aire A (m²)</t>
        </is>
      </c>
      <c r="B11" s="10">
        <f>'calc_6000'!L4</f>
        <v/>
      </c>
    </row>
    <row r="12">
      <c r="A12" t="inlineStr">
        <is>
          <t>Périmètre P (m)</t>
        </is>
      </c>
      <c r="B12" s="10">
        <f>'calc_6000'!L5</f>
        <v/>
      </c>
    </row>
    <row r="13">
      <c r="A13" t="inlineStr">
        <is>
          <t>Rayon R = A/P (m)</t>
        </is>
      </c>
      <c r="B13" s="10">
        <f>'calc_6000'!L6</f>
        <v/>
      </c>
    </row>
    <row r="14">
      <c r="A14" t="inlineStr">
        <is>
          <t>Vitesse V (m/s)</t>
        </is>
      </c>
      <c r="B14" s="10">
        <f>'calc_6000'!L7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39.414</v>
      </c>
      <c r="D19" s="5" t="inlineStr">
        <is>
          <t>BOR</t>
        </is>
      </c>
    </row>
    <row r="20">
      <c r="A20" s="5" t="n">
        <v>2</v>
      </c>
      <c r="B20" s="6" t="n">
        <v>12.29</v>
      </c>
      <c r="C20" s="6" t="n">
        <v>38.58</v>
      </c>
      <c r="D20" s="5" t="inlineStr">
        <is>
          <t>THA</t>
        </is>
      </c>
    </row>
    <row r="21">
      <c r="A21" s="5" t="n">
        <v>3</v>
      </c>
      <c r="B21" s="6" t="n">
        <v>19.598</v>
      </c>
      <c r="C21" s="6" t="n">
        <v>34.92</v>
      </c>
      <c r="D21" s="5" t="inlineStr">
        <is>
          <t>TBA</t>
        </is>
      </c>
    </row>
    <row r="22">
      <c r="A22" s="5" t="n">
        <v>4</v>
      </c>
      <c r="B22" s="6" t="n">
        <v>31.09</v>
      </c>
      <c r="C22" s="6" t="n">
        <v>34.21</v>
      </c>
      <c r="D22" s="5" t="inlineStr">
        <is>
          <t>FOND</t>
        </is>
      </c>
    </row>
    <row r="23">
      <c r="A23" s="5" t="n">
        <v>5</v>
      </c>
      <c r="B23" s="6" t="n">
        <v>32.472</v>
      </c>
      <c r="C23" s="6" t="n">
        <v>34.28</v>
      </c>
      <c r="D23" s="5" t="inlineStr">
        <is>
          <t>FOND</t>
        </is>
      </c>
    </row>
    <row r="24">
      <c r="A24" s="5" t="n">
        <v>6</v>
      </c>
      <c r="B24" s="6" t="n">
        <v>33.532</v>
      </c>
      <c r="C24" s="6" t="n">
        <v>34.78</v>
      </c>
      <c r="D24" s="5" t="inlineStr">
        <is>
          <t>LHE</t>
        </is>
      </c>
    </row>
    <row r="25">
      <c r="A25" s="5" t="n">
        <v>7</v>
      </c>
      <c r="B25" s="6" t="n">
        <v>36.689</v>
      </c>
      <c r="C25" s="6" t="n">
        <v>34.96</v>
      </c>
      <c r="D25" s="5" t="inlineStr">
        <is>
          <t>LHE</t>
        </is>
      </c>
    </row>
    <row r="26">
      <c r="A26" s="5" t="n">
        <v>8</v>
      </c>
      <c r="B26" s="6" t="n">
        <v>42.646</v>
      </c>
      <c r="C26" s="6" t="n">
        <v>36.57</v>
      </c>
      <c r="D26" s="5" t="inlineStr">
        <is>
          <t>TN</t>
        </is>
      </c>
    </row>
    <row r="27">
      <c r="A27" s="5" t="n">
        <v>9</v>
      </c>
      <c r="B27" s="6" t="n">
        <v>51.106</v>
      </c>
      <c r="C27" s="6" t="n">
        <v>39.77</v>
      </c>
      <c r="D27" s="5" t="inlineStr">
        <is>
          <t>THA</t>
        </is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6+000</t>
        </is>
      </c>
    </row>
    <row r="3">
      <c r="A3" t="inlineStr">
        <is>
          <t>Q</t>
        </is>
      </c>
      <c r="B3">
        <f>'Section_6000'!B5</f>
        <v/>
      </c>
      <c r="D3" t="inlineStr">
        <is>
          <t>fond</t>
        </is>
      </c>
      <c r="E3">
        <f>MIN(B10:B18)</f>
        <v/>
      </c>
      <c r="K3" t="inlineStr">
        <is>
          <t>WSE</t>
        </is>
      </c>
      <c r="L3">
        <f>F50</f>
        <v/>
      </c>
    </row>
    <row r="4">
      <c r="A4" t="inlineStr">
        <is>
          <t>n</t>
        </is>
      </c>
      <c r="B4">
        <f>'Section_6000'!B6</f>
        <v/>
      </c>
      <c r="D4" t="inlineStr">
        <is>
          <t>zmax</t>
        </is>
      </c>
      <c r="E4">
        <f>MAX(B10:B18)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</f>
        <v/>
      </c>
    </row>
    <row r="5">
      <c r="A5" t="inlineStr">
        <is>
          <t>S0</t>
        </is>
      </c>
      <c r="B5">
        <f>'Section_6000'!B4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39.414</v>
      </c>
    </row>
    <row r="11">
      <c r="A11" t="n">
        <v>12.29</v>
      </c>
      <c r="B11" t="n">
        <v>38.58</v>
      </c>
    </row>
    <row r="12">
      <c r="A12" t="n">
        <v>19.598</v>
      </c>
      <c r="B12" t="n">
        <v>34.92</v>
      </c>
    </row>
    <row r="13">
      <c r="A13" t="n">
        <v>31.09</v>
      </c>
      <c r="B13" t="n">
        <v>34.21</v>
      </c>
    </row>
    <row r="14">
      <c r="A14" t="n">
        <v>32.472</v>
      </c>
      <c r="B14" t="n">
        <v>34.28</v>
      </c>
    </row>
    <row r="15">
      <c r="A15" t="n">
        <v>33.532</v>
      </c>
      <c r="B15" t="n">
        <v>34.78</v>
      </c>
    </row>
    <row r="16">
      <c r="A16" t="n">
        <v>36.689</v>
      </c>
      <c r="B16" t="n">
        <v>34.96</v>
      </c>
    </row>
    <row r="17">
      <c r="A17" t="n">
        <v>42.646</v>
      </c>
      <c r="B17" t="n">
        <v>36.57</v>
      </c>
    </row>
    <row r="18">
      <c r="A18" t="n">
        <v>51.106</v>
      </c>
      <c r="B18" t="n">
        <v>39.77</v>
      </c>
    </row>
    <row r="20">
      <c r="D20" t="inlineStr">
        <is>
          <t>lo</t>
        </is>
      </c>
      <c r="E20" t="inlineStr">
        <is>
          <t>hi</t>
        </is>
      </c>
      <c r="F20" t="inlineStr">
        <is>
          <t>mid</t>
        </is>
      </c>
      <c r="G20" t="inlineStr">
        <is>
          <t>A</t>
        </is>
      </c>
      <c r="H20" t="inlineStr">
        <is>
          <t>P</t>
        </is>
      </c>
      <c r="I20" t="inlineStr">
        <is>
          <t>Qman</t>
        </is>
      </c>
    </row>
    <row r="21">
      <c r="D21">
        <f>E3+0.0001</f>
        <v/>
      </c>
      <c r="E21">
        <f>E4-0.0001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+(IF(AND((F21-B15)&lt;=0,(F21-B16)&lt;=0),0,IF(AND((F21-B15)&gt;=0,(F21-B16)&gt;=0),0.5*((F21-B15)+(F21-B16))*ABS(A16-A15),IF((F21-B15)&gt;0,0.5*(F21-B15)*ABS((A15+((F21-B15)/((F21-B15)-(F21-B16)))*(A16-A15))-A15),0.5*(F21-B16)*ABS(A16-(A15+((F21-B15)/((F21-B15)-(F21-B16)))*(A16-A15)))))))+(IF(AND((F21-B16)&lt;=0,(F21-B17)&lt;=0),0,IF(AND((F21-B16)&gt;=0,(F21-B17)&gt;=0),0.5*((F21-B16)+(F21-B17))*ABS(A17-A16),IF((F21-B16)&gt;0,0.5*(F21-B16)*ABS((A16+((F21-B16)/((F21-B16)-(F21-B17)))*(A17-A16))-A16),0.5*(F21-B17)*ABS(A17-(A16+((F21-B16)/((F21-B16)-(F21-B17)))*(A17-A16)))))))+(IF(AND((F21-B17)&lt;=0,(F21-B18)&lt;=0),0,IF(AND((F21-B17)&gt;=0,(F21-B18)&gt;=0),0.5*((F21-B17)+(F21-B18))*ABS(A18-A17),IF((F21-B17)&gt;0,0.5*(F21-B17)*ABS((A17+((F21-B17)/((F21-B17)-(F21-B18)))*(A18-A17))-A17),0.5*(F21-B18)*ABS(A18-(A17+((F21-B17)/((F21-B17)-(F21-B18)))*(A18-A17)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+(IF(AND((F21-B15)&lt;=0,(F21-B16)&lt;=0),0,IF(AND((F21-B15)&gt;=0,(F21-B16)&gt;=0),SQRT((A16-A15)^2+(B16-B15)^2),IF((F21-B15)&gt;0,SQRT(((A15+((F21-B15)/((F21-B15)-(F21-B16)))*(A16-A15))-A15)^2+(F21-B15)^2),SQRT((A16-(A15+((F21-B15)/((F21-B15)-(F21-B16)))*(A16-A15)))^2+(F21-B16)^2)))))+(IF(AND((F21-B16)&lt;=0,(F21-B17)&lt;=0),0,IF(AND((F21-B16)&gt;=0,(F21-B17)&gt;=0),SQRT((A17-A16)^2+(B17-B16)^2),IF((F21-B16)&gt;0,SQRT(((A16+((F21-B16)/((F21-B16)-(F21-B17)))*(A17-A16))-A16)^2+(F21-B16)^2),SQRT((A17-(A16+((F21-B16)/((F21-B16)-(F21-B17)))*(A17-A16)))^2+(F21-B17)^2)))))+(IF(AND((F21-B17)&lt;=0,(F21-B18)&lt;=0),0,IF(AND((F21-B17)&gt;=0,(F21-B18)&gt;=0),SQRT((A18-A17)^2+(B18-B17)^2),IF((F21-B17)&gt;0,SQRT(((A17+((F21-B17)/((F21-B17)-(F21-B18)))*(A18-A17))-A17)^2+(F21-B17)^2),SQRT((A18-(A17+((F21-B17)/((F21-B17)-(F21-B18)))*(A18-A17)))^2+(F21-B18)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+(IF(AND((F22-B17)&lt;=0,(F22-B18)&lt;=0),0,IF(AND((F22-B17)&gt;=0,(F22-B18)&gt;=0),0.5*((F22-B17)+(F22-B18))*ABS(A18-A17),IF((F22-B17)&gt;0,0.5*(F22-B17)*ABS((A17+((F22-B17)/((F22-B17)-(F22-B18)))*(A18-A17))-A17),0.5*(F22-B18)*ABS(A18-(A17+((F22-B17)/((F22-B17)-(F22-B18)))*(A18-A17)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+(IF(AND((F22-B17)&lt;=0,(F22-B18)&lt;=0),0,IF(AND((F22-B17)&gt;=0,(F22-B18)&gt;=0),SQRT((A18-A17)^2+(B18-B17)^2),IF((F22-B17)&gt;0,SQRT(((A17+((F22-B17)/((F22-B17)-(F22-B18)))*(A18-A17))-A17)^2+(F22-B17)^2),SQRT((A18-(A17+((F22-B17)/((F22-B17)-(F22-B18)))*(A18-A17)))^2+(F22-B18)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+(IF(AND((F23-B17)&lt;=0,(F23-B18)&lt;=0),0,IF(AND((F23-B17)&gt;=0,(F23-B18)&gt;=0),0.5*((F23-B17)+(F23-B18))*ABS(A18-A17),IF((F23-B17)&gt;0,0.5*(F23-B17)*ABS((A17+((F23-B17)/((F23-B17)-(F23-B18)))*(A18-A17))-A17),0.5*(F23-B18)*ABS(A18-(A17+((F23-B17)/((F23-B17)-(F23-B18)))*(A18-A17)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+(IF(AND((F23-B17)&lt;=0,(F23-B18)&lt;=0),0,IF(AND((F23-B17)&gt;=0,(F23-B18)&gt;=0),SQRT((A18-A17)^2+(B18-B17)^2),IF((F23-B17)&gt;0,SQRT(((A17+((F23-B17)/((F23-B17)-(F23-B18)))*(A18-A17))-A17)^2+(F23-B17)^2),SQRT((A18-(A17+((F23-B17)/((F23-B17)-(F23-B18)))*(A18-A17)))^2+(F23-B18)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</f>
        <v/>
      </c>
      <c r="I50">
        <f>IF(OR($B$4&lt;=0,G50&lt;=0,H50&lt;=0,$B$5&lt;=0),0,(1/$B$4)*G50*((G50/H50)^(2/3))*SQRT($B$5))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7+000 — vitesse à profondeur normale</t>
        </is>
      </c>
    </row>
    <row r="3">
      <c r="A3" t="inlineStr">
        <is>
          <t>Station (m)</t>
        </is>
      </c>
      <c r="B3" s="12" t="n">
        <v>71.973</v>
      </c>
    </row>
    <row r="4">
      <c r="A4" t="inlineStr">
        <is>
          <t>S0 (-)</t>
        </is>
      </c>
      <c r="B4" s="20" t="n">
        <v>0.01742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'calc_7000'!L3</f>
        <v/>
      </c>
    </row>
    <row r="10">
      <c r="A10" t="inlineStr">
        <is>
          <t>Profondeur y (m)</t>
        </is>
      </c>
      <c r="B10" s="10">
        <f>'calc_7000'!L8</f>
        <v/>
      </c>
    </row>
    <row r="11">
      <c r="A11" t="inlineStr">
        <is>
          <t>Aire A (m²)</t>
        </is>
      </c>
      <c r="B11" s="10">
        <f>'calc_7000'!L4</f>
        <v/>
      </c>
    </row>
    <row r="12">
      <c r="A12" t="inlineStr">
        <is>
          <t>Périmètre P (m)</t>
        </is>
      </c>
      <c r="B12" s="10">
        <f>'calc_7000'!L5</f>
        <v/>
      </c>
    </row>
    <row r="13">
      <c r="A13" t="inlineStr">
        <is>
          <t>Rayon R = A/P (m)</t>
        </is>
      </c>
      <c r="B13" s="10">
        <f>'calc_7000'!L6</f>
        <v/>
      </c>
    </row>
    <row r="14">
      <c r="A14" t="inlineStr">
        <is>
          <t>Vitesse V (m/s)</t>
        </is>
      </c>
      <c r="B14" s="10">
        <f>'calc_7000'!L7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39.35</v>
      </c>
      <c r="D19" s="5" t="inlineStr">
        <is>
          <t>BOR</t>
        </is>
      </c>
    </row>
    <row r="20">
      <c r="A20" s="5" t="n">
        <v>2</v>
      </c>
      <c r="B20" s="6" t="n">
        <v>15.84</v>
      </c>
      <c r="C20" s="6" t="n">
        <v>34.48</v>
      </c>
      <c r="D20" s="5" t="inlineStr">
        <is>
          <t>TN</t>
        </is>
      </c>
    </row>
    <row r="21">
      <c r="A21" s="5" t="n">
        <v>3</v>
      </c>
      <c r="B21" s="6" t="n">
        <v>23.05</v>
      </c>
      <c r="C21" s="6" t="n">
        <v>34.3</v>
      </c>
      <c r="D21" s="5" t="inlineStr">
        <is>
          <t>TN</t>
        </is>
      </c>
    </row>
    <row r="22">
      <c r="A22" s="5" t="n">
        <v>4</v>
      </c>
      <c r="B22" s="6" t="n">
        <v>33.59</v>
      </c>
      <c r="C22" s="6" t="n">
        <v>34.056</v>
      </c>
      <c r="D22" s="5" t="inlineStr">
        <is>
          <t>FOND</t>
        </is>
      </c>
    </row>
    <row r="23">
      <c r="A23" s="5" t="n">
        <v>5</v>
      </c>
      <c r="B23" s="6" t="n">
        <v>36.37</v>
      </c>
      <c r="C23" s="6" t="n">
        <v>34.946</v>
      </c>
      <c r="D23" s="5" t="inlineStr">
        <is>
          <t>TBA</t>
        </is>
      </c>
    </row>
    <row r="24">
      <c r="A24" s="5" t="n">
        <v>6</v>
      </c>
      <c r="B24" s="6" t="n">
        <v>40.43</v>
      </c>
      <c r="C24" s="6" t="n">
        <v>36.8</v>
      </c>
      <c r="D24" s="5" t="inlineStr">
        <is>
          <t>TN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7+000</t>
        </is>
      </c>
    </row>
    <row r="3">
      <c r="A3" t="inlineStr">
        <is>
          <t>Q</t>
        </is>
      </c>
      <c r="B3">
        <f>'Section_7000'!B5</f>
        <v/>
      </c>
      <c r="D3" t="inlineStr">
        <is>
          <t>fond</t>
        </is>
      </c>
      <c r="E3">
        <f>MIN(B10:B15)</f>
        <v/>
      </c>
      <c r="K3" t="inlineStr">
        <is>
          <t>WSE</t>
        </is>
      </c>
      <c r="L3">
        <f>F47</f>
        <v/>
      </c>
    </row>
    <row r="4">
      <c r="A4" t="inlineStr">
        <is>
          <t>n</t>
        </is>
      </c>
      <c r="B4">
        <f>'Section_7000'!B6</f>
        <v/>
      </c>
      <c r="D4" t="inlineStr">
        <is>
          <t>zmax</t>
        </is>
      </c>
      <c r="E4">
        <f>MAX(B10:B15)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</f>
        <v/>
      </c>
    </row>
    <row r="5">
      <c r="A5" t="inlineStr">
        <is>
          <t>S0</t>
        </is>
      </c>
      <c r="B5">
        <f>'Section_7000'!B4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39.35</v>
      </c>
    </row>
    <row r="11">
      <c r="A11" t="n">
        <v>15.84</v>
      </c>
      <c r="B11" t="n">
        <v>34.48</v>
      </c>
    </row>
    <row r="12">
      <c r="A12" t="n">
        <v>23.05</v>
      </c>
      <c r="B12" t="n">
        <v>34.3</v>
      </c>
    </row>
    <row r="13">
      <c r="A13" t="n">
        <v>33.59</v>
      </c>
      <c r="B13" t="n">
        <v>34.056</v>
      </c>
    </row>
    <row r="14">
      <c r="A14" t="n">
        <v>36.37</v>
      </c>
      <c r="B14" t="n">
        <v>34.946</v>
      </c>
    </row>
    <row r="15">
      <c r="A15" t="n">
        <v>40.43</v>
      </c>
      <c r="B15" t="n">
        <v>36.8</v>
      </c>
    </row>
    <row r="17">
      <c r="D17" t="inlineStr">
        <is>
          <t>lo</t>
        </is>
      </c>
      <c r="E17" t="inlineStr">
        <is>
          <t>hi</t>
        </is>
      </c>
      <c r="F17" t="inlineStr">
        <is>
          <t>mid</t>
        </is>
      </c>
      <c r="G17" t="inlineStr">
        <is>
          <t>A</t>
        </is>
      </c>
      <c r="H17" t="inlineStr">
        <is>
          <t>P</t>
        </is>
      </c>
      <c r="I17" t="inlineStr">
        <is>
          <t>Qman</t>
        </is>
      </c>
    </row>
    <row r="18">
      <c r="D18">
        <f>E3+0.0001</f>
        <v/>
      </c>
      <c r="E18">
        <f>E4-0.0001</f>
        <v/>
      </c>
      <c r="F18">
        <f>(D18+E18)/2</f>
        <v/>
      </c>
      <c r="G18">
        <f>(IF(AND((F18-B10)&lt;=0,(F18-B11)&lt;=0),0,IF(AND((F18-B10)&gt;=0,(F18-B11)&gt;=0),0.5*((F18-B10)+(F18-B11))*ABS(A11-A10),IF((F18-B10)&gt;0,0.5*(F18-B10)*ABS((A10+((F18-B10)/((F18-B10)-(F18-B11)))*(A11-A10))-A10),0.5*(F18-B11)*ABS(A11-(A10+((F18-B10)/((F18-B10)-(F18-B11)))*(A11-A10)))))))+(IF(AND((F18-B11)&lt;=0,(F18-B12)&lt;=0),0,IF(AND((F18-B11)&gt;=0,(F18-B12)&gt;=0),0.5*((F18-B11)+(F18-B12))*ABS(A12-A11),IF((F18-B11)&gt;0,0.5*(F18-B11)*ABS((A11+((F18-B11)/((F18-B11)-(F18-B12)))*(A12-A11))-A11),0.5*(F18-B12)*ABS(A12-(A11+((F18-B11)/((F18-B11)-(F18-B12)))*(A12-A11)))))))+(IF(AND((F18-B12)&lt;=0,(F18-B13)&lt;=0),0,IF(AND((F18-B12)&gt;=0,(F18-B13)&gt;=0),0.5*((F18-B12)+(F18-B13))*ABS(A13-A12),IF((F18-B12)&gt;0,0.5*(F18-B12)*ABS((A12+((F18-B12)/((F18-B12)-(F18-B13)))*(A13-A12))-A12),0.5*(F18-B13)*ABS(A13-(A12+((F18-B12)/((F18-B12)-(F18-B13)))*(A13-A12)))))))+(IF(AND((F18-B13)&lt;=0,(F18-B14)&lt;=0),0,IF(AND((F18-B13)&gt;=0,(F18-B14)&gt;=0),0.5*((F18-B13)+(F18-B14))*ABS(A14-A13),IF((F18-B13)&gt;0,0.5*(F18-B13)*ABS((A13+((F18-B13)/((F18-B13)-(F18-B14)))*(A14-A13))-A13),0.5*(F18-B14)*ABS(A14-(A13+((F18-B13)/((F18-B13)-(F18-B14)))*(A14-A13)))))))+(IF(AND((F18-B14)&lt;=0,(F18-B15)&lt;=0),0,IF(AND((F18-B14)&gt;=0,(F18-B15)&gt;=0),0.5*((F18-B14)+(F18-B15))*ABS(A15-A14),IF((F18-B14)&gt;0,0.5*(F18-B14)*ABS((A14+((F18-B14)/((F18-B14)-(F18-B15)))*(A15-A14))-A14),0.5*(F18-B15)*ABS(A15-(A14+((F18-B14)/((F18-B14)-(F18-B15)))*(A15-A14)))))))</f>
        <v/>
      </c>
      <c r="H18">
        <f>(IF(AND((F18-B10)&lt;=0,(F18-B11)&lt;=0),0,IF(AND((F18-B10)&gt;=0,(F18-B11)&gt;=0),SQRT((A11-A10)^2+(B11-B10)^2),IF((F18-B10)&gt;0,SQRT(((A10+((F18-B10)/((F18-B10)-(F18-B11)))*(A11-A10))-A10)^2+(F18-B10)^2),SQRT((A11-(A10+((F18-B10)/((F18-B10)-(F18-B11)))*(A11-A10)))^2+(F18-B11)^2)))))+(IF(AND((F18-B11)&lt;=0,(F18-B12)&lt;=0),0,IF(AND((F18-B11)&gt;=0,(F18-B12)&gt;=0),SQRT((A12-A11)^2+(B12-B11)^2),IF((F18-B11)&gt;0,SQRT(((A11+((F18-B11)/((F18-B11)-(F18-B12)))*(A12-A11))-A11)^2+(F18-B11)^2),SQRT((A12-(A11+((F18-B11)/((F18-B11)-(F18-B12)))*(A12-A11)))^2+(F18-B12)^2)))))+(IF(AND((F18-B12)&lt;=0,(F18-B13)&lt;=0),0,IF(AND((F18-B12)&gt;=0,(F18-B13)&gt;=0),SQRT((A13-A12)^2+(B13-B12)^2),IF((F18-B12)&gt;0,SQRT(((A12+((F18-B12)/((F18-B12)-(F18-B13)))*(A13-A12))-A12)^2+(F18-B12)^2),SQRT((A13-(A12+((F18-B12)/((F18-B12)-(F18-B13)))*(A13-A12)))^2+(F18-B13)^2)))))+(IF(AND((F18-B13)&lt;=0,(F18-B14)&lt;=0),0,IF(AND((F18-B13)&gt;=0,(F18-B14)&gt;=0),SQRT((A14-A13)^2+(B14-B13)^2),IF((F18-B13)&gt;0,SQRT(((A13+((F18-B13)/((F18-B13)-(F18-B14)))*(A14-A13))-A13)^2+(F18-B13)^2),SQRT((A14-(A13+((F18-B13)/((F18-B13)-(F18-B14)))*(A14-A13)))^2+(F18-B14)^2)))))+(IF(AND((F18-B14)&lt;=0,(F18-B15)&lt;=0),0,IF(AND((F18-B14)&gt;=0,(F18-B15)&gt;=0),SQRT((A15-A14)^2+(B15-B14)^2),IF((F18-B14)&gt;0,SQRT(((A14+((F18-B14)/((F18-B14)-(F18-B15)))*(A15-A14))-A14)^2+(F18-B14)^2),SQRT((A15-(A14+((F18-B14)/((F18-B14)-(F18-B15)))*(A15-A14)))^2+(F18-B15)^2)))))</f>
        <v/>
      </c>
      <c r="I18">
        <f>IF(OR($B$4&lt;=0,G18&lt;=0,H18&lt;=0,$B$5&lt;=0),0,(1/$B$4)*G18*((G18/H18)^(2/3))*SQRT($B$5))</f>
        <v/>
      </c>
    </row>
    <row r="19">
      <c r="D19">
        <f>IF(I18&lt;$B$3,F18,D18)</f>
        <v/>
      </c>
      <c r="E19">
        <f>IF(I18&lt;$B$3,E18,F18)</f>
        <v/>
      </c>
      <c r="F19">
        <f>(D19+E19)/2</f>
        <v/>
      </c>
      <c r="G19">
        <f>(IF(AND((F19-B10)&lt;=0,(F19-B11)&lt;=0),0,IF(AND((F19-B10)&gt;=0,(F19-B11)&gt;=0),0.5*((F19-B10)+(F19-B11))*ABS(A11-A10),IF((F19-B10)&gt;0,0.5*(F19-B10)*ABS((A10+((F19-B10)/((F19-B10)-(F19-B11)))*(A11-A10))-A10),0.5*(F19-B11)*ABS(A11-(A10+((F19-B10)/((F19-B10)-(F19-B11)))*(A11-A10)))))))+(IF(AND((F19-B11)&lt;=0,(F19-B12)&lt;=0),0,IF(AND((F19-B11)&gt;=0,(F19-B12)&gt;=0),0.5*((F19-B11)+(F19-B12))*ABS(A12-A11),IF((F19-B11)&gt;0,0.5*(F19-B11)*ABS((A11+((F19-B11)/((F19-B11)-(F19-B12)))*(A12-A11))-A11),0.5*(F19-B12)*ABS(A12-(A11+((F19-B11)/((F19-B11)-(F19-B12)))*(A12-A11)))))))+(IF(AND((F19-B12)&lt;=0,(F19-B13)&lt;=0),0,IF(AND((F19-B12)&gt;=0,(F19-B13)&gt;=0),0.5*((F19-B12)+(F19-B13))*ABS(A13-A12),IF((F19-B12)&gt;0,0.5*(F19-B12)*ABS((A12+((F19-B12)/((F19-B12)-(F19-B13)))*(A13-A12))-A12),0.5*(F19-B13)*ABS(A13-(A12+((F19-B12)/((F19-B12)-(F19-B13)))*(A13-A12)))))))+(IF(AND((F19-B13)&lt;=0,(F19-B14)&lt;=0),0,IF(AND((F19-B13)&gt;=0,(F19-B14)&gt;=0),0.5*((F19-B13)+(F19-B14))*ABS(A14-A13),IF((F19-B13)&gt;0,0.5*(F19-B13)*ABS((A13+((F19-B13)/((F19-B13)-(F19-B14)))*(A14-A13))-A13),0.5*(F19-B14)*ABS(A14-(A13+((F19-B13)/((F19-B13)-(F19-B14)))*(A14-A13)))))))+(IF(AND((F19-B14)&lt;=0,(F19-B15)&lt;=0),0,IF(AND((F19-B14)&gt;=0,(F19-B15)&gt;=0),0.5*((F19-B14)+(F19-B15))*ABS(A15-A14),IF((F19-B14)&gt;0,0.5*(F19-B14)*ABS((A14+((F19-B14)/((F19-B14)-(F19-B15)))*(A15-A14))-A14),0.5*(F19-B15)*ABS(A15-(A14+((F19-B14)/((F19-B14)-(F19-B15)))*(A15-A14)))))))</f>
        <v/>
      </c>
      <c r="H19">
        <f>(IF(AND((F19-B10)&lt;=0,(F19-B11)&lt;=0),0,IF(AND((F19-B10)&gt;=0,(F19-B11)&gt;=0),SQRT((A11-A10)^2+(B11-B10)^2),IF((F19-B10)&gt;0,SQRT(((A10+((F19-B10)/((F19-B10)-(F19-B11)))*(A11-A10))-A10)^2+(F19-B10)^2),SQRT((A11-(A10+((F19-B10)/((F19-B10)-(F19-B11)))*(A11-A10)))^2+(F19-B11)^2)))))+(IF(AND((F19-B11)&lt;=0,(F19-B12)&lt;=0),0,IF(AND((F19-B11)&gt;=0,(F19-B12)&gt;=0),SQRT((A12-A11)^2+(B12-B11)^2),IF((F19-B11)&gt;0,SQRT(((A11+((F19-B11)/((F19-B11)-(F19-B12)))*(A12-A11))-A11)^2+(F19-B11)^2),SQRT((A12-(A11+((F19-B11)/((F19-B11)-(F19-B12)))*(A12-A11)))^2+(F19-B12)^2)))))+(IF(AND((F19-B12)&lt;=0,(F19-B13)&lt;=0),0,IF(AND((F19-B12)&gt;=0,(F19-B13)&gt;=0),SQRT((A13-A12)^2+(B13-B12)^2),IF((F19-B12)&gt;0,SQRT(((A12+((F19-B12)/((F19-B12)-(F19-B13)))*(A13-A12))-A12)^2+(F19-B12)^2),SQRT((A13-(A12+((F19-B12)/((F19-B12)-(F19-B13)))*(A13-A12)))^2+(F19-B13)^2)))))+(IF(AND((F19-B13)&lt;=0,(F19-B14)&lt;=0),0,IF(AND((F19-B13)&gt;=0,(F19-B14)&gt;=0),SQRT((A14-A13)^2+(B14-B13)^2),IF((F19-B13)&gt;0,SQRT(((A13+((F19-B13)/((F19-B13)-(F19-B14)))*(A14-A13))-A13)^2+(F19-B13)^2),SQRT((A14-(A13+((F19-B13)/((F19-B13)-(F19-B14)))*(A14-A13)))^2+(F19-B14)^2)))))+(IF(AND((F19-B14)&lt;=0,(F19-B15)&lt;=0),0,IF(AND((F19-B14)&gt;=0,(F19-B15)&gt;=0),SQRT((A15-A14)^2+(B15-B14)^2),IF((F19-B14)&gt;0,SQRT(((A14+((F19-B14)/((F19-B14)-(F19-B15)))*(A15-A14))-A14)^2+(F19-B14)^2),SQRT((A15-(A14+((F19-B14)/((F19-B14)-(F19-B15)))*(A15-A14)))^2+(F19-B15)^2)))))</f>
        <v/>
      </c>
      <c r="I19">
        <f>IF(OR($B$4&lt;=0,G19&lt;=0,H19&lt;=0,$B$5&lt;=0),0,(1/$B$4)*G19*((G19/H19)^(2/3))*SQRT($B$5))</f>
        <v/>
      </c>
    </row>
    <row r="20">
      <c r="D20">
        <f>IF(I19&lt;$B$3,F19,D19)</f>
        <v/>
      </c>
      <c r="E20">
        <f>IF(I19&lt;$B$3,E19,F19)</f>
        <v/>
      </c>
      <c r="F20">
        <f>(D20+E20)/2</f>
        <v/>
      </c>
      <c r="G20">
        <f>(IF(AND((F20-B10)&lt;=0,(F20-B11)&lt;=0),0,IF(AND((F20-B10)&gt;=0,(F20-B11)&gt;=0),0.5*((F20-B10)+(F20-B11))*ABS(A11-A10),IF((F20-B10)&gt;0,0.5*(F20-B10)*ABS((A10+((F20-B10)/((F20-B10)-(F20-B11)))*(A11-A10))-A10),0.5*(F20-B11)*ABS(A11-(A10+((F20-B10)/((F20-B10)-(F20-B11)))*(A11-A10)))))))+(IF(AND((F20-B11)&lt;=0,(F20-B12)&lt;=0),0,IF(AND((F20-B11)&gt;=0,(F20-B12)&gt;=0),0.5*((F20-B11)+(F20-B12))*ABS(A12-A11),IF((F20-B11)&gt;0,0.5*(F20-B11)*ABS((A11+((F20-B11)/((F20-B11)-(F20-B12)))*(A12-A11))-A11),0.5*(F20-B12)*ABS(A12-(A11+((F20-B11)/((F20-B11)-(F20-B12)))*(A12-A11)))))))+(IF(AND((F20-B12)&lt;=0,(F20-B13)&lt;=0),0,IF(AND((F20-B12)&gt;=0,(F20-B13)&gt;=0),0.5*((F20-B12)+(F20-B13))*ABS(A13-A12),IF((F20-B12)&gt;0,0.5*(F20-B12)*ABS((A12+((F20-B12)/((F20-B12)-(F20-B13)))*(A13-A12))-A12),0.5*(F20-B13)*ABS(A13-(A12+((F20-B12)/((F20-B12)-(F20-B13)))*(A13-A12)))))))+(IF(AND((F20-B13)&lt;=0,(F20-B14)&lt;=0),0,IF(AND((F20-B13)&gt;=0,(F20-B14)&gt;=0),0.5*((F20-B13)+(F20-B14))*ABS(A14-A13),IF((F20-B13)&gt;0,0.5*(F20-B13)*ABS((A13+((F20-B13)/((F20-B13)-(F20-B14)))*(A14-A13))-A13),0.5*(F20-B14)*ABS(A14-(A13+((F20-B13)/((F20-B13)-(F20-B14)))*(A14-A13)))))))+(IF(AND((F20-B14)&lt;=0,(F20-B15)&lt;=0),0,IF(AND((F20-B14)&gt;=0,(F20-B15)&gt;=0),0.5*((F20-B14)+(F20-B15))*ABS(A15-A14),IF((F20-B14)&gt;0,0.5*(F20-B14)*ABS((A14+((F20-B14)/((F20-B14)-(F20-B15)))*(A15-A14))-A14),0.5*(F20-B15)*ABS(A15-(A14+((F20-B14)/((F20-B14)-(F20-B15)))*(A15-A14)))))))</f>
        <v/>
      </c>
      <c r="H20">
        <f>(IF(AND((F20-B10)&lt;=0,(F20-B11)&lt;=0),0,IF(AND((F20-B10)&gt;=0,(F20-B11)&gt;=0),SQRT((A11-A10)^2+(B11-B10)^2),IF((F20-B10)&gt;0,SQRT(((A10+((F20-B10)/((F20-B10)-(F20-B11)))*(A11-A10))-A10)^2+(F20-B10)^2),SQRT((A11-(A10+((F20-B10)/((F20-B10)-(F20-B11)))*(A11-A10)))^2+(F20-B11)^2)))))+(IF(AND((F20-B11)&lt;=0,(F20-B12)&lt;=0),0,IF(AND((F20-B11)&gt;=0,(F20-B12)&gt;=0),SQRT((A12-A11)^2+(B12-B11)^2),IF((F20-B11)&gt;0,SQRT(((A11+((F20-B11)/((F20-B11)-(F20-B12)))*(A12-A11))-A11)^2+(F20-B11)^2),SQRT((A12-(A11+((F20-B11)/((F20-B11)-(F20-B12)))*(A12-A11)))^2+(F20-B12)^2)))))+(IF(AND((F20-B12)&lt;=0,(F20-B13)&lt;=0),0,IF(AND((F20-B12)&gt;=0,(F20-B13)&gt;=0),SQRT((A13-A12)^2+(B13-B12)^2),IF((F20-B12)&gt;0,SQRT(((A12+((F20-B12)/((F20-B12)-(F20-B13)))*(A13-A12))-A12)^2+(F20-B12)^2),SQRT((A13-(A12+((F20-B12)/((F20-B12)-(F20-B13)))*(A13-A12)))^2+(F20-B13)^2)))))+(IF(AND((F20-B13)&lt;=0,(F20-B14)&lt;=0),0,IF(AND((F20-B13)&gt;=0,(F20-B14)&gt;=0),SQRT((A14-A13)^2+(B14-B13)^2),IF((F20-B13)&gt;0,SQRT(((A13+((F20-B13)/((F20-B13)-(F20-B14)))*(A14-A13))-A13)^2+(F20-B13)^2),SQRT((A14-(A13+((F20-B13)/((F20-B13)-(F20-B14)))*(A14-A13)))^2+(F20-B14)^2)))))+(IF(AND((F20-B14)&lt;=0,(F20-B15)&lt;=0),0,IF(AND((F20-B14)&gt;=0,(F20-B15)&gt;=0),SQRT((A15-A14)^2+(B15-B14)^2),IF((F20-B14)&gt;0,SQRT(((A14+((F20-B14)/((F20-B14)-(F20-B15)))*(A15-A14))-A14)^2+(F20-B14)^2),SQRT((A15-(A14+((F20-B14)/((F20-B14)-(F20-B15)))*(A15-A14)))^2+(F20-B15)^2)))))</f>
        <v/>
      </c>
      <c r="I20">
        <f>IF(OR($B$4&lt;=0,G20&lt;=0,H20&lt;=0,$B$5&lt;=0),0,(1/$B$4)*G20*((G20/H20)^(2/3))*SQRT($B$5))</f>
        <v/>
      </c>
    </row>
    <row r="21">
      <c r="D21">
        <f>IF(I20&lt;$B$3,F20,D20)</f>
        <v/>
      </c>
      <c r="E21">
        <f>IF(I20&lt;$B$3,E20,F20)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</f>
        <v/>
      </c>
      <c r="I47">
        <f>IF(OR($B$4&lt;=0,G47&lt;=0,H47&lt;=0,$B$5&lt;=0),0,(1/$B$4)*G47*((G47/H47)^(2/3))*SQRT($B$5))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8" customWidth="1" min="4" max="4"/>
  </cols>
  <sheetData>
    <row r="1">
      <c r="A1" s="16" t="inlineStr">
        <is>
          <t>Section 8+000 — vitesse à profondeur normale</t>
        </is>
      </c>
    </row>
    <row r="3">
      <c r="A3" t="inlineStr">
        <is>
          <t>Station (m)</t>
        </is>
      </c>
      <c r="B3" s="12" t="n">
        <v>89.361</v>
      </c>
    </row>
    <row r="4">
      <c r="A4" t="inlineStr">
        <is>
          <t>S0 (-)</t>
        </is>
      </c>
      <c r="B4" s="20" t="n">
        <v>0.00175</v>
      </c>
    </row>
    <row r="5">
      <c r="A5" t="inlineStr">
        <is>
          <t>Q (m³/s)</t>
        </is>
      </c>
      <c r="B5" s="19" t="n">
        <v>7.36</v>
      </c>
    </row>
    <row r="6">
      <c r="A6" t="inlineStr">
        <is>
          <t>n Manning</t>
        </is>
      </c>
      <c r="B6" s="19" t="n">
        <v>0.035</v>
      </c>
    </row>
    <row r="8">
      <c r="A8" s="13" t="inlineStr">
        <is>
          <t>Résultats</t>
        </is>
      </c>
    </row>
    <row r="9">
      <c r="A9" t="inlineStr">
        <is>
          <t>Cote d'eau WSE (m)</t>
        </is>
      </c>
      <c r="B9" s="10">
        <f>'calc_8000'!L3</f>
        <v/>
      </c>
    </row>
    <row r="10">
      <c r="A10" t="inlineStr">
        <is>
          <t>Profondeur y (m)</t>
        </is>
      </c>
      <c r="B10" s="10">
        <f>'calc_8000'!L8</f>
        <v/>
      </c>
    </row>
    <row r="11">
      <c r="A11" t="inlineStr">
        <is>
          <t>Aire A (m²)</t>
        </is>
      </c>
      <c r="B11" s="10">
        <f>'calc_8000'!L4</f>
        <v/>
      </c>
    </row>
    <row r="12">
      <c r="A12" t="inlineStr">
        <is>
          <t>Périmètre P (m)</t>
        </is>
      </c>
      <c r="B12" s="10">
        <f>'calc_8000'!L5</f>
        <v/>
      </c>
    </row>
    <row r="13">
      <c r="A13" t="inlineStr">
        <is>
          <t>Rayon R = A/P (m)</t>
        </is>
      </c>
      <c r="B13" s="10">
        <f>'calc_8000'!L6</f>
        <v/>
      </c>
    </row>
    <row r="14">
      <c r="A14" t="inlineStr">
        <is>
          <t>Vitesse V (m/s)</t>
        </is>
      </c>
      <c r="B14" s="10">
        <f>'calc_8000'!L7</f>
        <v/>
      </c>
    </row>
    <row r="17">
      <c r="A17" s="13" t="inlineStr">
        <is>
          <t>Géométrie du levé</t>
        </is>
      </c>
    </row>
    <row r="18">
      <c r="A18" s="4" t="inlineStr">
        <is>
          <t>#</t>
        </is>
      </c>
      <c r="B18" s="4" t="inlineStr">
        <is>
          <t>Distance (m)</t>
        </is>
      </c>
      <c r="C18" s="4" t="inlineStr">
        <is>
          <t>Élévation (m)</t>
        </is>
      </c>
      <c r="D18" s="4" t="inlineStr">
        <is>
          <t>Desc.</t>
        </is>
      </c>
    </row>
    <row r="19">
      <c r="A19" s="5" t="n">
        <v>1</v>
      </c>
      <c r="B19" s="6" t="n">
        <v>0</v>
      </c>
      <c r="C19" s="6" t="n">
        <v>39.29</v>
      </c>
      <c r="D19" s="5" t="inlineStr">
        <is>
          <t>BOR</t>
        </is>
      </c>
    </row>
    <row r="20">
      <c r="A20" s="5" t="n">
        <v>2</v>
      </c>
      <c r="B20" s="6" t="n">
        <v>10.43</v>
      </c>
      <c r="C20" s="6" t="n">
        <v>37.89</v>
      </c>
      <c r="D20" s="5" t="inlineStr">
        <is>
          <t>THA</t>
        </is>
      </c>
    </row>
    <row r="21">
      <c r="A21" s="5" t="n">
        <v>3</v>
      </c>
      <c r="B21" s="6" t="n">
        <v>15.156</v>
      </c>
      <c r="C21" s="6" t="n">
        <v>36.96</v>
      </c>
      <c r="D21" s="5" t="inlineStr">
        <is>
          <t>TN</t>
        </is>
      </c>
    </row>
    <row r="22">
      <c r="A22" s="5" t="n">
        <v>4</v>
      </c>
      <c r="B22" s="6" t="n">
        <v>24.203</v>
      </c>
      <c r="C22" s="6" t="n">
        <v>35.22</v>
      </c>
      <c r="D22" s="5" t="inlineStr">
        <is>
          <t>TBA</t>
        </is>
      </c>
    </row>
    <row r="23">
      <c r="A23" s="5" t="n">
        <v>5</v>
      </c>
      <c r="B23" s="6" t="n">
        <v>27.103</v>
      </c>
      <c r="C23" s="6" t="n">
        <v>33.89</v>
      </c>
      <c r="D23" s="5" t="inlineStr">
        <is>
          <t>FOND</t>
        </is>
      </c>
    </row>
    <row r="24">
      <c r="A24" s="5" t="n">
        <v>6</v>
      </c>
      <c r="B24" s="6" t="n">
        <v>29.476</v>
      </c>
      <c r="C24" s="6" t="n">
        <v>33.72</v>
      </c>
      <c r="D24" s="5" t="inlineStr">
        <is>
          <t>FOND</t>
        </is>
      </c>
    </row>
    <row r="25">
      <c r="A25" s="5" t="n">
        <v>7</v>
      </c>
      <c r="B25" s="6" t="n">
        <v>30.08</v>
      </c>
      <c r="C25" s="6" t="n">
        <v>34.37</v>
      </c>
      <c r="D25" s="5" t="inlineStr">
        <is>
          <t>BLOC</t>
        </is>
      </c>
    </row>
    <row r="26">
      <c r="A26" s="5" t="n">
        <v>8</v>
      </c>
      <c r="B26" s="6" t="n">
        <v>30.297</v>
      </c>
      <c r="C26" s="6" t="n">
        <v>35.66</v>
      </c>
      <c r="D26" s="5" t="inlineStr">
        <is>
          <t>TBA</t>
        </is>
      </c>
    </row>
    <row r="27">
      <c r="A27" s="5" t="n">
        <v>9</v>
      </c>
      <c r="B27" s="6" t="n">
        <v>33.235</v>
      </c>
      <c r="C27" s="6" t="n">
        <v>34.54</v>
      </c>
      <c r="D27" s="5" t="inlineStr">
        <is>
          <t>BLOC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 8+000</t>
        </is>
      </c>
    </row>
    <row r="3">
      <c r="A3" t="inlineStr">
        <is>
          <t>Q</t>
        </is>
      </c>
      <c r="B3">
        <f>'Section_8000'!B5</f>
        <v/>
      </c>
      <c r="D3" t="inlineStr">
        <is>
          <t>fond</t>
        </is>
      </c>
      <c r="E3">
        <f>MIN(B10:B18)</f>
        <v/>
      </c>
      <c r="K3" t="inlineStr">
        <is>
          <t>WSE</t>
        </is>
      </c>
      <c r="L3">
        <f>F50</f>
        <v/>
      </c>
    </row>
    <row r="4">
      <c r="A4" t="inlineStr">
        <is>
          <t>n</t>
        </is>
      </c>
      <c r="B4">
        <f>'Section_8000'!B6</f>
        <v/>
      </c>
      <c r="D4" t="inlineStr">
        <is>
          <t>zmax</t>
        </is>
      </c>
      <c r="E4">
        <f>MAX(B10:B18)</f>
        <v/>
      </c>
      <c r="K4" t="inlineStr">
        <is>
          <t>A</t>
        </is>
      </c>
      <c r="L4">
        <f>(IF(AND((L3-B10)&lt;=0,(L3-B11)&lt;=0),0,IF(AND((L3-B10)&gt;=0,(L3-B11)&gt;=0),0.5*((L3-B10)+(L3-B11))*ABS(A11-A10),IF((L3-B10)&gt;0,0.5*(L3-B10)*ABS((A10+((L3-B10)/((L3-B10)-(L3-B11)))*(A11-A10))-A10),0.5*(L3-B11)*ABS(A11-(A10+((L3-B10)/((L3-B10)-(L3-B11)))*(A11-A10)))))))+(IF(AND((L3-B11)&lt;=0,(L3-B12)&lt;=0),0,IF(AND((L3-B11)&gt;=0,(L3-B12)&gt;=0),0.5*((L3-B11)+(L3-B12))*ABS(A12-A11),IF((L3-B11)&gt;0,0.5*(L3-B11)*ABS((A11+((L3-B11)/((L3-B11)-(L3-B12)))*(A12-A11))-A11),0.5*(L3-B12)*ABS(A12-(A11+((L3-B11)/((L3-B11)-(L3-B12)))*(A12-A11)))))))+(IF(AND((L3-B12)&lt;=0,(L3-B13)&lt;=0),0,IF(AND((L3-B12)&gt;=0,(L3-B13)&gt;=0),0.5*((L3-B12)+(L3-B13))*ABS(A13-A12),IF((L3-B12)&gt;0,0.5*(L3-B12)*ABS((A12+((L3-B12)/((L3-B12)-(L3-B13)))*(A13-A12))-A12),0.5*(L3-B13)*ABS(A13-(A12+((L3-B12)/((L3-B12)-(L3-B13)))*(A13-A12)))))))+(IF(AND((L3-B13)&lt;=0,(L3-B14)&lt;=0),0,IF(AND((L3-B13)&gt;=0,(L3-B14)&gt;=0),0.5*((L3-B13)+(L3-B14))*ABS(A14-A13),IF((L3-B13)&gt;0,0.5*(L3-B13)*ABS((A13+((L3-B13)/((L3-B13)-(L3-B14)))*(A14-A13))-A13),0.5*(L3-B14)*ABS(A14-(A13+((L3-B13)/((L3-B13)-(L3-B14)))*(A14-A13)))))))+(IF(AND((L3-B14)&lt;=0,(L3-B15)&lt;=0),0,IF(AND((L3-B14)&gt;=0,(L3-B15)&gt;=0),0.5*((L3-B14)+(L3-B15))*ABS(A15-A14),IF((L3-B14)&gt;0,0.5*(L3-B14)*ABS((A14+((L3-B14)/((L3-B14)-(L3-B15)))*(A15-A14))-A14),0.5*(L3-B15)*ABS(A15-(A14+((L3-B14)/((L3-B14)-(L3-B15)))*(A15-A14)))))))+(IF(AND((L3-B15)&lt;=0,(L3-B16)&lt;=0),0,IF(AND((L3-B15)&gt;=0,(L3-B16)&gt;=0),0.5*((L3-B15)+(L3-B16))*ABS(A16-A15),IF((L3-B15)&gt;0,0.5*(L3-B15)*ABS((A15+((L3-B15)/((L3-B15)-(L3-B16)))*(A16-A15))-A15),0.5*(L3-B16)*ABS(A16-(A15+((L3-B15)/((L3-B15)-(L3-B16)))*(A16-A15)))))))+(IF(AND((L3-B16)&lt;=0,(L3-B17)&lt;=0),0,IF(AND((L3-B16)&gt;=0,(L3-B17)&gt;=0),0.5*((L3-B16)+(L3-B17))*ABS(A17-A16),IF((L3-B16)&gt;0,0.5*(L3-B16)*ABS((A16+((L3-B16)/((L3-B16)-(L3-B17)))*(A17-A16))-A16),0.5*(L3-B17)*ABS(A17-(A16+((L3-B16)/((L3-B16)-(L3-B17)))*(A17-A16)))))))+(IF(AND((L3-B17)&lt;=0,(L3-B18)&lt;=0),0,IF(AND((L3-B17)&gt;=0,(L3-B18)&gt;=0),0.5*((L3-B17)+(L3-B18))*ABS(A18-A17),IF((L3-B17)&gt;0,0.5*(L3-B17)*ABS((A17+((L3-B17)/((L3-B17)-(L3-B18)))*(A18-A17))-A17),0.5*(L3-B18)*ABS(A18-(A17+((L3-B17)/((L3-B17)-(L3-B18)))*(A18-A17)))))))</f>
        <v/>
      </c>
    </row>
    <row r="5">
      <c r="A5" t="inlineStr">
        <is>
          <t>S0</t>
        </is>
      </c>
      <c r="B5">
        <f>'Section_8000'!B4</f>
        <v/>
      </c>
      <c r="K5" t="inlineStr">
        <is>
          <t>P</t>
        </is>
      </c>
      <c r="L5">
        <f>(IF(AND((L3-B10)&lt;=0,(L3-B11)&lt;=0),0,IF(AND((L3-B10)&gt;=0,(L3-B11)&gt;=0),SQRT((A11-A10)^2+(B11-B10)^2),IF((L3-B10)&gt;0,SQRT(((A10+((L3-B10)/((L3-B10)-(L3-B11)))*(A11-A10))-A10)^2+(L3-B10)^2),SQRT((A11-(A10+((L3-B10)/((L3-B10)-(L3-B11)))*(A11-A10)))^2+(L3-B11)^2)))))+(IF(AND((L3-B11)&lt;=0,(L3-B12)&lt;=0),0,IF(AND((L3-B11)&gt;=0,(L3-B12)&gt;=0),SQRT((A12-A11)^2+(B12-B11)^2),IF((L3-B11)&gt;0,SQRT(((A11+((L3-B11)/((L3-B11)-(L3-B12)))*(A12-A11))-A11)^2+(L3-B11)^2),SQRT((A12-(A11+((L3-B11)/((L3-B11)-(L3-B12)))*(A12-A11)))^2+(L3-B12)^2)))))+(IF(AND((L3-B12)&lt;=0,(L3-B13)&lt;=0),0,IF(AND((L3-B12)&gt;=0,(L3-B13)&gt;=0),SQRT((A13-A12)^2+(B13-B12)^2),IF((L3-B12)&gt;0,SQRT(((A12+((L3-B12)/((L3-B12)-(L3-B13)))*(A13-A12))-A12)^2+(L3-B12)^2),SQRT((A13-(A12+((L3-B12)/((L3-B12)-(L3-B13)))*(A13-A12)))^2+(L3-B13)^2)))))+(IF(AND((L3-B13)&lt;=0,(L3-B14)&lt;=0),0,IF(AND((L3-B13)&gt;=0,(L3-B14)&gt;=0),SQRT((A14-A13)^2+(B14-B13)^2),IF((L3-B13)&gt;0,SQRT(((A13+((L3-B13)/((L3-B13)-(L3-B14)))*(A14-A13))-A13)^2+(L3-B13)^2),SQRT((A14-(A13+((L3-B13)/((L3-B13)-(L3-B14)))*(A14-A13)))^2+(L3-B14)^2)))))+(IF(AND((L3-B14)&lt;=0,(L3-B15)&lt;=0),0,IF(AND((L3-B14)&gt;=0,(L3-B15)&gt;=0),SQRT((A15-A14)^2+(B15-B14)^2),IF((L3-B14)&gt;0,SQRT(((A14+((L3-B14)/((L3-B14)-(L3-B15)))*(A15-A14))-A14)^2+(L3-B14)^2),SQRT((A15-(A14+((L3-B14)/((L3-B14)-(L3-B15)))*(A15-A14)))^2+(L3-B15)^2)))))+(IF(AND((L3-B15)&lt;=0,(L3-B16)&lt;=0),0,IF(AND((L3-B15)&gt;=0,(L3-B16)&gt;=0),SQRT((A16-A15)^2+(B16-B15)^2),IF((L3-B15)&gt;0,SQRT(((A15+((L3-B15)/((L3-B15)-(L3-B16)))*(A16-A15))-A15)^2+(L3-B15)^2),SQRT((A16-(A15+((L3-B15)/((L3-B15)-(L3-B16)))*(A16-A15)))^2+(L3-B16)^2)))))+(IF(AND((L3-B16)&lt;=0,(L3-B17)&lt;=0),0,IF(AND((L3-B16)&gt;=0,(L3-B17)&gt;=0),SQRT((A17-A16)^2+(B17-B16)^2),IF((L3-B16)&gt;0,SQRT(((A16+((L3-B16)/((L3-B16)-(L3-B17)))*(A17-A16))-A16)^2+(L3-B16)^2),SQRT((A17-(A16+((L3-B16)/((L3-B16)-(L3-B17)))*(A17-A16)))^2+(L3-B17)^2)))))+(IF(AND((L3-B17)&lt;=0,(L3-B18)&lt;=0),0,IF(AND((L3-B17)&gt;=0,(L3-B18)&gt;=0),SQRT((A18-A17)^2+(B18-B17)^2),IF((L3-B17)&gt;0,SQRT(((A17+((L3-B17)/((L3-B17)-(L3-B18)))*(A18-A17))-A17)^2+(L3-B17)^2),SQRT((A18-(A17+((L3-B17)/((L3-B17)-(L3-B18)))*(A18-A17)))^2+(L3-B18)^2)))))</f>
        <v/>
      </c>
    </row>
    <row r="6">
      <c r="K6" t="inlineStr">
        <is>
          <t>R</t>
        </is>
      </c>
      <c r="L6">
        <f>IF(L5&gt;0,L4/L5,0)</f>
        <v/>
      </c>
    </row>
    <row r="7">
      <c r="K7" t="inlineStr">
        <is>
          <t>V</t>
        </is>
      </c>
      <c r="L7">
        <f>IF(L4&gt;0,B3/L4,0)</f>
        <v/>
      </c>
    </row>
    <row r="8">
      <c r="K8" t="inlineStr">
        <is>
          <t>y</t>
        </is>
      </c>
      <c r="L8">
        <f>L3-E3</f>
        <v/>
      </c>
    </row>
    <row r="9">
      <c r="A9" t="inlineStr">
        <is>
          <t>x</t>
        </is>
      </c>
      <c r="B9" t="inlineStr">
        <is>
          <t>z</t>
        </is>
      </c>
    </row>
    <row r="10">
      <c r="A10" t="n">
        <v>0</v>
      </c>
      <c r="B10" t="n">
        <v>39.29</v>
      </c>
    </row>
    <row r="11">
      <c r="A11" t="n">
        <v>10.43</v>
      </c>
      <c r="B11" t="n">
        <v>37.89</v>
      </c>
    </row>
    <row r="12">
      <c r="A12" t="n">
        <v>15.156</v>
      </c>
      <c r="B12" t="n">
        <v>36.96</v>
      </c>
    </row>
    <row r="13">
      <c r="A13" t="n">
        <v>24.203</v>
      </c>
      <c r="B13" t="n">
        <v>35.22</v>
      </c>
    </row>
    <row r="14">
      <c r="A14" t="n">
        <v>27.103</v>
      </c>
      <c r="B14" t="n">
        <v>33.89</v>
      </c>
    </row>
    <row r="15">
      <c r="A15" t="n">
        <v>29.476</v>
      </c>
      <c r="B15" t="n">
        <v>33.72</v>
      </c>
    </row>
    <row r="16">
      <c r="A16" t="n">
        <v>30.08</v>
      </c>
      <c r="B16" t="n">
        <v>34.37</v>
      </c>
    </row>
    <row r="17">
      <c r="A17" t="n">
        <v>30.297</v>
      </c>
      <c r="B17" t="n">
        <v>35.66</v>
      </c>
    </row>
    <row r="18">
      <c r="A18" t="n">
        <v>33.235</v>
      </c>
      <c r="B18" t="n">
        <v>34.54</v>
      </c>
    </row>
    <row r="20">
      <c r="D20" t="inlineStr">
        <is>
          <t>lo</t>
        </is>
      </c>
      <c r="E20" t="inlineStr">
        <is>
          <t>hi</t>
        </is>
      </c>
      <c r="F20" t="inlineStr">
        <is>
          <t>mid</t>
        </is>
      </c>
      <c r="G20" t="inlineStr">
        <is>
          <t>A</t>
        </is>
      </c>
      <c r="H20" t="inlineStr">
        <is>
          <t>P</t>
        </is>
      </c>
      <c r="I20" t="inlineStr">
        <is>
          <t>Qman</t>
        </is>
      </c>
    </row>
    <row r="21">
      <c r="D21">
        <f>E3+0.0001</f>
        <v/>
      </c>
      <c r="E21">
        <f>E4-0.0001</f>
        <v/>
      </c>
      <c r="F21">
        <f>(D21+E21)/2</f>
        <v/>
      </c>
      <c r="G21">
        <f>(IF(AND((F21-B10)&lt;=0,(F21-B11)&lt;=0),0,IF(AND((F21-B10)&gt;=0,(F21-B11)&gt;=0),0.5*((F21-B10)+(F21-B11))*ABS(A11-A10),IF((F21-B10)&gt;0,0.5*(F21-B10)*ABS((A10+((F21-B10)/((F21-B10)-(F21-B11)))*(A11-A10))-A10),0.5*(F21-B11)*ABS(A11-(A10+((F21-B10)/((F21-B10)-(F21-B11)))*(A11-A10)))))))+(IF(AND((F21-B11)&lt;=0,(F21-B12)&lt;=0),0,IF(AND((F21-B11)&gt;=0,(F21-B12)&gt;=0),0.5*((F21-B11)+(F21-B12))*ABS(A12-A11),IF((F21-B11)&gt;0,0.5*(F21-B11)*ABS((A11+((F21-B11)/((F21-B11)-(F21-B12)))*(A12-A11))-A11),0.5*(F21-B12)*ABS(A12-(A11+((F21-B11)/((F21-B11)-(F21-B12)))*(A12-A11)))))))+(IF(AND((F21-B12)&lt;=0,(F21-B13)&lt;=0),0,IF(AND((F21-B12)&gt;=0,(F21-B13)&gt;=0),0.5*((F21-B12)+(F21-B13))*ABS(A13-A12),IF((F21-B12)&gt;0,0.5*(F21-B12)*ABS((A12+((F21-B12)/((F21-B12)-(F21-B13)))*(A13-A12))-A12),0.5*(F21-B13)*ABS(A13-(A12+((F21-B12)/((F21-B12)-(F21-B13)))*(A13-A12)))))))+(IF(AND((F21-B13)&lt;=0,(F21-B14)&lt;=0),0,IF(AND((F21-B13)&gt;=0,(F21-B14)&gt;=0),0.5*((F21-B13)+(F21-B14))*ABS(A14-A13),IF((F21-B13)&gt;0,0.5*(F21-B13)*ABS((A13+((F21-B13)/((F21-B13)-(F21-B14)))*(A14-A13))-A13),0.5*(F21-B14)*ABS(A14-(A13+((F21-B13)/((F21-B13)-(F21-B14)))*(A14-A13)))))))+(IF(AND((F21-B14)&lt;=0,(F21-B15)&lt;=0),0,IF(AND((F21-B14)&gt;=0,(F21-B15)&gt;=0),0.5*((F21-B14)+(F21-B15))*ABS(A15-A14),IF((F21-B14)&gt;0,0.5*(F21-B14)*ABS((A14+((F21-B14)/((F21-B14)-(F21-B15)))*(A15-A14))-A14),0.5*(F21-B15)*ABS(A15-(A14+((F21-B14)/((F21-B14)-(F21-B15)))*(A15-A14)))))))+(IF(AND((F21-B15)&lt;=0,(F21-B16)&lt;=0),0,IF(AND((F21-B15)&gt;=0,(F21-B16)&gt;=0),0.5*((F21-B15)+(F21-B16))*ABS(A16-A15),IF((F21-B15)&gt;0,0.5*(F21-B15)*ABS((A15+((F21-B15)/((F21-B15)-(F21-B16)))*(A16-A15))-A15),0.5*(F21-B16)*ABS(A16-(A15+((F21-B15)/((F21-B15)-(F21-B16)))*(A16-A15)))))))+(IF(AND((F21-B16)&lt;=0,(F21-B17)&lt;=0),0,IF(AND((F21-B16)&gt;=0,(F21-B17)&gt;=0),0.5*((F21-B16)+(F21-B17))*ABS(A17-A16),IF((F21-B16)&gt;0,0.5*(F21-B16)*ABS((A16+((F21-B16)/((F21-B16)-(F21-B17)))*(A17-A16))-A16),0.5*(F21-B17)*ABS(A17-(A16+((F21-B16)/((F21-B16)-(F21-B17)))*(A17-A16)))))))+(IF(AND((F21-B17)&lt;=0,(F21-B18)&lt;=0),0,IF(AND((F21-B17)&gt;=0,(F21-B18)&gt;=0),0.5*((F21-B17)+(F21-B18))*ABS(A18-A17),IF((F21-B17)&gt;0,0.5*(F21-B17)*ABS((A17+((F21-B17)/((F21-B17)-(F21-B18)))*(A18-A17))-A17),0.5*(F21-B18)*ABS(A18-(A17+((F21-B17)/((F21-B17)-(F21-B18)))*(A18-A17)))))))</f>
        <v/>
      </c>
      <c r="H21">
        <f>(IF(AND((F21-B10)&lt;=0,(F21-B11)&lt;=0),0,IF(AND((F21-B10)&gt;=0,(F21-B11)&gt;=0),SQRT((A11-A10)^2+(B11-B10)^2),IF((F21-B10)&gt;0,SQRT(((A10+((F21-B10)/((F21-B10)-(F21-B11)))*(A11-A10))-A10)^2+(F21-B10)^2),SQRT((A11-(A10+((F21-B10)/((F21-B10)-(F21-B11)))*(A11-A10)))^2+(F21-B11)^2)))))+(IF(AND((F21-B11)&lt;=0,(F21-B12)&lt;=0),0,IF(AND((F21-B11)&gt;=0,(F21-B12)&gt;=0),SQRT((A12-A11)^2+(B12-B11)^2),IF((F21-B11)&gt;0,SQRT(((A11+((F21-B11)/((F21-B11)-(F21-B12)))*(A12-A11))-A11)^2+(F21-B11)^2),SQRT((A12-(A11+((F21-B11)/((F21-B11)-(F21-B12)))*(A12-A11)))^2+(F21-B12)^2)))))+(IF(AND((F21-B12)&lt;=0,(F21-B13)&lt;=0),0,IF(AND((F21-B12)&gt;=0,(F21-B13)&gt;=0),SQRT((A13-A12)^2+(B13-B12)^2),IF((F21-B12)&gt;0,SQRT(((A12+((F21-B12)/((F21-B12)-(F21-B13)))*(A13-A12))-A12)^2+(F21-B12)^2),SQRT((A13-(A12+((F21-B12)/((F21-B12)-(F21-B13)))*(A13-A12)))^2+(F21-B13)^2)))))+(IF(AND((F21-B13)&lt;=0,(F21-B14)&lt;=0),0,IF(AND((F21-B13)&gt;=0,(F21-B14)&gt;=0),SQRT((A14-A13)^2+(B14-B13)^2),IF((F21-B13)&gt;0,SQRT(((A13+((F21-B13)/((F21-B13)-(F21-B14)))*(A14-A13))-A13)^2+(F21-B13)^2),SQRT((A14-(A13+((F21-B13)/((F21-B13)-(F21-B14)))*(A14-A13)))^2+(F21-B14)^2)))))+(IF(AND((F21-B14)&lt;=0,(F21-B15)&lt;=0),0,IF(AND((F21-B14)&gt;=0,(F21-B15)&gt;=0),SQRT((A15-A14)^2+(B15-B14)^2),IF((F21-B14)&gt;0,SQRT(((A14+((F21-B14)/((F21-B14)-(F21-B15)))*(A15-A14))-A14)^2+(F21-B14)^2),SQRT((A15-(A14+((F21-B14)/((F21-B14)-(F21-B15)))*(A15-A14)))^2+(F21-B15)^2)))))+(IF(AND((F21-B15)&lt;=0,(F21-B16)&lt;=0),0,IF(AND((F21-B15)&gt;=0,(F21-B16)&gt;=0),SQRT((A16-A15)^2+(B16-B15)^2),IF((F21-B15)&gt;0,SQRT(((A15+((F21-B15)/((F21-B15)-(F21-B16)))*(A16-A15))-A15)^2+(F21-B15)^2),SQRT((A16-(A15+((F21-B15)/((F21-B15)-(F21-B16)))*(A16-A15)))^2+(F21-B16)^2)))))+(IF(AND((F21-B16)&lt;=0,(F21-B17)&lt;=0),0,IF(AND((F21-B16)&gt;=0,(F21-B17)&gt;=0),SQRT((A17-A16)^2+(B17-B16)^2),IF((F21-B16)&gt;0,SQRT(((A16+((F21-B16)/((F21-B16)-(F21-B17)))*(A17-A16))-A16)^2+(F21-B16)^2),SQRT((A17-(A16+((F21-B16)/((F21-B16)-(F21-B17)))*(A17-A16)))^2+(F21-B17)^2)))))+(IF(AND((F21-B17)&lt;=0,(F21-B18)&lt;=0),0,IF(AND((F21-B17)&gt;=0,(F21-B18)&gt;=0),SQRT((A18-A17)^2+(B18-B17)^2),IF((F21-B17)&gt;0,SQRT(((A17+((F21-B17)/((F21-B17)-(F21-B18)))*(A18-A17))-A17)^2+(F21-B17)^2),SQRT((A18-(A17+((F21-B17)/((F21-B17)-(F21-B18)))*(A18-A17)))^2+(F21-B18)^2)))))</f>
        <v/>
      </c>
      <c r="I21">
        <f>IF(OR($B$4&lt;=0,G21&lt;=0,H21&lt;=0,$B$5&lt;=0),0,(1/$B$4)*G21*((G21/H21)^(2/3))*SQRT($B$5))</f>
        <v/>
      </c>
    </row>
    <row r="22">
      <c r="D22">
        <f>IF(I21&lt;$B$3,F21,D21)</f>
        <v/>
      </c>
      <c r="E22">
        <f>IF(I21&lt;$B$3,E21,F21)</f>
        <v/>
      </c>
      <c r="F22">
        <f>(D22+E22)/2</f>
        <v/>
      </c>
      <c r="G22">
        <f>(IF(AND((F22-B10)&lt;=0,(F22-B11)&lt;=0),0,IF(AND((F22-B10)&gt;=0,(F22-B11)&gt;=0),0.5*((F22-B10)+(F22-B11))*ABS(A11-A10),IF((F22-B10)&gt;0,0.5*(F22-B10)*ABS((A10+((F22-B10)/((F22-B10)-(F22-B11)))*(A11-A10))-A10),0.5*(F22-B11)*ABS(A11-(A10+((F22-B10)/((F22-B10)-(F22-B11)))*(A11-A10)))))))+(IF(AND((F22-B11)&lt;=0,(F22-B12)&lt;=0),0,IF(AND((F22-B11)&gt;=0,(F22-B12)&gt;=0),0.5*((F22-B11)+(F22-B12))*ABS(A12-A11),IF((F22-B11)&gt;0,0.5*(F22-B11)*ABS((A11+((F22-B11)/((F22-B11)-(F22-B12)))*(A12-A11))-A11),0.5*(F22-B12)*ABS(A12-(A11+((F22-B11)/((F22-B11)-(F22-B12)))*(A12-A11)))))))+(IF(AND((F22-B12)&lt;=0,(F22-B13)&lt;=0),0,IF(AND((F22-B12)&gt;=0,(F22-B13)&gt;=0),0.5*((F22-B12)+(F22-B13))*ABS(A13-A12),IF((F22-B12)&gt;0,0.5*(F22-B12)*ABS((A12+((F22-B12)/((F22-B12)-(F22-B13)))*(A13-A12))-A12),0.5*(F22-B13)*ABS(A13-(A12+((F22-B12)/((F22-B12)-(F22-B13)))*(A13-A12)))))))+(IF(AND((F22-B13)&lt;=0,(F22-B14)&lt;=0),0,IF(AND((F22-B13)&gt;=0,(F22-B14)&gt;=0),0.5*((F22-B13)+(F22-B14))*ABS(A14-A13),IF((F22-B13)&gt;0,0.5*(F22-B13)*ABS((A13+((F22-B13)/((F22-B13)-(F22-B14)))*(A14-A13))-A13),0.5*(F22-B14)*ABS(A14-(A13+((F22-B13)/((F22-B13)-(F22-B14)))*(A14-A13)))))))+(IF(AND((F22-B14)&lt;=0,(F22-B15)&lt;=0),0,IF(AND((F22-B14)&gt;=0,(F22-B15)&gt;=0),0.5*((F22-B14)+(F22-B15))*ABS(A15-A14),IF((F22-B14)&gt;0,0.5*(F22-B14)*ABS((A14+((F22-B14)/((F22-B14)-(F22-B15)))*(A15-A14))-A14),0.5*(F22-B15)*ABS(A15-(A14+((F22-B14)/((F22-B14)-(F22-B15)))*(A15-A14)))))))+(IF(AND((F22-B15)&lt;=0,(F22-B16)&lt;=0),0,IF(AND((F22-B15)&gt;=0,(F22-B16)&gt;=0),0.5*((F22-B15)+(F22-B16))*ABS(A16-A15),IF((F22-B15)&gt;0,0.5*(F22-B15)*ABS((A15+((F22-B15)/((F22-B15)-(F22-B16)))*(A16-A15))-A15),0.5*(F22-B16)*ABS(A16-(A15+((F22-B15)/((F22-B15)-(F22-B16)))*(A16-A15)))))))+(IF(AND((F22-B16)&lt;=0,(F22-B17)&lt;=0),0,IF(AND((F22-B16)&gt;=0,(F22-B17)&gt;=0),0.5*((F22-B16)+(F22-B17))*ABS(A17-A16),IF((F22-B16)&gt;0,0.5*(F22-B16)*ABS((A16+((F22-B16)/((F22-B16)-(F22-B17)))*(A17-A16))-A16),0.5*(F22-B17)*ABS(A17-(A16+((F22-B16)/((F22-B16)-(F22-B17)))*(A17-A16)))))))+(IF(AND((F22-B17)&lt;=0,(F22-B18)&lt;=0),0,IF(AND((F22-B17)&gt;=0,(F22-B18)&gt;=0),0.5*((F22-B17)+(F22-B18))*ABS(A18-A17),IF((F22-B17)&gt;0,0.5*(F22-B17)*ABS((A17+((F22-B17)/((F22-B17)-(F22-B18)))*(A18-A17))-A17),0.5*(F22-B18)*ABS(A18-(A17+((F22-B17)/((F22-B17)-(F22-B18)))*(A18-A17)))))))</f>
        <v/>
      </c>
      <c r="H22">
        <f>(IF(AND((F22-B10)&lt;=0,(F22-B11)&lt;=0),0,IF(AND((F22-B10)&gt;=0,(F22-B11)&gt;=0),SQRT((A11-A10)^2+(B11-B10)^2),IF((F22-B10)&gt;0,SQRT(((A10+((F22-B10)/((F22-B10)-(F22-B11)))*(A11-A10))-A10)^2+(F22-B10)^2),SQRT((A11-(A10+((F22-B10)/((F22-B10)-(F22-B11)))*(A11-A10)))^2+(F22-B11)^2)))))+(IF(AND((F22-B11)&lt;=0,(F22-B12)&lt;=0),0,IF(AND((F22-B11)&gt;=0,(F22-B12)&gt;=0),SQRT((A12-A11)^2+(B12-B11)^2),IF((F22-B11)&gt;0,SQRT(((A11+((F22-B11)/((F22-B11)-(F22-B12)))*(A12-A11))-A11)^2+(F22-B11)^2),SQRT((A12-(A11+((F22-B11)/((F22-B11)-(F22-B12)))*(A12-A11)))^2+(F22-B12)^2)))))+(IF(AND((F22-B12)&lt;=0,(F22-B13)&lt;=0),0,IF(AND((F22-B12)&gt;=0,(F22-B13)&gt;=0),SQRT((A13-A12)^2+(B13-B12)^2),IF((F22-B12)&gt;0,SQRT(((A12+((F22-B12)/((F22-B12)-(F22-B13)))*(A13-A12))-A12)^2+(F22-B12)^2),SQRT((A13-(A12+((F22-B12)/((F22-B12)-(F22-B13)))*(A13-A12)))^2+(F22-B13)^2)))))+(IF(AND((F22-B13)&lt;=0,(F22-B14)&lt;=0),0,IF(AND((F22-B13)&gt;=0,(F22-B14)&gt;=0),SQRT((A14-A13)^2+(B14-B13)^2),IF((F22-B13)&gt;0,SQRT(((A13+((F22-B13)/((F22-B13)-(F22-B14)))*(A14-A13))-A13)^2+(F22-B13)^2),SQRT((A14-(A13+((F22-B13)/((F22-B13)-(F22-B14)))*(A14-A13)))^2+(F22-B14)^2)))))+(IF(AND((F22-B14)&lt;=0,(F22-B15)&lt;=0),0,IF(AND((F22-B14)&gt;=0,(F22-B15)&gt;=0),SQRT((A15-A14)^2+(B15-B14)^2),IF((F22-B14)&gt;0,SQRT(((A14+((F22-B14)/((F22-B14)-(F22-B15)))*(A15-A14))-A14)^2+(F22-B14)^2),SQRT((A15-(A14+((F22-B14)/((F22-B14)-(F22-B15)))*(A15-A14)))^2+(F22-B15)^2)))))+(IF(AND((F22-B15)&lt;=0,(F22-B16)&lt;=0),0,IF(AND((F22-B15)&gt;=0,(F22-B16)&gt;=0),SQRT((A16-A15)^2+(B16-B15)^2),IF((F22-B15)&gt;0,SQRT(((A15+((F22-B15)/((F22-B15)-(F22-B16)))*(A16-A15))-A15)^2+(F22-B15)^2),SQRT((A16-(A15+((F22-B15)/((F22-B15)-(F22-B16)))*(A16-A15)))^2+(F22-B16)^2)))))+(IF(AND((F22-B16)&lt;=0,(F22-B17)&lt;=0),0,IF(AND((F22-B16)&gt;=0,(F22-B17)&gt;=0),SQRT((A17-A16)^2+(B17-B16)^2),IF((F22-B16)&gt;0,SQRT(((A16+((F22-B16)/((F22-B16)-(F22-B17)))*(A17-A16))-A16)^2+(F22-B16)^2),SQRT((A17-(A16+((F22-B16)/((F22-B16)-(F22-B17)))*(A17-A16)))^2+(F22-B17)^2)))))+(IF(AND((F22-B17)&lt;=0,(F22-B18)&lt;=0),0,IF(AND((F22-B17)&gt;=0,(F22-B18)&gt;=0),SQRT((A18-A17)^2+(B18-B17)^2),IF((F22-B17)&gt;0,SQRT(((A17+((F22-B17)/((F22-B17)-(F22-B18)))*(A18-A17))-A17)^2+(F22-B17)^2),SQRT((A18-(A17+((F22-B17)/((F22-B17)-(F22-B18)))*(A18-A17)))^2+(F22-B18)^2)))))</f>
        <v/>
      </c>
      <c r="I22">
        <f>IF(OR($B$4&lt;=0,G22&lt;=0,H22&lt;=0,$B$5&lt;=0),0,(1/$B$4)*G22*((G22/H22)^(2/3))*SQRT($B$5))</f>
        <v/>
      </c>
    </row>
    <row r="23">
      <c r="D23">
        <f>IF(I22&lt;$B$3,F22,D22)</f>
        <v/>
      </c>
      <c r="E23">
        <f>IF(I22&lt;$B$3,E22,F22)</f>
        <v/>
      </c>
      <c r="F23">
        <f>(D23+E23)/2</f>
        <v/>
      </c>
      <c r="G23">
        <f>(IF(AND((F23-B10)&lt;=0,(F23-B11)&lt;=0),0,IF(AND((F23-B10)&gt;=0,(F23-B11)&gt;=0),0.5*((F23-B10)+(F23-B11))*ABS(A11-A10),IF((F23-B10)&gt;0,0.5*(F23-B10)*ABS((A10+((F23-B10)/((F23-B10)-(F23-B11)))*(A11-A10))-A10),0.5*(F23-B11)*ABS(A11-(A10+((F23-B10)/((F23-B10)-(F23-B11)))*(A11-A10)))))))+(IF(AND((F23-B11)&lt;=0,(F23-B12)&lt;=0),0,IF(AND((F23-B11)&gt;=0,(F23-B12)&gt;=0),0.5*((F23-B11)+(F23-B12))*ABS(A12-A11),IF((F23-B11)&gt;0,0.5*(F23-B11)*ABS((A11+((F23-B11)/((F23-B11)-(F23-B12)))*(A12-A11))-A11),0.5*(F23-B12)*ABS(A12-(A11+((F23-B11)/((F23-B11)-(F23-B12)))*(A12-A11)))))))+(IF(AND((F23-B12)&lt;=0,(F23-B13)&lt;=0),0,IF(AND((F23-B12)&gt;=0,(F23-B13)&gt;=0),0.5*((F23-B12)+(F23-B13))*ABS(A13-A12),IF((F23-B12)&gt;0,0.5*(F23-B12)*ABS((A12+((F23-B12)/((F23-B12)-(F23-B13)))*(A13-A12))-A12),0.5*(F23-B13)*ABS(A13-(A12+((F23-B12)/((F23-B12)-(F23-B13)))*(A13-A12)))))))+(IF(AND((F23-B13)&lt;=0,(F23-B14)&lt;=0),0,IF(AND((F23-B13)&gt;=0,(F23-B14)&gt;=0),0.5*((F23-B13)+(F23-B14))*ABS(A14-A13),IF((F23-B13)&gt;0,0.5*(F23-B13)*ABS((A13+((F23-B13)/((F23-B13)-(F23-B14)))*(A14-A13))-A13),0.5*(F23-B14)*ABS(A14-(A13+((F23-B13)/((F23-B13)-(F23-B14)))*(A14-A13)))))))+(IF(AND((F23-B14)&lt;=0,(F23-B15)&lt;=0),0,IF(AND((F23-B14)&gt;=0,(F23-B15)&gt;=0),0.5*((F23-B14)+(F23-B15))*ABS(A15-A14),IF((F23-B14)&gt;0,0.5*(F23-B14)*ABS((A14+((F23-B14)/((F23-B14)-(F23-B15)))*(A15-A14))-A14),0.5*(F23-B15)*ABS(A15-(A14+((F23-B14)/((F23-B14)-(F23-B15)))*(A15-A14)))))))+(IF(AND((F23-B15)&lt;=0,(F23-B16)&lt;=0),0,IF(AND((F23-B15)&gt;=0,(F23-B16)&gt;=0),0.5*((F23-B15)+(F23-B16))*ABS(A16-A15),IF((F23-B15)&gt;0,0.5*(F23-B15)*ABS((A15+((F23-B15)/((F23-B15)-(F23-B16)))*(A16-A15))-A15),0.5*(F23-B16)*ABS(A16-(A15+((F23-B15)/((F23-B15)-(F23-B16)))*(A16-A15)))))))+(IF(AND((F23-B16)&lt;=0,(F23-B17)&lt;=0),0,IF(AND((F23-B16)&gt;=0,(F23-B17)&gt;=0),0.5*((F23-B16)+(F23-B17))*ABS(A17-A16),IF((F23-B16)&gt;0,0.5*(F23-B16)*ABS((A16+((F23-B16)/((F23-B16)-(F23-B17)))*(A17-A16))-A16),0.5*(F23-B17)*ABS(A17-(A16+((F23-B16)/((F23-B16)-(F23-B17)))*(A17-A16)))))))+(IF(AND((F23-B17)&lt;=0,(F23-B18)&lt;=0),0,IF(AND((F23-B17)&gt;=0,(F23-B18)&gt;=0),0.5*((F23-B17)+(F23-B18))*ABS(A18-A17),IF((F23-B17)&gt;0,0.5*(F23-B17)*ABS((A17+((F23-B17)/((F23-B17)-(F23-B18)))*(A18-A17))-A17),0.5*(F23-B18)*ABS(A18-(A17+((F23-B17)/((F23-B17)-(F23-B18)))*(A18-A17)))))))</f>
        <v/>
      </c>
      <c r="H23">
        <f>(IF(AND((F23-B10)&lt;=0,(F23-B11)&lt;=0),0,IF(AND((F23-B10)&gt;=0,(F23-B11)&gt;=0),SQRT((A11-A10)^2+(B11-B10)^2),IF((F23-B10)&gt;0,SQRT(((A10+((F23-B10)/((F23-B10)-(F23-B11)))*(A11-A10))-A10)^2+(F23-B10)^2),SQRT((A11-(A10+((F23-B10)/((F23-B10)-(F23-B11)))*(A11-A10)))^2+(F23-B11)^2)))))+(IF(AND((F23-B11)&lt;=0,(F23-B12)&lt;=0),0,IF(AND((F23-B11)&gt;=0,(F23-B12)&gt;=0),SQRT((A12-A11)^2+(B12-B11)^2),IF((F23-B11)&gt;0,SQRT(((A11+((F23-B11)/((F23-B11)-(F23-B12)))*(A12-A11))-A11)^2+(F23-B11)^2),SQRT((A12-(A11+((F23-B11)/((F23-B11)-(F23-B12)))*(A12-A11)))^2+(F23-B12)^2)))))+(IF(AND((F23-B12)&lt;=0,(F23-B13)&lt;=0),0,IF(AND((F23-B12)&gt;=0,(F23-B13)&gt;=0),SQRT((A13-A12)^2+(B13-B12)^2),IF((F23-B12)&gt;0,SQRT(((A12+((F23-B12)/((F23-B12)-(F23-B13)))*(A13-A12))-A12)^2+(F23-B12)^2),SQRT((A13-(A12+((F23-B12)/((F23-B12)-(F23-B13)))*(A13-A12)))^2+(F23-B13)^2)))))+(IF(AND((F23-B13)&lt;=0,(F23-B14)&lt;=0),0,IF(AND((F23-B13)&gt;=0,(F23-B14)&gt;=0),SQRT((A14-A13)^2+(B14-B13)^2),IF((F23-B13)&gt;0,SQRT(((A13+((F23-B13)/((F23-B13)-(F23-B14)))*(A14-A13))-A13)^2+(F23-B13)^2),SQRT((A14-(A13+((F23-B13)/((F23-B13)-(F23-B14)))*(A14-A13)))^2+(F23-B14)^2)))))+(IF(AND((F23-B14)&lt;=0,(F23-B15)&lt;=0),0,IF(AND((F23-B14)&gt;=0,(F23-B15)&gt;=0),SQRT((A15-A14)^2+(B15-B14)^2),IF((F23-B14)&gt;0,SQRT(((A14+((F23-B14)/((F23-B14)-(F23-B15)))*(A15-A14))-A14)^2+(F23-B14)^2),SQRT((A15-(A14+((F23-B14)/((F23-B14)-(F23-B15)))*(A15-A14)))^2+(F23-B15)^2)))))+(IF(AND((F23-B15)&lt;=0,(F23-B16)&lt;=0),0,IF(AND((F23-B15)&gt;=0,(F23-B16)&gt;=0),SQRT((A16-A15)^2+(B16-B15)^2),IF((F23-B15)&gt;0,SQRT(((A15+((F23-B15)/((F23-B15)-(F23-B16)))*(A16-A15))-A15)^2+(F23-B15)^2),SQRT((A16-(A15+((F23-B15)/((F23-B15)-(F23-B16)))*(A16-A15)))^2+(F23-B16)^2)))))+(IF(AND((F23-B16)&lt;=0,(F23-B17)&lt;=0),0,IF(AND((F23-B16)&gt;=0,(F23-B17)&gt;=0),SQRT((A17-A16)^2+(B17-B16)^2),IF((F23-B16)&gt;0,SQRT(((A16+((F23-B16)/((F23-B16)-(F23-B17)))*(A17-A16))-A16)^2+(F23-B16)^2),SQRT((A17-(A16+((F23-B16)/((F23-B16)-(F23-B17)))*(A17-A16)))^2+(F23-B17)^2)))))+(IF(AND((F23-B17)&lt;=0,(F23-B18)&lt;=0),0,IF(AND((F23-B17)&gt;=0,(F23-B18)&gt;=0),SQRT((A18-A17)^2+(B18-B17)^2),IF((F23-B17)&gt;0,SQRT(((A17+((F23-B17)/((F23-B17)-(F23-B18)))*(A18-A17))-A17)^2+(F23-B17)^2),SQRT((A18-(A17+((F23-B17)/((F23-B17)-(F23-B18)))*(A18-A17)))^2+(F23-B18)^2)))))</f>
        <v/>
      </c>
      <c r="I23">
        <f>IF(OR($B$4&lt;=0,G23&lt;=0,H23&lt;=0,$B$5&lt;=0),0,(1/$B$4)*G23*((G23/H23)^(2/3))*SQRT($B$5))</f>
        <v/>
      </c>
    </row>
    <row r="24">
      <c r="D24">
        <f>IF(I23&lt;$B$3,F23,D23)</f>
        <v/>
      </c>
      <c r="E24">
        <f>IF(I23&lt;$B$3,E23,F23)</f>
        <v/>
      </c>
      <c r="F24">
        <f>(D24+E24)/2</f>
        <v/>
      </c>
      <c r="G24">
        <f>(IF(AND((F24-B10)&lt;=0,(F24-B11)&lt;=0),0,IF(AND((F24-B10)&gt;=0,(F24-B11)&gt;=0),0.5*((F24-B10)+(F24-B11))*ABS(A11-A10),IF((F24-B10)&gt;0,0.5*(F24-B10)*ABS((A10+((F24-B10)/((F24-B10)-(F24-B11)))*(A11-A10))-A10),0.5*(F24-B11)*ABS(A11-(A10+((F24-B10)/((F24-B10)-(F24-B11)))*(A11-A10)))))))+(IF(AND((F24-B11)&lt;=0,(F24-B12)&lt;=0),0,IF(AND((F24-B11)&gt;=0,(F24-B12)&gt;=0),0.5*((F24-B11)+(F24-B12))*ABS(A12-A11),IF((F24-B11)&gt;0,0.5*(F24-B11)*ABS((A11+((F24-B11)/((F24-B11)-(F24-B12)))*(A12-A11))-A11),0.5*(F24-B12)*ABS(A12-(A11+((F24-B11)/((F24-B11)-(F24-B12)))*(A12-A11)))))))+(IF(AND((F24-B12)&lt;=0,(F24-B13)&lt;=0),0,IF(AND((F24-B12)&gt;=0,(F24-B13)&gt;=0),0.5*((F24-B12)+(F24-B13))*ABS(A13-A12),IF((F24-B12)&gt;0,0.5*(F24-B12)*ABS((A12+((F24-B12)/((F24-B12)-(F24-B13)))*(A13-A12))-A12),0.5*(F24-B13)*ABS(A13-(A12+((F24-B12)/((F24-B12)-(F24-B13)))*(A13-A12)))))))+(IF(AND((F24-B13)&lt;=0,(F24-B14)&lt;=0),0,IF(AND((F24-B13)&gt;=0,(F24-B14)&gt;=0),0.5*((F24-B13)+(F24-B14))*ABS(A14-A13),IF((F24-B13)&gt;0,0.5*(F24-B13)*ABS((A13+((F24-B13)/((F24-B13)-(F24-B14)))*(A14-A13))-A13),0.5*(F24-B14)*ABS(A14-(A13+((F24-B13)/((F24-B13)-(F24-B14)))*(A14-A13)))))))+(IF(AND((F24-B14)&lt;=0,(F24-B15)&lt;=0),0,IF(AND((F24-B14)&gt;=0,(F24-B15)&gt;=0),0.5*((F24-B14)+(F24-B15))*ABS(A15-A14),IF((F24-B14)&gt;0,0.5*(F24-B14)*ABS((A14+((F24-B14)/((F24-B14)-(F24-B15)))*(A15-A14))-A14),0.5*(F24-B15)*ABS(A15-(A14+((F24-B14)/((F24-B14)-(F24-B15)))*(A15-A14)))))))+(IF(AND((F24-B15)&lt;=0,(F24-B16)&lt;=0),0,IF(AND((F24-B15)&gt;=0,(F24-B16)&gt;=0),0.5*((F24-B15)+(F24-B16))*ABS(A16-A15),IF((F24-B15)&gt;0,0.5*(F24-B15)*ABS((A15+((F24-B15)/((F24-B15)-(F24-B16)))*(A16-A15))-A15),0.5*(F24-B16)*ABS(A16-(A15+((F24-B15)/((F24-B15)-(F24-B16)))*(A16-A15)))))))+(IF(AND((F24-B16)&lt;=0,(F24-B17)&lt;=0),0,IF(AND((F24-B16)&gt;=0,(F24-B17)&gt;=0),0.5*((F24-B16)+(F24-B17))*ABS(A17-A16),IF((F24-B16)&gt;0,0.5*(F24-B16)*ABS((A16+((F24-B16)/((F24-B16)-(F24-B17)))*(A17-A16))-A16),0.5*(F24-B17)*ABS(A17-(A16+((F24-B16)/((F24-B16)-(F24-B17)))*(A17-A16)))))))+(IF(AND((F24-B17)&lt;=0,(F24-B18)&lt;=0),0,IF(AND((F24-B17)&gt;=0,(F24-B18)&gt;=0),0.5*((F24-B17)+(F24-B18))*ABS(A18-A17),IF((F24-B17)&gt;0,0.5*(F24-B17)*ABS((A17+((F24-B17)/((F24-B17)-(F24-B18)))*(A18-A17))-A17),0.5*(F24-B18)*ABS(A18-(A17+((F24-B17)/((F24-B17)-(F24-B18)))*(A18-A17)))))))</f>
        <v/>
      </c>
      <c r="H24">
        <f>(IF(AND((F24-B10)&lt;=0,(F24-B11)&lt;=0),0,IF(AND((F24-B10)&gt;=0,(F24-B11)&gt;=0),SQRT((A11-A10)^2+(B11-B10)^2),IF((F24-B10)&gt;0,SQRT(((A10+((F24-B10)/((F24-B10)-(F24-B11)))*(A11-A10))-A10)^2+(F24-B10)^2),SQRT((A11-(A10+((F24-B10)/((F24-B10)-(F24-B11)))*(A11-A10)))^2+(F24-B11)^2)))))+(IF(AND((F24-B11)&lt;=0,(F24-B12)&lt;=0),0,IF(AND((F24-B11)&gt;=0,(F24-B12)&gt;=0),SQRT((A12-A11)^2+(B12-B11)^2),IF((F24-B11)&gt;0,SQRT(((A11+((F24-B11)/((F24-B11)-(F24-B12)))*(A12-A11))-A11)^2+(F24-B11)^2),SQRT((A12-(A11+((F24-B11)/((F24-B11)-(F24-B12)))*(A12-A11)))^2+(F24-B12)^2)))))+(IF(AND((F24-B12)&lt;=0,(F24-B13)&lt;=0),0,IF(AND((F24-B12)&gt;=0,(F24-B13)&gt;=0),SQRT((A13-A12)^2+(B13-B12)^2),IF((F24-B12)&gt;0,SQRT(((A12+((F24-B12)/((F24-B12)-(F24-B13)))*(A13-A12))-A12)^2+(F24-B12)^2),SQRT((A13-(A12+((F24-B12)/((F24-B12)-(F24-B13)))*(A13-A12)))^2+(F24-B13)^2)))))+(IF(AND((F24-B13)&lt;=0,(F24-B14)&lt;=0),0,IF(AND((F24-B13)&gt;=0,(F24-B14)&gt;=0),SQRT((A14-A13)^2+(B14-B13)^2),IF((F24-B13)&gt;0,SQRT(((A13+((F24-B13)/((F24-B13)-(F24-B14)))*(A14-A13))-A13)^2+(F24-B13)^2),SQRT((A14-(A13+((F24-B13)/((F24-B13)-(F24-B14)))*(A14-A13)))^2+(F24-B14)^2)))))+(IF(AND((F24-B14)&lt;=0,(F24-B15)&lt;=0),0,IF(AND((F24-B14)&gt;=0,(F24-B15)&gt;=0),SQRT((A15-A14)^2+(B15-B14)^2),IF((F24-B14)&gt;0,SQRT(((A14+((F24-B14)/((F24-B14)-(F24-B15)))*(A15-A14))-A14)^2+(F24-B14)^2),SQRT((A15-(A14+((F24-B14)/((F24-B14)-(F24-B15)))*(A15-A14)))^2+(F24-B15)^2)))))+(IF(AND((F24-B15)&lt;=0,(F24-B16)&lt;=0),0,IF(AND((F24-B15)&gt;=0,(F24-B16)&gt;=0),SQRT((A16-A15)^2+(B16-B15)^2),IF((F24-B15)&gt;0,SQRT(((A15+((F24-B15)/((F24-B15)-(F24-B16)))*(A16-A15))-A15)^2+(F24-B15)^2),SQRT((A16-(A15+((F24-B15)/((F24-B15)-(F24-B16)))*(A16-A15)))^2+(F24-B16)^2)))))+(IF(AND((F24-B16)&lt;=0,(F24-B17)&lt;=0),0,IF(AND((F24-B16)&gt;=0,(F24-B17)&gt;=0),SQRT((A17-A16)^2+(B17-B16)^2),IF((F24-B16)&gt;0,SQRT(((A16+((F24-B16)/((F24-B16)-(F24-B17)))*(A17-A16))-A16)^2+(F24-B16)^2),SQRT((A17-(A16+((F24-B16)/((F24-B16)-(F24-B17)))*(A17-A16)))^2+(F24-B17)^2)))))+(IF(AND((F24-B17)&lt;=0,(F24-B18)&lt;=0),0,IF(AND((F24-B17)&gt;=0,(F24-B18)&gt;=0),SQRT((A18-A17)^2+(B18-B17)^2),IF((F24-B17)&gt;0,SQRT(((A17+((F24-B17)/((F24-B17)-(F24-B18)))*(A18-A17))-A17)^2+(F24-B17)^2),SQRT((A18-(A17+((F24-B17)/((F24-B17)-(F24-B18)))*(A18-A17)))^2+(F24-B18)^2)))))</f>
        <v/>
      </c>
      <c r="I24">
        <f>IF(OR($B$4&lt;=0,G24&lt;=0,H24&lt;=0,$B$5&lt;=0),0,(1/$B$4)*G24*((G24/H24)^(2/3))*SQRT($B$5))</f>
        <v/>
      </c>
    </row>
    <row r="25">
      <c r="D25">
        <f>IF(I24&lt;$B$3,F24,D24)</f>
        <v/>
      </c>
      <c r="E25">
        <f>IF(I24&lt;$B$3,E24,F24)</f>
        <v/>
      </c>
      <c r="F25">
        <f>(D25+E25)/2</f>
        <v/>
      </c>
      <c r="G25">
        <f>(IF(AND((F25-B10)&lt;=0,(F25-B11)&lt;=0),0,IF(AND((F25-B10)&gt;=0,(F25-B11)&gt;=0),0.5*((F25-B10)+(F25-B11))*ABS(A11-A10),IF((F25-B10)&gt;0,0.5*(F25-B10)*ABS((A10+((F25-B10)/((F25-B10)-(F25-B11)))*(A11-A10))-A10),0.5*(F25-B11)*ABS(A11-(A10+((F25-B10)/((F25-B10)-(F25-B11)))*(A11-A10)))))))+(IF(AND((F25-B11)&lt;=0,(F25-B12)&lt;=0),0,IF(AND((F25-B11)&gt;=0,(F25-B12)&gt;=0),0.5*((F25-B11)+(F25-B12))*ABS(A12-A11),IF((F25-B11)&gt;0,0.5*(F25-B11)*ABS((A11+((F25-B11)/((F25-B11)-(F25-B12)))*(A12-A11))-A11),0.5*(F25-B12)*ABS(A12-(A11+((F25-B11)/((F25-B11)-(F25-B12)))*(A12-A11)))))))+(IF(AND((F25-B12)&lt;=0,(F25-B13)&lt;=0),0,IF(AND((F25-B12)&gt;=0,(F25-B13)&gt;=0),0.5*((F25-B12)+(F25-B13))*ABS(A13-A12),IF((F25-B12)&gt;0,0.5*(F25-B12)*ABS((A12+((F25-B12)/((F25-B12)-(F25-B13)))*(A13-A12))-A12),0.5*(F25-B13)*ABS(A13-(A12+((F25-B12)/((F25-B12)-(F25-B13)))*(A13-A12)))))))+(IF(AND((F25-B13)&lt;=0,(F25-B14)&lt;=0),0,IF(AND((F25-B13)&gt;=0,(F25-B14)&gt;=0),0.5*((F25-B13)+(F25-B14))*ABS(A14-A13),IF((F25-B13)&gt;0,0.5*(F25-B13)*ABS((A13+((F25-B13)/((F25-B13)-(F25-B14)))*(A14-A13))-A13),0.5*(F25-B14)*ABS(A14-(A13+((F25-B13)/((F25-B13)-(F25-B14)))*(A14-A13)))))))+(IF(AND((F25-B14)&lt;=0,(F25-B15)&lt;=0),0,IF(AND((F25-B14)&gt;=0,(F25-B15)&gt;=0),0.5*((F25-B14)+(F25-B15))*ABS(A15-A14),IF((F25-B14)&gt;0,0.5*(F25-B14)*ABS((A14+((F25-B14)/((F25-B14)-(F25-B15)))*(A15-A14))-A14),0.5*(F25-B15)*ABS(A15-(A14+((F25-B14)/((F25-B14)-(F25-B15)))*(A15-A14)))))))+(IF(AND((F25-B15)&lt;=0,(F25-B16)&lt;=0),0,IF(AND((F25-B15)&gt;=0,(F25-B16)&gt;=0),0.5*((F25-B15)+(F25-B16))*ABS(A16-A15),IF((F25-B15)&gt;0,0.5*(F25-B15)*ABS((A15+((F25-B15)/((F25-B15)-(F25-B16)))*(A16-A15))-A15),0.5*(F25-B16)*ABS(A16-(A15+((F25-B15)/((F25-B15)-(F25-B16)))*(A16-A15)))))))+(IF(AND((F25-B16)&lt;=0,(F25-B17)&lt;=0),0,IF(AND((F25-B16)&gt;=0,(F25-B17)&gt;=0),0.5*((F25-B16)+(F25-B17))*ABS(A17-A16),IF((F25-B16)&gt;0,0.5*(F25-B16)*ABS((A16+((F25-B16)/((F25-B16)-(F25-B17)))*(A17-A16))-A16),0.5*(F25-B17)*ABS(A17-(A16+((F25-B16)/((F25-B16)-(F25-B17)))*(A17-A16)))))))+(IF(AND((F25-B17)&lt;=0,(F25-B18)&lt;=0),0,IF(AND((F25-B17)&gt;=0,(F25-B18)&gt;=0),0.5*((F25-B17)+(F25-B18))*ABS(A18-A17),IF((F25-B17)&gt;0,0.5*(F25-B17)*ABS((A17+((F25-B17)/((F25-B17)-(F25-B18)))*(A18-A17))-A17),0.5*(F25-B18)*ABS(A18-(A17+((F25-B17)/((F25-B17)-(F25-B18)))*(A18-A17)))))))</f>
        <v/>
      </c>
      <c r="H25">
        <f>(IF(AND((F25-B10)&lt;=0,(F25-B11)&lt;=0),0,IF(AND((F25-B10)&gt;=0,(F25-B11)&gt;=0),SQRT((A11-A10)^2+(B11-B10)^2),IF((F25-B10)&gt;0,SQRT(((A10+((F25-B10)/((F25-B10)-(F25-B11)))*(A11-A10))-A10)^2+(F25-B10)^2),SQRT((A11-(A10+((F25-B10)/((F25-B10)-(F25-B11)))*(A11-A10)))^2+(F25-B11)^2)))))+(IF(AND((F25-B11)&lt;=0,(F25-B12)&lt;=0),0,IF(AND((F25-B11)&gt;=0,(F25-B12)&gt;=0),SQRT((A12-A11)^2+(B12-B11)^2),IF((F25-B11)&gt;0,SQRT(((A11+((F25-B11)/((F25-B11)-(F25-B12)))*(A12-A11))-A11)^2+(F25-B11)^2),SQRT((A12-(A11+((F25-B11)/((F25-B11)-(F25-B12)))*(A12-A11)))^2+(F25-B12)^2)))))+(IF(AND((F25-B12)&lt;=0,(F25-B13)&lt;=0),0,IF(AND((F25-B12)&gt;=0,(F25-B13)&gt;=0),SQRT((A13-A12)^2+(B13-B12)^2),IF((F25-B12)&gt;0,SQRT(((A12+((F25-B12)/((F25-B12)-(F25-B13)))*(A13-A12))-A12)^2+(F25-B12)^2),SQRT((A13-(A12+((F25-B12)/((F25-B12)-(F25-B13)))*(A13-A12)))^2+(F25-B13)^2)))))+(IF(AND((F25-B13)&lt;=0,(F25-B14)&lt;=0),0,IF(AND((F25-B13)&gt;=0,(F25-B14)&gt;=0),SQRT((A14-A13)^2+(B14-B13)^2),IF((F25-B13)&gt;0,SQRT(((A13+((F25-B13)/((F25-B13)-(F25-B14)))*(A14-A13))-A13)^2+(F25-B13)^2),SQRT((A14-(A13+((F25-B13)/((F25-B13)-(F25-B14)))*(A14-A13)))^2+(F25-B14)^2)))))+(IF(AND((F25-B14)&lt;=0,(F25-B15)&lt;=0),0,IF(AND((F25-B14)&gt;=0,(F25-B15)&gt;=0),SQRT((A15-A14)^2+(B15-B14)^2),IF((F25-B14)&gt;0,SQRT(((A14+((F25-B14)/((F25-B14)-(F25-B15)))*(A15-A14))-A14)^2+(F25-B14)^2),SQRT((A15-(A14+((F25-B14)/((F25-B14)-(F25-B15)))*(A15-A14)))^2+(F25-B15)^2)))))+(IF(AND((F25-B15)&lt;=0,(F25-B16)&lt;=0),0,IF(AND((F25-B15)&gt;=0,(F25-B16)&gt;=0),SQRT((A16-A15)^2+(B16-B15)^2),IF((F25-B15)&gt;0,SQRT(((A15+((F25-B15)/((F25-B15)-(F25-B16)))*(A16-A15))-A15)^2+(F25-B15)^2),SQRT((A16-(A15+((F25-B15)/((F25-B15)-(F25-B16)))*(A16-A15)))^2+(F25-B16)^2)))))+(IF(AND((F25-B16)&lt;=0,(F25-B17)&lt;=0),0,IF(AND((F25-B16)&gt;=0,(F25-B17)&gt;=0),SQRT((A17-A16)^2+(B17-B16)^2),IF((F25-B16)&gt;0,SQRT(((A16+((F25-B16)/((F25-B16)-(F25-B17)))*(A17-A16))-A16)^2+(F25-B16)^2),SQRT((A17-(A16+((F25-B16)/((F25-B16)-(F25-B17)))*(A17-A16)))^2+(F25-B17)^2)))))+(IF(AND((F25-B17)&lt;=0,(F25-B18)&lt;=0),0,IF(AND((F25-B17)&gt;=0,(F25-B18)&gt;=0),SQRT((A18-A17)^2+(B18-B17)^2),IF((F25-B17)&gt;0,SQRT(((A17+((F25-B17)/((F25-B17)-(F25-B18)))*(A18-A17))-A17)^2+(F25-B17)^2),SQRT((A18-(A17+((F25-B17)/((F25-B17)-(F25-B18)))*(A18-A17)))^2+(F25-B18)^2)))))</f>
        <v/>
      </c>
      <c r="I25">
        <f>IF(OR($B$4&lt;=0,G25&lt;=0,H25&lt;=0,$B$5&lt;=0),0,(1/$B$4)*G25*((G25/H25)^(2/3))*SQRT($B$5))</f>
        <v/>
      </c>
    </row>
    <row r="26">
      <c r="D26">
        <f>IF(I25&lt;$B$3,F25,D25)</f>
        <v/>
      </c>
      <c r="E26">
        <f>IF(I25&lt;$B$3,E25,F25)</f>
        <v/>
      </c>
      <c r="F26">
        <f>(D26+E26)/2</f>
        <v/>
      </c>
      <c r="G26">
        <f>(IF(AND((F26-B10)&lt;=0,(F26-B11)&lt;=0),0,IF(AND((F26-B10)&gt;=0,(F26-B11)&gt;=0),0.5*((F26-B10)+(F26-B11))*ABS(A11-A10),IF((F26-B10)&gt;0,0.5*(F26-B10)*ABS((A10+((F26-B10)/((F26-B10)-(F26-B11)))*(A11-A10))-A10),0.5*(F26-B11)*ABS(A11-(A10+((F26-B10)/((F26-B10)-(F26-B11)))*(A11-A10)))))))+(IF(AND((F26-B11)&lt;=0,(F26-B12)&lt;=0),0,IF(AND((F26-B11)&gt;=0,(F26-B12)&gt;=0),0.5*((F26-B11)+(F26-B12))*ABS(A12-A11),IF((F26-B11)&gt;0,0.5*(F26-B11)*ABS((A11+((F26-B11)/((F26-B11)-(F26-B12)))*(A12-A11))-A11),0.5*(F26-B12)*ABS(A12-(A11+((F26-B11)/((F26-B11)-(F26-B12)))*(A12-A11)))))))+(IF(AND((F26-B12)&lt;=0,(F26-B13)&lt;=0),0,IF(AND((F26-B12)&gt;=0,(F26-B13)&gt;=0),0.5*((F26-B12)+(F26-B13))*ABS(A13-A12),IF((F26-B12)&gt;0,0.5*(F26-B12)*ABS((A12+((F26-B12)/((F26-B12)-(F26-B13)))*(A13-A12))-A12),0.5*(F26-B13)*ABS(A13-(A12+((F26-B12)/((F26-B12)-(F26-B13)))*(A13-A12)))))))+(IF(AND((F26-B13)&lt;=0,(F26-B14)&lt;=0),0,IF(AND((F26-B13)&gt;=0,(F26-B14)&gt;=0),0.5*((F26-B13)+(F26-B14))*ABS(A14-A13),IF((F26-B13)&gt;0,0.5*(F26-B13)*ABS((A13+((F26-B13)/((F26-B13)-(F26-B14)))*(A14-A13))-A13),0.5*(F26-B14)*ABS(A14-(A13+((F26-B13)/((F26-B13)-(F26-B14)))*(A14-A13)))))))+(IF(AND((F26-B14)&lt;=0,(F26-B15)&lt;=0),0,IF(AND((F26-B14)&gt;=0,(F26-B15)&gt;=0),0.5*((F26-B14)+(F26-B15))*ABS(A15-A14),IF((F26-B14)&gt;0,0.5*(F26-B14)*ABS((A14+((F26-B14)/((F26-B14)-(F26-B15)))*(A15-A14))-A14),0.5*(F26-B15)*ABS(A15-(A14+((F26-B14)/((F26-B14)-(F26-B15)))*(A15-A14)))))))+(IF(AND((F26-B15)&lt;=0,(F26-B16)&lt;=0),0,IF(AND((F26-B15)&gt;=0,(F26-B16)&gt;=0),0.5*((F26-B15)+(F26-B16))*ABS(A16-A15),IF((F26-B15)&gt;0,0.5*(F26-B15)*ABS((A15+((F26-B15)/((F26-B15)-(F26-B16)))*(A16-A15))-A15),0.5*(F26-B16)*ABS(A16-(A15+((F26-B15)/((F26-B15)-(F26-B16)))*(A16-A15)))))))+(IF(AND((F26-B16)&lt;=0,(F26-B17)&lt;=0),0,IF(AND((F26-B16)&gt;=0,(F26-B17)&gt;=0),0.5*((F26-B16)+(F26-B17))*ABS(A17-A16),IF((F26-B16)&gt;0,0.5*(F26-B16)*ABS((A16+((F26-B16)/((F26-B16)-(F26-B17)))*(A17-A16))-A16),0.5*(F26-B17)*ABS(A17-(A16+((F26-B16)/((F26-B16)-(F26-B17)))*(A17-A16)))))))+(IF(AND((F26-B17)&lt;=0,(F26-B18)&lt;=0),0,IF(AND((F26-B17)&gt;=0,(F26-B18)&gt;=0),0.5*((F26-B17)+(F26-B18))*ABS(A18-A17),IF((F26-B17)&gt;0,0.5*(F26-B17)*ABS((A17+((F26-B17)/((F26-B17)-(F26-B18)))*(A18-A17))-A17),0.5*(F26-B18)*ABS(A18-(A17+((F26-B17)/((F26-B17)-(F26-B18)))*(A18-A17)))))))</f>
        <v/>
      </c>
      <c r="H26">
        <f>(IF(AND((F26-B10)&lt;=0,(F26-B11)&lt;=0),0,IF(AND((F26-B10)&gt;=0,(F26-B11)&gt;=0),SQRT((A11-A10)^2+(B11-B10)^2),IF((F26-B10)&gt;0,SQRT(((A10+((F26-B10)/((F26-B10)-(F26-B11)))*(A11-A10))-A10)^2+(F26-B10)^2),SQRT((A11-(A10+((F26-B10)/((F26-B10)-(F26-B11)))*(A11-A10)))^2+(F26-B11)^2)))))+(IF(AND((F26-B11)&lt;=0,(F26-B12)&lt;=0),0,IF(AND((F26-B11)&gt;=0,(F26-B12)&gt;=0),SQRT((A12-A11)^2+(B12-B11)^2),IF((F26-B11)&gt;0,SQRT(((A11+((F26-B11)/((F26-B11)-(F26-B12)))*(A12-A11))-A11)^2+(F26-B11)^2),SQRT((A12-(A11+((F26-B11)/((F26-B11)-(F26-B12)))*(A12-A11)))^2+(F26-B12)^2)))))+(IF(AND((F26-B12)&lt;=0,(F26-B13)&lt;=0),0,IF(AND((F26-B12)&gt;=0,(F26-B13)&gt;=0),SQRT((A13-A12)^2+(B13-B12)^2),IF((F26-B12)&gt;0,SQRT(((A12+((F26-B12)/((F26-B12)-(F26-B13)))*(A13-A12))-A12)^2+(F26-B12)^2),SQRT((A13-(A12+((F26-B12)/((F26-B12)-(F26-B13)))*(A13-A12)))^2+(F26-B13)^2)))))+(IF(AND((F26-B13)&lt;=0,(F26-B14)&lt;=0),0,IF(AND((F26-B13)&gt;=0,(F26-B14)&gt;=0),SQRT((A14-A13)^2+(B14-B13)^2),IF((F26-B13)&gt;0,SQRT(((A13+((F26-B13)/((F26-B13)-(F26-B14)))*(A14-A13))-A13)^2+(F26-B13)^2),SQRT((A14-(A13+((F26-B13)/((F26-B13)-(F26-B14)))*(A14-A13)))^2+(F26-B14)^2)))))+(IF(AND((F26-B14)&lt;=0,(F26-B15)&lt;=0),0,IF(AND((F26-B14)&gt;=0,(F26-B15)&gt;=0),SQRT((A15-A14)^2+(B15-B14)^2),IF((F26-B14)&gt;0,SQRT(((A14+((F26-B14)/((F26-B14)-(F26-B15)))*(A15-A14))-A14)^2+(F26-B14)^2),SQRT((A15-(A14+((F26-B14)/((F26-B14)-(F26-B15)))*(A15-A14)))^2+(F26-B15)^2)))))+(IF(AND((F26-B15)&lt;=0,(F26-B16)&lt;=0),0,IF(AND((F26-B15)&gt;=0,(F26-B16)&gt;=0),SQRT((A16-A15)^2+(B16-B15)^2),IF((F26-B15)&gt;0,SQRT(((A15+((F26-B15)/((F26-B15)-(F26-B16)))*(A16-A15))-A15)^2+(F26-B15)^2),SQRT((A16-(A15+((F26-B15)/((F26-B15)-(F26-B16)))*(A16-A15)))^2+(F26-B16)^2)))))+(IF(AND((F26-B16)&lt;=0,(F26-B17)&lt;=0),0,IF(AND((F26-B16)&gt;=0,(F26-B17)&gt;=0),SQRT((A17-A16)^2+(B17-B16)^2),IF((F26-B16)&gt;0,SQRT(((A16+((F26-B16)/((F26-B16)-(F26-B17)))*(A17-A16))-A16)^2+(F26-B16)^2),SQRT((A17-(A16+((F26-B16)/((F26-B16)-(F26-B17)))*(A17-A16)))^2+(F26-B17)^2)))))+(IF(AND((F26-B17)&lt;=0,(F26-B18)&lt;=0),0,IF(AND((F26-B17)&gt;=0,(F26-B18)&gt;=0),SQRT((A18-A17)^2+(B18-B17)^2),IF((F26-B17)&gt;0,SQRT(((A17+((F26-B17)/((F26-B17)-(F26-B18)))*(A18-A17))-A17)^2+(F26-B17)^2),SQRT((A18-(A17+((F26-B17)/((F26-B17)-(F26-B18)))*(A18-A17)))^2+(F26-B18)^2)))))</f>
        <v/>
      </c>
      <c r="I26">
        <f>IF(OR($B$4&lt;=0,G26&lt;=0,H26&lt;=0,$B$5&lt;=0),0,(1/$B$4)*G26*((G26/H26)^(2/3))*SQRT($B$5))</f>
        <v/>
      </c>
    </row>
    <row r="27">
      <c r="D27">
        <f>IF(I26&lt;$B$3,F26,D26)</f>
        <v/>
      </c>
      <c r="E27">
        <f>IF(I26&lt;$B$3,E26,F26)</f>
        <v/>
      </c>
      <c r="F27">
        <f>(D27+E27)/2</f>
        <v/>
      </c>
      <c r="G27">
        <f>(IF(AND((F27-B10)&lt;=0,(F27-B11)&lt;=0),0,IF(AND((F27-B10)&gt;=0,(F27-B11)&gt;=0),0.5*((F27-B10)+(F27-B11))*ABS(A11-A10),IF((F27-B10)&gt;0,0.5*(F27-B10)*ABS((A10+((F27-B10)/((F27-B10)-(F27-B11)))*(A11-A10))-A10),0.5*(F27-B11)*ABS(A11-(A10+((F27-B10)/((F27-B10)-(F27-B11)))*(A11-A10)))))))+(IF(AND((F27-B11)&lt;=0,(F27-B12)&lt;=0),0,IF(AND((F27-B11)&gt;=0,(F27-B12)&gt;=0),0.5*((F27-B11)+(F27-B12))*ABS(A12-A11),IF((F27-B11)&gt;0,0.5*(F27-B11)*ABS((A11+((F27-B11)/((F27-B11)-(F27-B12)))*(A12-A11))-A11),0.5*(F27-B12)*ABS(A12-(A11+((F27-B11)/((F27-B11)-(F27-B12)))*(A12-A11)))))))+(IF(AND((F27-B12)&lt;=0,(F27-B13)&lt;=0),0,IF(AND((F27-B12)&gt;=0,(F27-B13)&gt;=0),0.5*((F27-B12)+(F27-B13))*ABS(A13-A12),IF((F27-B12)&gt;0,0.5*(F27-B12)*ABS((A12+((F27-B12)/((F27-B12)-(F27-B13)))*(A13-A12))-A12),0.5*(F27-B13)*ABS(A13-(A12+((F27-B12)/((F27-B12)-(F27-B13)))*(A13-A12)))))))+(IF(AND((F27-B13)&lt;=0,(F27-B14)&lt;=0),0,IF(AND((F27-B13)&gt;=0,(F27-B14)&gt;=0),0.5*((F27-B13)+(F27-B14))*ABS(A14-A13),IF((F27-B13)&gt;0,0.5*(F27-B13)*ABS((A13+((F27-B13)/((F27-B13)-(F27-B14)))*(A14-A13))-A13),0.5*(F27-B14)*ABS(A14-(A13+((F27-B13)/((F27-B13)-(F27-B14)))*(A14-A13)))))))+(IF(AND((F27-B14)&lt;=0,(F27-B15)&lt;=0),0,IF(AND((F27-B14)&gt;=0,(F27-B15)&gt;=0),0.5*((F27-B14)+(F27-B15))*ABS(A15-A14),IF((F27-B14)&gt;0,0.5*(F27-B14)*ABS((A14+((F27-B14)/((F27-B14)-(F27-B15)))*(A15-A14))-A14),0.5*(F27-B15)*ABS(A15-(A14+((F27-B14)/((F27-B14)-(F27-B15)))*(A15-A14)))))))+(IF(AND((F27-B15)&lt;=0,(F27-B16)&lt;=0),0,IF(AND((F27-B15)&gt;=0,(F27-B16)&gt;=0),0.5*((F27-B15)+(F27-B16))*ABS(A16-A15),IF((F27-B15)&gt;0,0.5*(F27-B15)*ABS((A15+((F27-B15)/((F27-B15)-(F27-B16)))*(A16-A15))-A15),0.5*(F27-B16)*ABS(A16-(A15+((F27-B15)/((F27-B15)-(F27-B16)))*(A16-A15)))))))+(IF(AND((F27-B16)&lt;=0,(F27-B17)&lt;=0),0,IF(AND((F27-B16)&gt;=0,(F27-B17)&gt;=0),0.5*((F27-B16)+(F27-B17))*ABS(A17-A16),IF((F27-B16)&gt;0,0.5*(F27-B16)*ABS((A16+((F27-B16)/((F27-B16)-(F27-B17)))*(A17-A16))-A16),0.5*(F27-B17)*ABS(A17-(A16+((F27-B16)/((F27-B16)-(F27-B17)))*(A17-A16)))))))+(IF(AND((F27-B17)&lt;=0,(F27-B18)&lt;=0),0,IF(AND((F27-B17)&gt;=0,(F27-B18)&gt;=0),0.5*((F27-B17)+(F27-B18))*ABS(A18-A17),IF((F27-B17)&gt;0,0.5*(F27-B17)*ABS((A17+((F27-B17)/((F27-B17)-(F27-B18)))*(A18-A17))-A17),0.5*(F27-B18)*ABS(A18-(A17+((F27-B17)/((F27-B17)-(F27-B18)))*(A18-A17)))))))</f>
        <v/>
      </c>
      <c r="H27">
        <f>(IF(AND((F27-B10)&lt;=0,(F27-B11)&lt;=0),0,IF(AND((F27-B10)&gt;=0,(F27-B11)&gt;=0),SQRT((A11-A10)^2+(B11-B10)^2),IF((F27-B10)&gt;0,SQRT(((A10+((F27-B10)/((F27-B10)-(F27-B11)))*(A11-A10))-A10)^2+(F27-B10)^2),SQRT((A11-(A10+((F27-B10)/((F27-B10)-(F27-B11)))*(A11-A10)))^2+(F27-B11)^2)))))+(IF(AND((F27-B11)&lt;=0,(F27-B12)&lt;=0),0,IF(AND((F27-B11)&gt;=0,(F27-B12)&gt;=0),SQRT((A12-A11)^2+(B12-B11)^2),IF((F27-B11)&gt;0,SQRT(((A11+((F27-B11)/((F27-B11)-(F27-B12)))*(A12-A11))-A11)^2+(F27-B11)^2),SQRT((A12-(A11+((F27-B11)/((F27-B11)-(F27-B12)))*(A12-A11)))^2+(F27-B12)^2)))))+(IF(AND((F27-B12)&lt;=0,(F27-B13)&lt;=0),0,IF(AND((F27-B12)&gt;=0,(F27-B13)&gt;=0),SQRT((A13-A12)^2+(B13-B12)^2),IF((F27-B12)&gt;0,SQRT(((A12+((F27-B12)/((F27-B12)-(F27-B13)))*(A13-A12))-A12)^2+(F27-B12)^2),SQRT((A13-(A12+((F27-B12)/((F27-B12)-(F27-B13)))*(A13-A12)))^2+(F27-B13)^2)))))+(IF(AND((F27-B13)&lt;=0,(F27-B14)&lt;=0),0,IF(AND((F27-B13)&gt;=0,(F27-B14)&gt;=0),SQRT((A14-A13)^2+(B14-B13)^2),IF((F27-B13)&gt;0,SQRT(((A13+((F27-B13)/((F27-B13)-(F27-B14)))*(A14-A13))-A13)^2+(F27-B13)^2),SQRT((A14-(A13+((F27-B13)/((F27-B13)-(F27-B14)))*(A14-A13)))^2+(F27-B14)^2)))))+(IF(AND((F27-B14)&lt;=0,(F27-B15)&lt;=0),0,IF(AND((F27-B14)&gt;=0,(F27-B15)&gt;=0),SQRT((A15-A14)^2+(B15-B14)^2),IF((F27-B14)&gt;0,SQRT(((A14+((F27-B14)/((F27-B14)-(F27-B15)))*(A15-A14))-A14)^2+(F27-B14)^2),SQRT((A15-(A14+((F27-B14)/((F27-B14)-(F27-B15)))*(A15-A14)))^2+(F27-B15)^2)))))+(IF(AND((F27-B15)&lt;=0,(F27-B16)&lt;=0),0,IF(AND((F27-B15)&gt;=0,(F27-B16)&gt;=0),SQRT((A16-A15)^2+(B16-B15)^2),IF((F27-B15)&gt;0,SQRT(((A15+((F27-B15)/((F27-B15)-(F27-B16)))*(A16-A15))-A15)^2+(F27-B15)^2),SQRT((A16-(A15+((F27-B15)/((F27-B15)-(F27-B16)))*(A16-A15)))^2+(F27-B16)^2)))))+(IF(AND((F27-B16)&lt;=0,(F27-B17)&lt;=0),0,IF(AND((F27-B16)&gt;=0,(F27-B17)&gt;=0),SQRT((A17-A16)^2+(B17-B16)^2),IF((F27-B16)&gt;0,SQRT(((A16+((F27-B16)/((F27-B16)-(F27-B17)))*(A17-A16))-A16)^2+(F27-B16)^2),SQRT((A17-(A16+((F27-B16)/((F27-B16)-(F27-B17)))*(A17-A16)))^2+(F27-B17)^2)))))+(IF(AND((F27-B17)&lt;=0,(F27-B18)&lt;=0),0,IF(AND((F27-B17)&gt;=0,(F27-B18)&gt;=0),SQRT((A18-A17)^2+(B18-B17)^2),IF((F27-B17)&gt;0,SQRT(((A17+((F27-B17)/((F27-B17)-(F27-B18)))*(A18-A17))-A17)^2+(F27-B17)^2),SQRT((A18-(A17+((F27-B17)/((F27-B17)-(F27-B18)))*(A18-A17)))^2+(F27-B18)^2)))))</f>
        <v/>
      </c>
      <c r="I27">
        <f>IF(OR($B$4&lt;=0,G27&lt;=0,H27&lt;=0,$B$5&lt;=0),0,(1/$B$4)*G27*((G27/H27)^(2/3))*SQRT($B$5))</f>
        <v/>
      </c>
    </row>
    <row r="28">
      <c r="D28">
        <f>IF(I27&lt;$B$3,F27,D27)</f>
        <v/>
      </c>
      <c r="E28">
        <f>IF(I27&lt;$B$3,E27,F27)</f>
        <v/>
      </c>
      <c r="F28">
        <f>(D28+E28)/2</f>
        <v/>
      </c>
      <c r="G28">
        <f>(IF(AND((F28-B10)&lt;=0,(F28-B11)&lt;=0),0,IF(AND((F28-B10)&gt;=0,(F28-B11)&gt;=0),0.5*((F28-B10)+(F28-B11))*ABS(A11-A10),IF((F28-B10)&gt;0,0.5*(F28-B10)*ABS((A10+((F28-B10)/((F28-B10)-(F28-B11)))*(A11-A10))-A10),0.5*(F28-B11)*ABS(A11-(A10+((F28-B10)/((F28-B10)-(F28-B11)))*(A11-A10)))))))+(IF(AND((F28-B11)&lt;=0,(F28-B12)&lt;=0),0,IF(AND((F28-B11)&gt;=0,(F28-B12)&gt;=0),0.5*((F28-B11)+(F28-B12))*ABS(A12-A11),IF((F28-B11)&gt;0,0.5*(F28-B11)*ABS((A11+((F28-B11)/((F28-B11)-(F28-B12)))*(A12-A11))-A11),0.5*(F28-B12)*ABS(A12-(A11+((F28-B11)/((F28-B11)-(F28-B12)))*(A12-A11)))))))+(IF(AND((F28-B12)&lt;=0,(F28-B13)&lt;=0),0,IF(AND((F28-B12)&gt;=0,(F28-B13)&gt;=0),0.5*((F28-B12)+(F28-B13))*ABS(A13-A12),IF((F28-B12)&gt;0,0.5*(F28-B12)*ABS((A12+((F28-B12)/((F28-B12)-(F28-B13)))*(A13-A12))-A12),0.5*(F28-B13)*ABS(A13-(A12+((F28-B12)/((F28-B12)-(F28-B13)))*(A13-A12)))))))+(IF(AND((F28-B13)&lt;=0,(F28-B14)&lt;=0),0,IF(AND((F28-B13)&gt;=0,(F28-B14)&gt;=0),0.5*((F28-B13)+(F28-B14))*ABS(A14-A13),IF((F28-B13)&gt;0,0.5*(F28-B13)*ABS((A13+((F28-B13)/((F28-B13)-(F28-B14)))*(A14-A13))-A13),0.5*(F28-B14)*ABS(A14-(A13+((F28-B13)/((F28-B13)-(F28-B14)))*(A14-A13)))))))+(IF(AND((F28-B14)&lt;=0,(F28-B15)&lt;=0),0,IF(AND((F28-B14)&gt;=0,(F28-B15)&gt;=0),0.5*((F28-B14)+(F28-B15))*ABS(A15-A14),IF((F28-B14)&gt;0,0.5*(F28-B14)*ABS((A14+((F28-B14)/((F28-B14)-(F28-B15)))*(A15-A14))-A14),0.5*(F28-B15)*ABS(A15-(A14+((F28-B14)/((F28-B14)-(F28-B15)))*(A15-A14)))))))+(IF(AND((F28-B15)&lt;=0,(F28-B16)&lt;=0),0,IF(AND((F28-B15)&gt;=0,(F28-B16)&gt;=0),0.5*((F28-B15)+(F28-B16))*ABS(A16-A15),IF((F28-B15)&gt;0,0.5*(F28-B15)*ABS((A15+((F28-B15)/((F28-B15)-(F28-B16)))*(A16-A15))-A15),0.5*(F28-B16)*ABS(A16-(A15+((F28-B15)/((F28-B15)-(F28-B16)))*(A16-A15)))))))+(IF(AND((F28-B16)&lt;=0,(F28-B17)&lt;=0),0,IF(AND((F28-B16)&gt;=0,(F28-B17)&gt;=0),0.5*((F28-B16)+(F28-B17))*ABS(A17-A16),IF((F28-B16)&gt;0,0.5*(F28-B16)*ABS((A16+((F28-B16)/((F28-B16)-(F28-B17)))*(A17-A16))-A16),0.5*(F28-B17)*ABS(A17-(A16+((F28-B16)/((F28-B16)-(F28-B17)))*(A17-A16)))))))+(IF(AND((F28-B17)&lt;=0,(F28-B18)&lt;=0),0,IF(AND((F28-B17)&gt;=0,(F28-B18)&gt;=0),0.5*((F28-B17)+(F28-B18))*ABS(A18-A17),IF((F28-B17)&gt;0,0.5*(F28-B17)*ABS((A17+((F28-B17)/((F28-B17)-(F28-B18)))*(A18-A17))-A17),0.5*(F28-B18)*ABS(A18-(A17+((F28-B17)/((F28-B17)-(F28-B18)))*(A18-A17)))))))</f>
        <v/>
      </c>
      <c r="H28">
        <f>(IF(AND((F28-B10)&lt;=0,(F28-B11)&lt;=0),0,IF(AND((F28-B10)&gt;=0,(F28-B11)&gt;=0),SQRT((A11-A10)^2+(B11-B10)^2),IF((F28-B10)&gt;0,SQRT(((A10+((F28-B10)/((F28-B10)-(F28-B11)))*(A11-A10))-A10)^2+(F28-B10)^2),SQRT((A11-(A10+((F28-B10)/((F28-B10)-(F28-B11)))*(A11-A10)))^2+(F28-B11)^2)))))+(IF(AND((F28-B11)&lt;=0,(F28-B12)&lt;=0),0,IF(AND((F28-B11)&gt;=0,(F28-B12)&gt;=0),SQRT((A12-A11)^2+(B12-B11)^2),IF((F28-B11)&gt;0,SQRT(((A11+((F28-B11)/((F28-B11)-(F28-B12)))*(A12-A11))-A11)^2+(F28-B11)^2),SQRT((A12-(A11+((F28-B11)/((F28-B11)-(F28-B12)))*(A12-A11)))^2+(F28-B12)^2)))))+(IF(AND((F28-B12)&lt;=0,(F28-B13)&lt;=0),0,IF(AND((F28-B12)&gt;=0,(F28-B13)&gt;=0),SQRT((A13-A12)^2+(B13-B12)^2),IF((F28-B12)&gt;0,SQRT(((A12+((F28-B12)/((F28-B12)-(F28-B13)))*(A13-A12))-A12)^2+(F28-B12)^2),SQRT((A13-(A12+((F28-B12)/((F28-B12)-(F28-B13)))*(A13-A12)))^2+(F28-B13)^2)))))+(IF(AND((F28-B13)&lt;=0,(F28-B14)&lt;=0),0,IF(AND((F28-B13)&gt;=0,(F28-B14)&gt;=0),SQRT((A14-A13)^2+(B14-B13)^2),IF((F28-B13)&gt;0,SQRT(((A13+((F28-B13)/((F28-B13)-(F28-B14)))*(A14-A13))-A13)^2+(F28-B13)^2),SQRT((A14-(A13+((F28-B13)/((F28-B13)-(F28-B14)))*(A14-A13)))^2+(F28-B14)^2)))))+(IF(AND((F28-B14)&lt;=0,(F28-B15)&lt;=0),0,IF(AND((F28-B14)&gt;=0,(F28-B15)&gt;=0),SQRT((A15-A14)^2+(B15-B14)^2),IF((F28-B14)&gt;0,SQRT(((A14+((F28-B14)/((F28-B14)-(F28-B15)))*(A15-A14))-A14)^2+(F28-B14)^2),SQRT((A15-(A14+((F28-B14)/((F28-B14)-(F28-B15)))*(A15-A14)))^2+(F28-B15)^2)))))+(IF(AND((F28-B15)&lt;=0,(F28-B16)&lt;=0),0,IF(AND((F28-B15)&gt;=0,(F28-B16)&gt;=0),SQRT((A16-A15)^2+(B16-B15)^2),IF((F28-B15)&gt;0,SQRT(((A15+((F28-B15)/((F28-B15)-(F28-B16)))*(A16-A15))-A15)^2+(F28-B15)^2),SQRT((A16-(A15+((F28-B15)/((F28-B15)-(F28-B16)))*(A16-A15)))^2+(F28-B16)^2)))))+(IF(AND((F28-B16)&lt;=0,(F28-B17)&lt;=0),0,IF(AND((F28-B16)&gt;=0,(F28-B17)&gt;=0),SQRT((A17-A16)^2+(B17-B16)^2),IF((F28-B16)&gt;0,SQRT(((A16+((F28-B16)/((F28-B16)-(F28-B17)))*(A17-A16))-A16)^2+(F28-B16)^2),SQRT((A17-(A16+((F28-B16)/((F28-B16)-(F28-B17)))*(A17-A16)))^2+(F28-B17)^2)))))+(IF(AND((F28-B17)&lt;=0,(F28-B18)&lt;=0),0,IF(AND((F28-B17)&gt;=0,(F28-B18)&gt;=0),SQRT((A18-A17)^2+(B18-B17)^2),IF((F28-B17)&gt;0,SQRT(((A17+((F28-B17)/((F28-B17)-(F28-B18)))*(A18-A17))-A17)^2+(F28-B17)^2),SQRT((A18-(A17+((F28-B17)/((F28-B17)-(F28-B18)))*(A18-A17)))^2+(F28-B18)^2)))))</f>
        <v/>
      </c>
      <c r="I28">
        <f>IF(OR($B$4&lt;=0,G28&lt;=0,H28&lt;=0,$B$5&lt;=0),0,(1/$B$4)*G28*((G28/H28)^(2/3))*SQRT($B$5))</f>
        <v/>
      </c>
    </row>
    <row r="29">
      <c r="D29">
        <f>IF(I28&lt;$B$3,F28,D28)</f>
        <v/>
      </c>
      <c r="E29">
        <f>IF(I28&lt;$B$3,E28,F28)</f>
        <v/>
      </c>
      <c r="F29">
        <f>(D29+E29)/2</f>
        <v/>
      </c>
      <c r="G29">
        <f>(IF(AND((F29-B10)&lt;=0,(F29-B11)&lt;=0),0,IF(AND((F29-B10)&gt;=0,(F29-B11)&gt;=0),0.5*((F29-B10)+(F29-B11))*ABS(A11-A10),IF((F29-B10)&gt;0,0.5*(F29-B10)*ABS((A10+((F29-B10)/((F29-B10)-(F29-B11)))*(A11-A10))-A10),0.5*(F29-B11)*ABS(A11-(A10+((F29-B10)/((F29-B10)-(F29-B11)))*(A11-A10)))))))+(IF(AND((F29-B11)&lt;=0,(F29-B12)&lt;=0),0,IF(AND((F29-B11)&gt;=0,(F29-B12)&gt;=0),0.5*((F29-B11)+(F29-B12))*ABS(A12-A11),IF((F29-B11)&gt;0,0.5*(F29-B11)*ABS((A11+((F29-B11)/((F29-B11)-(F29-B12)))*(A12-A11))-A11),0.5*(F29-B12)*ABS(A12-(A11+((F29-B11)/((F29-B11)-(F29-B12)))*(A12-A11)))))))+(IF(AND((F29-B12)&lt;=0,(F29-B13)&lt;=0),0,IF(AND((F29-B12)&gt;=0,(F29-B13)&gt;=0),0.5*((F29-B12)+(F29-B13))*ABS(A13-A12),IF((F29-B12)&gt;0,0.5*(F29-B12)*ABS((A12+((F29-B12)/((F29-B12)-(F29-B13)))*(A13-A12))-A12),0.5*(F29-B13)*ABS(A13-(A12+((F29-B12)/((F29-B12)-(F29-B13)))*(A13-A12)))))))+(IF(AND((F29-B13)&lt;=0,(F29-B14)&lt;=0),0,IF(AND((F29-B13)&gt;=0,(F29-B14)&gt;=0),0.5*((F29-B13)+(F29-B14))*ABS(A14-A13),IF((F29-B13)&gt;0,0.5*(F29-B13)*ABS((A13+((F29-B13)/((F29-B13)-(F29-B14)))*(A14-A13))-A13),0.5*(F29-B14)*ABS(A14-(A13+((F29-B13)/((F29-B13)-(F29-B14)))*(A14-A13)))))))+(IF(AND((F29-B14)&lt;=0,(F29-B15)&lt;=0),0,IF(AND((F29-B14)&gt;=0,(F29-B15)&gt;=0),0.5*((F29-B14)+(F29-B15))*ABS(A15-A14),IF((F29-B14)&gt;0,0.5*(F29-B14)*ABS((A14+((F29-B14)/((F29-B14)-(F29-B15)))*(A15-A14))-A14),0.5*(F29-B15)*ABS(A15-(A14+((F29-B14)/((F29-B14)-(F29-B15)))*(A15-A14)))))))+(IF(AND((F29-B15)&lt;=0,(F29-B16)&lt;=0),0,IF(AND((F29-B15)&gt;=0,(F29-B16)&gt;=0),0.5*((F29-B15)+(F29-B16))*ABS(A16-A15),IF((F29-B15)&gt;0,0.5*(F29-B15)*ABS((A15+((F29-B15)/((F29-B15)-(F29-B16)))*(A16-A15))-A15),0.5*(F29-B16)*ABS(A16-(A15+((F29-B15)/((F29-B15)-(F29-B16)))*(A16-A15)))))))+(IF(AND((F29-B16)&lt;=0,(F29-B17)&lt;=0),0,IF(AND((F29-B16)&gt;=0,(F29-B17)&gt;=0),0.5*((F29-B16)+(F29-B17))*ABS(A17-A16),IF((F29-B16)&gt;0,0.5*(F29-B16)*ABS((A16+((F29-B16)/((F29-B16)-(F29-B17)))*(A17-A16))-A16),0.5*(F29-B17)*ABS(A17-(A16+((F29-B16)/((F29-B16)-(F29-B17)))*(A17-A16)))))))+(IF(AND((F29-B17)&lt;=0,(F29-B18)&lt;=0),0,IF(AND((F29-B17)&gt;=0,(F29-B18)&gt;=0),0.5*((F29-B17)+(F29-B18))*ABS(A18-A17),IF((F29-B17)&gt;0,0.5*(F29-B17)*ABS((A17+((F29-B17)/((F29-B17)-(F29-B18)))*(A18-A17))-A17),0.5*(F29-B18)*ABS(A18-(A17+((F29-B17)/((F29-B17)-(F29-B18)))*(A18-A17)))))))</f>
        <v/>
      </c>
      <c r="H29">
        <f>(IF(AND((F29-B10)&lt;=0,(F29-B11)&lt;=0),0,IF(AND((F29-B10)&gt;=0,(F29-B11)&gt;=0),SQRT((A11-A10)^2+(B11-B10)^2),IF((F29-B10)&gt;0,SQRT(((A10+((F29-B10)/((F29-B10)-(F29-B11)))*(A11-A10))-A10)^2+(F29-B10)^2),SQRT((A11-(A10+((F29-B10)/((F29-B10)-(F29-B11)))*(A11-A10)))^2+(F29-B11)^2)))))+(IF(AND((F29-B11)&lt;=0,(F29-B12)&lt;=0),0,IF(AND((F29-B11)&gt;=0,(F29-B12)&gt;=0),SQRT((A12-A11)^2+(B12-B11)^2),IF((F29-B11)&gt;0,SQRT(((A11+((F29-B11)/((F29-B11)-(F29-B12)))*(A12-A11))-A11)^2+(F29-B11)^2),SQRT((A12-(A11+((F29-B11)/((F29-B11)-(F29-B12)))*(A12-A11)))^2+(F29-B12)^2)))))+(IF(AND((F29-B12)&lt;=0,(F29-B13)&lt;=0),0,IF(AND((F29-B12)&gt;=0,(F29-B13)&gt;=0),SQRT((A13-A12)^2+(B13-B12)^2),IF((F29-B12)&gt;0,SQRT(((A12+((F29-B12)/((F29-B12)-(F29-B13)))*(A13-A12))-A12)^2+(F29-B12)^2),SQRT((A13-(A12+((F29-B12)/((F29-B12)-(F29-B13)))*(A13-A12)))^2+(F29-B13)^2)))))+(IF(AND((F29-B13)&lt;=0,(F29-B14)&lt;=0),0,IF(AND((F29-B13)&gt;=0,(F29-B14)&gt;=0),SQRT((A14-A13)^2+(B14-B13)^2),IF((F29-B13)&gt;0,SQRT(((A13+((F29-B13)/((F29-B13)-(F29-B14)))*(A14-A13))-A13)^2+(F29-B13)^2),SQRT((A14-(A13+((F29-B13)/((F29-B13)-(F29-B14)))*(A14-A13)))^2+(F29-B14)^2)))))+(IF(AND((F29-B14)&lt;=0,(F29-B15)&lt;=0),0,IF(AND((F29-B14)&gt;=0,(F29-B15)&gt;=0),SQRT((A15-A14)^2+(B15-B14)^2),IF((F29-B14)&gt;0,SQRT(((A14+((F29-B14)/((F29-B14)-(F29-B15)))*(A15-A14))-A14)^2+(F29-B14)^2),SQRT((A15-(A14+((F29-B14)/((F29-B14)-(F29-B15)))*(A15-A14)))^2+(F29-B15)^2)))))+(IF(AND((F29-B15)&lt;=0,(F29-B16)&lt;=0),0,IF(AND((F29-B15)&gt;=0,(F29-B16)&gt;=0),SQRT((A16-A15)^2+(B16-B15)^2),IF((F29-B15)&gt;0,SQRT(((A15+((F29-B15)/((F29-B15)-(F29-B16)))*(A16-A15))-A15)^2+(F29-B15)^2),SQRT((A16-(A15+((F29-B15)/((F29-B15)-(F29-B16)))*(A16-A15)))^2+(F29-B16)^2)))))+(IF(AND((F29-B16)&lt;=0,(F29-B17)&lt;=0),0,IF(AND((F29-B16)&gt;=0,(F29-B17)&gt;=0),SQRT((A17-A16)^2+(B17-B16)^2),IF((F29-B16)&gt;0,SQRT(((A16+((F29-B16)/((F29-B16)-(F29-B17)))*(A17-A16))-A16)^2+(F29-B16)^2),SQRT((A17-(A16+((F29-B16)/((F29-B16)-(F29-B17)))*(A17-A16)))^2+(F29-B17)^2)))))+(IF(AND((F29-B17)&lt;=0,(F29-B18)&lt;=0),0,IF(AND((F29-B17)&gt;=0,(F29-B18)&gt;=0),SQRT((A18-A17)^2+(B18-B17)^2),IF((F29-B17)&gt;0,SQRT(((A17+((F29-B17)/((F29-B17)-(F29-B18)))*(A18-A17))-A17)^2+(F29-B17)^2),SQRT((A18-(A17+((F29-B17)/((F29-B17)-(F29-B18)))*(A18-A17)))^2+(F29-B18)^2)))))</f>
        <v/>
      </c>
      <c r="I29">
        <f>IF(OR($B$4&lt;=0,G29&lt;=0,H29&lt;=0,$B$5&lt;=0),0,(1/$B$4)*G29*((G29/H29)^(2/3))*SQRT($B$5))</f>
        <v/>
      </c>
    </row>
    <row r="30">
      <c r="D30">
        <f>IF(I29&lt;$B$3,F29,D29)</f>
        <v/>
      </c>
      <c r="E30">
        <f>IF(I29&lt;$B$3,E29,F29)</f>
        <v/>
      </c>
      <c r="F30">
        <f>(D30+E30)/2</f>
        <v/>
      </c>
      <c r="G30">
        <f>(IF(AND((F30-B10)&lt;=0,(F30-B11)&lt;=0),0,IF(AND((F30-B10)&gt;=0,(F30-B11)&gt;=0),0.5*((F30-B10)+(F30-B11))*ABS(A11-A10),IF((F30-B10)&gt;0,0.5*(F30-B10)*ABS((A10+((F30-B10)/((F30-B10)-(F30-B11)))*(A11-A10))-A10),0.5*(F30-B11)*ABS(A11-(A10+((F30-B10)/((F30-B10)-(F30-B11)))*(A11-A10)))))))+(IF(AND((F30-B11)&lt;=0,(F30-B12)&lt;=0),0,IF(AND((F30-B11)&gt;=0,(F30-B12)&gt;=0),0.5*((F30-B11)+(F30-B12))*ABS(A12-A11),IF((F30-B11)&gt;0,0.5*(F30-B11)*ABS((A11+((F30-B11)/((F30-B11)-(F30-B12)))*(A12-A11))-A11),0.5*(F30-B12)*ABS(A12-(A11+((F30-B11)/((F30-B11)-(F30-B12)))*(A12-A11)))))))+(IF(AND((F30-B12)&lt;=0,(F30-B13)&lt;=0),0,IF(AND((F30-B12)&gt;=0,(F30-B13)&gt;=0),0.5*((F30-B12)+(F30-B13))*ABS(A13-A12),IF((F30-B12)&gt;0,0.5*(F30-B12)*ABS((A12+((F30-B12)/((F30-B12)-(F30-B13)))*(A13-A12))-A12),0.5*(F30-B13)*ABS(A13-(A12+((F30-B12)/((F30-B12)-(F30-B13)))*(A13-A12)))))))+(IF(AND((F30-B13)&lt;=0,(F30-B14)&lt;=0),0,IF(AND((F30-B13)&gt;=0,(F30-B14)&gt;=0),0.5*((F30-B13)+(F30-B14))*ABS(A14-A13),IF((F30-B13)&gt;0,0.5*(F30-B13)*ABS((A13+((F30-B13)/((F30-B13)-(F30-B14)))*(A14-A13))-A13),0.5*(F30-B14)*ABS(A14-(A13+((F30-B13)/((F30-B13)-(F30-B14)))*(A14-A13)))))))+(IF(AND((F30-B14)&lt;=0,(F30-B15)&lt;=0),0,IF(AND((F30-B14)&gt;=0,(F30-B15)&gt;=0),0.5*((F30-B14)+(F30-B15))*ABS(A15-A14),IF((F30-B14)&gt;0,0.5*(F30-B14)*ABS((A14+((F30-B14)/((F30-B14)-(F30-B15)))*(A15-A14))-A14),0.5*(F30-B15)*ABS(A15-(A14+((F30-B14)/((F30-B14)-(F30-B15)))*(A15-A14)))))))+(IF(AND((F30-B15)&lt;=0,(F30-B16)&lt;=0),0,IF(AND((F30-B15)&gt;=0,(F30-B16)&gt;=0),0.5*((F30-B15)+(F30-B16))*ABS(A16-A15),IF((F30-B15)&gt;0,0.5*(F30-B15)*ABS((A15+((F30-B15)/((F30-B15)-(F30-B16)))*(A16-A15))-A15),0.5*(F30-B16)*ABS(A16-(A15+((F30-B15)/((F30-B15)-(F30-B16)))*(A16-A15)))))))+(IF(AND((F30-B16)&lt;=0,(F30-B17)&lt;=0),0,IF(AND((F30-B16)&gt;=0,(F30-B17)&gt;=0),0.5*((F30-B16)+(F30-B17))*ABS(A17-A16),IF((F30-B16)&gt;0,0.5*(F30-B16)*ABS((A16+((F30-B16)/((F30-B16)-(F30-B17)))*(A17-A16))-A16),0.5*(F30-B17)*ABS(A17-(A16+((F30-B16)/((F30-B16)-(F30-B17)))*(A17-A16)))))))+(IF(AND((F30-B17)&lt;=0,(F30-B18)&lt;=0),0,IF(AND((F30-B17)&gt;=0,(F30-B18)&gt;=0),0.5*((F30-B17)+(F30-B18))*ABS(A18-A17),IF((F30-B17)&gt;0,0.5*(F30-B17)*ABS((A17+((F30-B17)/((F30-B17)-(F30-B18)))*(A18-A17))-A17),0.5*(F30-B18)*ABS(A18-(A17+((F30-B17)/((F30-B17)-(F30-B18)))*(A18-A17)))))))</f>
        <v/>
      </c>
      <c r="H30">
        <f>(IF(AND((F30-B10)&lt;=0,(F30-B11)&lt;=0),0,IF(AND((F30-B10)&gt;=0,(F30-B11)&gt;=0),SQRT((A11-A10)^2+(B11-B10)^2),IF((F30-B10)&gt;0,SQRT(((A10+((F30-B10)/((F30-B10)-(F30-B11)))*(A11-A10))-A10)^2+(F30-B10)^2),SQRT((A11-(A10+((F30-B10)/((F30-B10)-(F30-B11)))*(A11-A10)))^2+(F30-B11)^2)))))+(IF(AND((F30-B11)&lt;=0,(F30-B12)&lt;=0),0,IF(AND((F30-B11)&gt;=0,(F30-B12)&gt;=0),SQRT((A12-A11)^2+(B12-B11)^2),IF((F30-B11)&gt;0,SQRT(((A11+((F30-B11)/((F30-B11)-(F30-B12)))*(A12-A11))-A11)^2+(F30-B11)^2),SQRT((A12-(A11+((F30-B11)/((F30-B11)-(F30-B12)))*(A12-A11)))^2+(F30-B12)^2)))))+(IF(AND((F30-B12)&lt;=0,(F30-B13)&lt;=0),0,IF(AND((F30-B12)&gt;=0,(F30-B13)&gt;=0),SQRT((A13-A12)^2+(B13-B12)^2),IF((F30-B12)&gt;0,SQRT(((A12+((F30-B12)/((F30-B12)-(F30-B13)))*(A13-A12))-A12)^2+(F30-B12)^2),SQRT((A13-(A12+((F30-B12)/((F30-B12)-(F30-B13)))*(A13-A12)))^2+(F30-B13)^2)))))+(IF(AND((F30-B13)&lt;=0,(F30-B14)&lt;=0),0,IF(AND((F30-B13)&gt;=0,(F30-B14)&gt;=0),SQRT((A14-A13)^2+(B14-B13)^2),IF((F30-B13)&gt;0,SQRT(((A13+((F30-B13)/((F30-B13)-(F30-B14)))*(A14-A13))-A13)^2+(F30-B13)^2),SQRT((A14-(A13+((F30-B13)/((F30-B13)-(F30-B14)))*(A14-A13)))^2+(F30-B14)^2)))))+(IF(AND((F30-B14)&lt;=0,(F30-B15)&lt;=0),0,IF(AND((F30-B14)&gt;=0,(F30-B15)&gt;=0),SQRT((A15-A14)^2+(B15-B14)^2),IF((F30-B14)&gt;0,SQRT(((A14+((F30-B14)/((F30-B14)-(F30-B15)))*(A15-A14))-A14)^2+(F30-B14)^2),SQRT((A15-(A14+((F30-B14)/((F30-B14)-(F30-B15)))*(A15-A14)))^2+(F30-B15)^2)))))+(IF(AND((F30-B15)&lt;=0,(F30-B16)&lt;=0),0,IF(AND((F30-B15)&gt;=0,(F30-B16)&gt;=0),SQRT((A16-A15)^2+(B16-B15)^2),IF((F30-B15)&gt;0,SQRT(((A15+((F30-B15)/((F30-B15)-(F30-B16)))*(A16-A15))-A15)^2+(F30-B15)^2),SQRT((A16-(A15+((F30-B15)/((F30-B15)-(F30-B16)))*(A16-A15)))^2+(F30-B16)^2)))))+(IF(AND((F30-B16)&lt;=0,(F30-B17)&lt;=0),0,IF(AND((F30-B16)&gt;=0,(F30-B17)&gt;=0),SQRT((A17-A16)^2+(B17-B16)^2),IF((F30-B16)&gt;0,SQRT(((A16+((F30-B16)/((F30-B16)-(F30-B17)))*(A17-A16))-A16)^2+(F30-B16)^2),SQRT((A17-(A16+((F30-B16)/((F30-B16)-(F30-B17)))*(A17-A16)))^2+(F30-B17)^2)))))+(IF(AND((F30-B17)&lt;=0,(F30-B18)&lt;=0),0,IF(AND((F30-B17)&gt;=0,(F30-B18)&gt;=0),SQRT((A18-A17)^2+(B18-B17)^2),IF((F30-B17)&gt;0,SQRT(((A17+((F30-B17)/((F30-B17)-(F30-B18)))*(A18-A17))-A17)^2+(F30-B17)^2),SQRT((A18-(A17+((F30-B17)/((F30-B17)-(F30-B18)))*(A18-A17)))^2+(F30-B18)^2)))))</f>
        <v/>
      </c>
      <c r="I30">
        <f>IF(OR($B$4&lt;=0,G30&lt;=0,H30&lt;=0,$B$5&lt;=0),0,(1/$B$4)*G30*((G30/H30)^(2/3))*SQRT($B$5))</f>
        <v/>
      </c>
    </row>
    <row r="31">
      <c r="D31">
        <f>IF(I30&lt;$B$3,F30,D30)</f>
        <v/>
      </c>
      <c r="E31">
        <f>IF(I30&lt;$B$3,E30,F30)</f>
        <v/>
      </c>
      <c r="F31">
        <f>(D31+E31)/2</f>
        <v/>
      </c>
      <c r="G31">
        <f>(IF(AND((F31-B10)&lt;=0,(F31-B11)&lt;=0),0,IF(AND((F31-B10)&gt;=0,(F31-B11)&gt;=0),0.5*((F31-B10)+(F31-B11))*ABS(A11-A10),IF((F31-B10)&gt;0,0.5*(F31-B10)*ABS((A10+((F31-B10)/((F31-B10)-(F31-B11)))*(A11-A10))-A10),0.5*(F31-B11)*ABS(A11-(A10+((F31-B10)/((F31-B10)-(F31-B11)))*(A11-A10)))))))+(IF(AND((F31-B11)&lt;=0,(F31-B12)&lt;=0),0,IF(AND((F31-B11)&gt;=0,(F31-B12)&gt;=0),0.5*((F31-B11)+(F31-B12))*ABS(A12-A11),IF((F31-B11)&gt;0,0.5*(F31-B11)*ABS((A11+((F31-B11)/((F31-B11)-(F31-B12)))*(A12-A11))-A11),0.5*(F31-B12)*ABS(A12-(A11+((F31-B11)/((F31-B11)-(F31-B12)))*(A12-A11)))))))+(IF(AND((F31-B12)&lt;=0,(F31-B13)&lt;=0),0,IF(AND((F31-B12)&gt;=0,(F31-B13)&gt;=0),0.5*((F31-B12)+(F31-B13))*ABS(A13-A12),IF((F31-B12)&gt;0,0.5*(F31-B12)*ABS((A12+((F31-B12)/((F31-B12)-(F31-B13)))*(A13-A12))-A12),0.5*(F31-B13)*ABS(A13-(A12+((F31-B12)/((F31-B12)-(F31-B13)))*(A13-A12)))))))+(IF(AND((F31-B13)&lt;=0,(F31-B14)&lt;=0),0,IF(AND((F31-B13)&gt;=0,(F31-B14)&gt;=0),0.5*((F31-B13)+(F31-B14))*ABS(A14-A13),IF((F31-B13)&gt;0,0.5*(F31-B13)*ABS((A13+((F31-B13)/((F31-B13)-(F31-B14)))*(A14-A13))-A13),0.5*(F31-B14)*ABS(A14-(A13+((F31-B13)/((F31-B13)-(F31-B14)))*(A14-A13)))))))+(IF(AND((F31-B14)&lt;=0,(F31-B15)&lt;=0),0,IF(AND((F31-B14)&gt;=0,(F31-B15)&gt;=0),0.5*((F31-B14)+(F31-B15))*ABS(A15-A14),IF((F31-B14)&gt;0,0.5*(F31-B14)*ABS((A14+((F31-B14)/((F31-B14)-(F31-B15)))*(A15-A14))-A14),0.5*(F31-B15)*ABS(A15-(A14+((F31-B14)/((F31-B14)-(F31-B15)))*(A15-A14)))))))+(IF(AND((F31-B15)&lt;=0,(F31-B16)&lt;=0),0,IF(AND((F31-B15)&gt;=0,(F31-B16)&gt;=0),0.5*((F31-B15)+(F31-B16))*ABS(A16-A15),IF((F31-B15)&gt;0,0.5*(F31-B15)*ABS((A15+((F31-B15)/((F31-B15)-(F31-B16)))*(A16-A15))-A15),0.5*(F31-B16)*ABS(A16-(A15+((F31-B15)/((F31-B15)-(F31-B16)))*(A16-A15)))))))+(IF(AND((F31-B16)&lt;=0,(F31-B17)&lt;=0),0,IF(AND((F31-B16)&gt;=0,(F31-B17)&gt;=0),0.5*((F31-B16)+(F31-B17))*ABS(A17-A16),IF((F31-B16)&gt;0,0.5*(F31-B16)*ABS((A16+((F31-B16)/((F31-B16)-(F31-B17)))*(A17-A16))-A16),0.5*(F31-B17)*ABS(A17-(A16+((F31-B16)/((F31-B16)-(F31-B17)))*(A17-A16)))))))+(IF(AND((F31-B17)&lt;=0,(F31-B18)&lt;=0),0,IF(AND((F31-B17)&gt;=0,(F31-B18)&gt;=0),0.5*((F31-B17)+(F31-B18))*ABS(A18-A17),IF((F31-B17)&gt;0,0.5*(F31-B17)*ABS((A17+((F31-B17)/((F31-B17)-(F31-B18)))*(A18-A17))-A17),0.5*(F31-B18)*ABS(A18-(A17+((F31-B17)/((F31-B17)-(F31-B18)))*(A18-A17)))))))</f>
        <v/>
      </c>
      <c r="H31">
        <f>(IF(AND((F31-B10)&lt;=0,(F31-B11)&lt;=0),0,IF(AND((F31-B10)&gt;=0,(F31-B11)&gt;=0),SQRT((A11-A10)^2+(B11-B10)^2),IF((F31-B10)&gt;0,SQRT(((A10+((F31-B10)/((F31-B10)-(F31-B11)))*(A11-A10))-A10)^2+(F31-B10)^2),SQRT((A11-(A10+((F31-B10)/((F31-B10)-(F31-B11)))*(A11-A10)))^2+(F31-B11)^2)))))+(IF(AND((F31-B11)&lt;=0,(F31-B12)&lt;=0),0,IF(AND((F31-B11)&gt;=0,(F31-B12)&gt;=0),SQRT((A12-A11)^2+(B12-B11)^2),IF((F31-B11)&gt;0,SQRT(((A11+((F31-B11)/((F31-B11)-(F31-B12)))*(A12-A11))-A11)^2+(F31-B11)^2),SQRT((A12-(A11+((F31-B11)/((F31-B11)-(F31-B12)))*(A12-A11)))^2+(F31-B12)^2)))))+(IF(AND((F31-B12)&lt;=0,(F31-B13)&lt;=0),0,IF(AND((F31-B12)&gt;=0,(F31-B13)&gt;=0),SQRT((A13-A12)^2+(B13-B12)^2),IF((F31-B12)&gt;0,SQRT(((A12+((F31-B12)/((F31-B12)-(F31-B13)))*(A13-A12))-A12)^2+(F31-B12)^2),SQRT((A13-(A12+((F31-B12)/((F31-B12)-(F31-B13)))*(A13-A12)))^2+(F31-B13)^2)))))+(IF(AND((F31-B13)&lt;=0,(F31-B14)&lt;=0),0,IF(AND((F31-B13)&gt;=0,(F31-B14)&gt;=0),SQRT((A14-A13)^2+(B14-B13)^2),IF((F31-B13)&gt;0,SQRT(((A13+((F31-B13)/((F31-B13)-(F31-B14)))*(A14-A13))-A13)^2+(F31-B13)^2),SQRT((A14-(A13+((F31-B13)/((F31-B13)-(F31-B14)))*(A14-A13)))^2+(F31-B14)^2)))))+(IF(AND((F31-B14)&lt;=0,(F31-B15)&lt;=0),0,IF(AND((F31-B14)&gt;=0,(F31-B15)&gt;=0),SQRT((A15-A14)^2+(B15-B14)^2),IF((F31-B14)&gt;0,SQRT(((A14+((F31-B14)/((F31-B14)-(F31-B15)))*(A15-A14))-A14)^2+(F31-B14)^2),SQRT((A15-(A14+((F31-B14)/((F31-B14)-(F31-B15)))*(A15-A14)))^2+(F31-B15)^2)))))+(IF(AND((F31-B15)&lt;=0,(F31-B16)&lt;=0),0,IF(AND((F31-B15)&gt;=0,(F31-B16)&gt;=0),SQRT((A16-A15)^2+(B16-B15)^2),IF((F31-B15)&gt;0,SQRT(((A15+((F31-B15)/((F31-B15)-(F31-B16)))*(A16-A15))-A15)^2+(F31-B15)^2),SQRT((A16-(A15+((F31-B15)/((F31-B15)-(F31-B16)))*(A16-A15)))^2+(F31-B16)^2)))))+(IF(AND((F31-B16)&lt;=0,(F31-B17)&lt;=0),0,IF(AND((F31-B16)&gt;=0,(F31-B17)&gt;=0),SQRT((A17-A16)^2+(B17-B16)^2),IF((F31-B16)&gt;0,SQRT(((A16+((F31-B16)/((F31-B16)-(F31-B17)))*(A17-A16))-A16)^2+(F31-B16)^2),SQRT((A17-(A16+((F31-B16)/((F31-B16)-(F31-B17)))*(A17-A16)))^2+(F31-B17)^2)))))+(IF(AND((F31-B17)&lt;=0,(F31-B18)&lt;=0),0,IF(AND((F31-B17)&gt;=0,(F31-B18)&gt;=0),SQRT((A18-A17)^2+(B18-B17)^2),IF((F31-B17)&gt;0,SQRT(((A17+((F31-B17)/((F31-B17)-(F31-B18)))*(A18-A17))-A17)^2+(F31-B17)^2),SQRT((A18-(A17+((F31-B17)/((F31-B17)-(F31-B18)))*(A18-A17)))^2+(F31-B18)^2)))))</f>
        <v/>
      </c>
      <c r="I31">
        <f>IF(OR($B$4&lt;=0,G31&lt;=0,H31&lt;=0,$B$5&lt;=0),0,(1/$B$4)*G31*((G31/H31)^(2/3))*SQRT($B$5))</f>
        <v/>
      </c>
    </row>
    <row r="32">
      <c r="D32">
        <f>IF(I31&lt;$B$3,F31,D31)</f>
        <v/>
      </c>
      <c r="E32">
        <f>IF(I31&lt;$B$3,E31,F31)</f>
        <v/>
      </c>
      <c r="F32">
        <f>(D32+E32)/2</f>
        <v/>
      </c>
      <c r="G32">
        <f>(IF(AND((F32-B10)&lt;=0,(F32-B11)&lt;=0),0,IF(AND((F32-B10)&gt;=0,(F32-B11)&gt;=0),0.5*((F32-B10)+(F32-B11))*ABS(A11-A10),IF((F32-B10)&gt;0,0.5*(F32-B10)*ABS((A10+((F32-B10)/((F32-B10)-(F32-B11)))*(A11-A10))-A10),0.5*(F32-B11)*ABS(A11-(A10+((F32-B10)/((F32-B10)-(F32-B11)))*(A11-A10)))))))+(IF(AND((F32-B11)&lt;=0,(F32-B12)&lt;=0),0,IF(AND((F32-B11)&gt;=0,(F32-B12)&gt;=0),0.5*((F32-B11)+(F32-B12))*ABS(A12-A11),IF((F32-B11)&gt;0,0.5*(F32-B11)*ABS((A11+((F32-B11)/((F32-B11)-(F32-B12)))*(A12-A11))-A11),0.5*(F32-B12)*ABS(A12-(A11+((F32-B11)/((F32-B11)-(F32-B12)))*(A12-A11)))))))+(IF(AND((F32-B12)&lt;=0,(F32-B13)&lt;=0),0,IF(AND((F32-B12)&gt;=0,(F32-B13)&gt;=0),0.5*((F32-B12)+(F32-B13))*ABS(A13-A12),IF((F32-B12)&gt;0,0.5*(F32-B12)*ABS((A12+((F32-B12)/((F32-B12)-(F32-B13)))*(A13-A12))-A12),0.5*(F32-B13)*ABS(A13-(A12+((F32-B12)/((F32-B12)-(F32-B13)))*(A13-A12)))))))+(IF(AND((F32-B13)&lt;=0,(F32-B14)&lt;=0),0,IF(AND((F32-B13)&gt;=0,(F32-B14)&gt;=0),0.5*((F32-B13)+(F32-B14))*ABS(A14-A13),IF((F32-B13)&gt;0,0.5*(F32-B13)*ABS((A13+((F32-B13)/((F32-B13)-(F32-B14)))*(A14-A13))-A13),0.5*(F32-B14)*ABS(A14-(A13+((F32-B13)/((F32-B13)-(F32-B14)))*(A14-A13)))))))+(IF(AND((F32-B14)&lt;=0,(F32-B15)&lt;=0),0,IF(AND((F32-B14)&gt;=0,(F32-B15)&gt;=0),0.5*((F32-B14)+(F32-B15))*ABS(A15-A14),IF((F32-B14)&gt;0,0.5*(F32-B14)*ABS((A14+((F32-B14)/((F32-B14)-(F32-B15)))*(A15-A14))-A14),0.5*(F32-B15)*ABS(A15-(A14+((F32-B14)/((F32-B14)-(F32-B15)))*(A15-A14)))))))+(IF(AND((F32-B15)&lt;=0,(F32-B16)&lt;=0),0,IF(AND((F32-B15)&gt;=0,(F32-B16)&gt;=0),0.5*((F32-B15)+(F32-B16))*ABS(A16-A15),IF((F32-B15)&gt;0,0.5*(F32-B15)*ABS((A15+((F32-B15)/((F32-B15)-(F32-B16)))*(A16-A15))-A15),0.5*(F32-B16)*ABS(A16-(A15+((F32-B15)/((F32-B15)-(F32-B16)))*(A16-A15)))))))+(IF(AND((F32-B16)&lt;=0,(F32-B17)&lt;=0),0,IF(AND((F32-B16)&gt;=0,(F32-B17)&gt;=0),0.5*((F32-B16)+(F32-B17))*ABS(A17-A16),IF((F32-B16)&gt;0,0.5*(F32-B16)*ABS((A16+((F32-B16)/((F32-B16)-(F32-B17)))*(A17-A16))-A16),0.5*(F32-B17)*ABS(A17-(A16+((F32-B16)/((F32-B16)-(F32-B17)))*(A17-A16)))))))+(IF(AND((F32-B17)&lt;=0,(F32-B18)&lt;=0),0,IF(AND((F32-B17)&gt;=0,(F32-B18)&gt;=0),0.5*((F32-B17)+(F32-B18))*ABS(A18-A17),IF((F32-B17)&gt;0,0.5*(F32-B17)*ABS((A17+((F32-B17)/((F32-B17)-(F32-B18)))*(A18-A17))-A17),0.5*(F32-B18)*ABS(A18-(A17+((F32-B17)/((F32-B17)-(F32-B18)))*(A18-A17)))))))</f>
        <v/>
      </c>
      <c r="H32">
        <f>(IF(AND((F32-B10)&lt;=0,(F32-B11)&lt;=0),0,IF(AND((F32-B10)&gt;=0,(F32-B11)&gt;=0),SQRT((A11-A10)^2+(B11-B10)^2),IF((F32-B10)&gt;0,SQRT(((A10+((F32-B10)/((F32-B10)-(F32-B11)))*(A11-A10))-A10)^2+(F32-B10)^2),SQRT((A11-(A10+((F32-B10)/((F32-B10)-(F32-B11)))*(A11-A10)))^2+(F32-B11)^2)))))+(IF(AND((F32-B11)&lt;=0,(F32-B12)&lt;=0),0,IF(AND((F32-B11)&gt;=0,(F32-B12)&gt;=0),SQRT((A12-A11)^2+(B12-B11)^2),IF((F32-B11)&gt;0,SQRT(((A11+((F32-B11)/((F32-B11)-(F32-B12)))*(A12-A11))-A11)^2+(F32-B11)^2),SQRT((A12-(A11+((F32-B11)/((F32-B11)-(F32-B12)))*(A12-A11)))^2+(F32-B12)^2)))))+(IF(AND((F32-B12)&lt;=0,(F32-B13)&lt;=0),0,IF(AND((F32-B12)&gt;=0,(F32-B13)&gt;=0),SQRT((A13-A12)^2+(B13-B12)^2),IF((F32-B12)&gt;0,SQRT(((A12+((F32-B12)/((F32-B12)-(F32-B13)))*(A13-A12))-A12)^2+(F32-B12)^2),SQRT((A13-(A12+((F32-B12)/((F32-B12)-(F32-B13)))*(A13-A12)))^2+(F32-B13)^2)))))+(IF(AND((F32-B13)&lt;=0,(F32-B14)&lt;=0),0,IF(AND((F32-B13)&gt;=0,(F32-B14)&gt;=0),SQRT((A14-A13)^2+(B14-B13)^2),IF((F32-B13)&gt;0,SQRT(((A13+((F32-B13)/((F32-B13)-(F32-B14)))*(A14-A13))-A13)^2+(F32-B13)^2),SQRT((A14-(A13+((F32-B13)/((F32-B13)-(F32-B14)))*(A14-A13)))^2+(F32-B14)^2)))))+(IF(AND((F32-B14)&lt;=0,(F32-B15)&lt;=0),0,IF(AND((F32-B14)&gt;=0,(F32-B15)&gt;=0),SQRT((A15-A14)^2+(B15-B14)^2),IF((F32-B14)&gt;0,SQRT(((A14+((F32-B14)/((F32-B14)-(F32-B15)))*(A15-A14))-A14)^2+(F32-B14)^2),SQRT((A15-(A14+((F32-B14)/((F32-B14)-(F32-B15)))*(A15-A14)))^2+(F32-B15)^2)))))+(IF(AND((F32-B15)&lt;=0,(F32-B16)&lt;=0),0,IF(AND((F32-B15)&gt;=0,(F32-B16)&gt;=0),SQRT((A16-A15)^2+(B16-B15)^2),IF((F32-B15)&gt;0,SQRT(((A15+((F32-B15)/((F32-B15)-(F32-B16)))*(A16-A15))-A15)^2+(F32-B15)^2),SQRT((A16-(A15+((F32-B15)/((F32-B15)-(F32-B16)))*(A16-A15)))^2+(F32-B16)^2)))))+(IF(AND((F32-B16)&lt;=0,(F32-B17)&lt;=0),0,IF(AND((F32-B16)&gt;=0,(F32-B17)&gt;=0),SQRT((A17-A16)^2+(B17-B16)^2),IF((F32-B16)&gt;0,SQRT(((A16+((F32-B16)/((F32-B16)-(F32-B17)))*(A17-A16))-A16)^2+(F32-B16)^2),SQRT((A17-(A16+((F32-B16)/((F32-B16)-(F32-B17)))*(A17-A16)))^2+(F32-B17)^2)))))+(IF(AND((F32-B17)&lt;=0,(F32-B18)&lt;=0),0,IF(AND((F32-B17)&gt;=0,(F32-B18)&gt;=0),SQRT((A18-A17)^2+(B18-B17)^2),IF((F32-B17)&gt;0,SQRT(((A17+((F32-B17)/((F32-B17)-(F32-B18)))*(A18-A17))-A17)^2+(F32-B17)^2),SQRT((A18-(A17+((F32-B17)/((F32-B17)-(F32-B18)))*(A18-A17)))^2+(F32-B18)^2)))))</f>
        <v/>
      </c>
      <c r="I32">
        <f>IF(OR($B$4&lt;=0,G32&lt;=0,H32&lt;=0,$B$5&lt;=0),0,(1/$B$4)*G32*((G32/H32)^(2/3))*SQRT($B$5))</f>
        <v/>
      </c>
    </row>
    <row r="33">
      <c r="D33">
        <f>IF(I32&lt;$B$3,F32,D32)</f>
        <v/>
      </c>
      <c r="E33">
        <f>IF(I32&lt;$B$3,E32,F32)</f>
        <v/>
      </c>
      <c r="F33">
        <f>(D33+E33)/2</f>
        <v/>
      </c>
      <c r="G33">
        <f>(IF(AND((F33-B10)&lt;=0,(F33-B11)&lt;=0),0,IF(AND((F33-B10)&gt;=0,(F33-B11)&gt;=0),0.5*((F33-B10)+(F33-B11))*ABS(A11-A10),IF((F33-B10)&gt;0,0.5*(F33-B10)*ABS((A10+((F33-B10)/((F33-B10)-(F33-B11)))*(A11-A10))-A10),0.5*(F33-B11)*ABS(A11-(A10+((F33-B10)/((F33-B10)-(F33-B11)))*(A11-A10)))))))+(IF(AND((F33-B11)&lt;=0,(F33-B12)&lt;=0),0,IF(AND((F33-B11)&gt;=0,(F33-B12)&gt;=0),0.5*((F33-B11)+(F33-B12))*ABS(A12-A11),IF((F33-B11)&gt;0,0.5*(F33-B11)*ABS((A11+((F33-B11)/((F33-B11)-(F33-B12)))*(A12-A11))-A11),0.5*(F33-B12)*ABS(A12-(A11+((F33-B11)/((F33-B11)-(F33-B12)))*(A12-A11)))))))+(IF(AND((F33-B12)&lt;=0,(F33-B13)&lt;=0),0,IF(AND((F33-B12)&gt;=0,(F33-B13)&gt;=0),0.5*((F33-B12)+(F33-B13))*ABS(A13-A12),IF((F33-B12)&gt;0,0.5*(F33-B12)*ABS((A12+((F33-B12)/((F33-B12)-(F33-B13)))*(A13-A12))-A12),0.5*(F33-B13)*ABS(A13-(A12+((F33-B12)/((F33-B12)-(F33-B13)))*(A13-A12)))))))+(IF(AND((F33-B13)&lt;=0,(F33-B14)&lt;=0),0,IF(AND((F33-B13)&gt;=0,(F33-B14)&gt;=0),0.5*((F33-B13)+(F33-B14))*ABS(A14-A13),IF((F33-B13)&gt;0,0.5*(F33-B13)*ABS((A13+((F33-B13)/((F33-B13)-(F33-B14)))*(A14-A13))-A13),0.5*(F33-B14)*ABS(A14-(A13+((F33-B13)/((F33-B13)-(F33-B14)))*(A14-A13)))))))+(IF(AND((F33-B14)&lt;=0,(F33-B15)&lt;=0),0,IF(AND((F33-B14)&gt;=0,(F33-B15)&gt;=0),0.5*((F33-B14)+(F33-B15))*ABS(A15-A14),IF((F33-B14)&gt;0,0.5*(F33-B14)*ABS((A14+((F33-B14)/((F33-B14)-(F33-B15)))*(A15-A14))-A14),0.5*(F33-B15)*ABS(A15-(A14+((F33-B14)/((F33-B14)-(F33-B15)))*(A15-A14)))))))+(IF(AND((F33-B15)&lt;=0,(F33-B16)&lt;=0),0,IF(AND((F33-B15)&gt;=0,(F33-B16)&gt;=0),0.5*((F33-B15)+(F33-B16))*ABS(A16-A15),IF((F33-B15)&gt;0,0.5*(F33-B15)*ABS((A15+((F33-B15)/((F33-B15)-(F33-B16)))*(A16-A15))-A15),0.5*(F33-B16)*ABS(A16-(A15+((F33-B15)/((F33-B15)-(F33-B16)))*(A16-A15)))))))+(IF(AND((F33-B16)&lt;=0,(F33-B17)&lt;=0),0,IF(AND((F33-B16)&gt;=0,(F33-B17)&gt;=0),0.5*((F33-B16)+(F33-B17))*ABS(A17-A16),IF((F33-B16)&gt;0,0.5*(F33-B16)*ABS((A16+((F33-B16)/((F33-B16)-(F33-B17)))*(A17-A16))-A16),0.5*(F33-B17)*ABS(A17-(A16+((F33-B16)/((F33-B16)-(F33-B17)))*(A17-A16)))))))+(IF(AND((F33-B17)&lt;=0,(F33-B18)&lt;=0),0,IF(AND((F33-B17)&gt;=0,(F33-B18)&gt;=0),0.5*((F33-B17)+(F33-B18))*ABS(A18-A17),IF((F33-B17)&gt;0,0.5*(F33-B17)*ABS((A17+((F33-B17)/((F33-B17)-(F33-B18)))*(A18-A17))-A17),0.5*(F33-B18)*ABS(A18-(A17+((F33-B17)/((F33-B17)-(F33-B18)))*(A18-A17)))))))</f>
        <v/>
      </c>
      <c r="H33">
        <f>(IF(AND((F33-B10)&lt;=0,(F33-B11)&lt;=0),0,IF(AND((F33-B10)&gt;=0,(F33-B11)&gt;=0),SQRT((A11-A10)^2+(B11-B10)^2),IF((F33-B10)&gt;0,SQRT(((A10+((F33-B10)/((F33-B10)-(F33-B11)))*(A11-A10))-A10)^2+(F33-B10)^2),SQRT((A11-(A10+((F33-B10)/((F33-B10)-(F33-B11)))*(A11-A10)))^2+(F33-B11)^2)))))+(IF(AND((F33-B11)&lt;=0,(F33-B12)&lt;=0),0,IF(AND((F33-B11)&gt;=0,(F33-B12)&gt;=0),SQRT((A12-A11)^2+(B12-B11)^2),IF((F33-B11)&gt;0,SQRT(((A11+((F33-B11)/((F33-B11)-(F33-B12)))*(A12-A11))-A11)^2+(F33-B11)^2),SQRT((A12-(A11+((F33-B11)/((F33-B11)-(F33-B12)))*(A12-A11)))^2+(F33-B12)^2)))))+(IF(AND((F33-B12)&lt;=0,(F33-B13)&lt;=0),0,IF(AND((F33-B12)&gt;=0,(F33-B13)&gt;=0),SQRT((A13-A12)^2+(B13-B12)^2),IF((F33-B12)&gt;0,SQRT(((A12+((F33-B12)/((F33-B12)-(F33-B13)))*(A13-A12))-A12)^2+(F33-B12)^2),SQRT((A13-(A12+((F33-B12)/((F33-B12)-(F33-B13)))*(A13-A12)))^2+(F33-B13)^2)))))+(IF(AND((F33-B13)&lt;=0,(F33-B14)&lt;=0),0,IF(AND((F33-B13)&gt;=0,(F33-B14)&gt;=0),SQRT((A14-A13)^2+(B14-B13)^2),IF((F33-B13)&gt;0,SQRT(((A13+((F33-B13)/((F33-B13)-(F33-B14)))*(A14-A13))-A13)^2+(F33-B13)^2),SQRT((A14-(A13+((F33-B13)/((F33-B13)-(F33-B14)))*(A14-A13)))^2+(F33-B14)^2)))))+(IF(AND((F33-B14)&lt;=0,(F33-B15)&lt;=0),0,IF(AND((F33-B14)&gt;=0,(F33-B15)&gt;=0),SQRT((A15-A14)^2+(B15-B14)^2),IF((F33-B14)&gt;0,SQRT(((A14+((F33-B14)/((F33-B14)-(F33-B15)))*(A15-A14))-A14)^2+(F33-B14)^2),SQRT((A15-(A14+((F33-B14)/((F33-B14)-(F33-B15)))*(A15-A14)))^2+(F33-B15)^2)))))+(IF(AND((F33-B15)&lt;=0,(F33-B16)&lt;=0),0,IF(AND((F33-B15)&gt;=0,(F33-B16)&gt;=0),SQRT((A16-A15)^2+(B16-B15)^2),IF((F33-B15)&gt;0,SQRT(((A15+((F33-B15)/((F33-B15)-(F33-B16)))*(A16-A15))-A15)^2+(F33-B15)^2),SQRT((A16-(A15+((F33-B15)/((F33-B15)-(F33-B16)))*(A16-A15)))^2+(F33-B16)^2)))))+(IF(AND((F33-B16)&lt;=0,(F33-B17)&lt;=0),0,IF(AND((F33-B16)&gt;=0,(F33-B17)&gt;=0),SQRT((A17-A16)^2+(B17-B16)^2),IF((F33-B16)&gt;0,SQRT(((A16+((F33-B16)/((F33-B16)-(F33-B17)))*(A17-A16))-A16)^2+(F33-B16)^2),SQRT((A17-(A16+((F33-B16)/((F33-B16)-(F33-B17)))*(A17-A16)))^2+(F33-B17)^2)))))+(IF(AND((F33-B17)&lt;=0,(F33-B18)&lt;=0),0,IF(AND((F33-B17)&gt;=0,(F33-B18)&gt;=0),SQRT((A18-A17)^2+(B18-B17)^2),IF((F33-B17)&gt;0,SQRT(((A17+((F33-B17)/((F33-B17)-(F33-B18)))*(A18-A17))-A17)^2+(F33-B17)^2),SQRT((A18-(A17+((F33-B17)/((F33-B17)-(F33-B18)))*(A18-A17)))^2+(F33-B18)^2)))))</f>
        <v/>
      </c>
      <c r="I33">
        <f>IF(OR($B$4&lt;=0,G33&lt;=0,H33&lt;=0,$B$5&lt;=0),0,(1/$B$4)*G33*((G33/H33)^(2/3))*SQRT($B$5))</f>
        <v/>
      </c>
    </row>
    <row r="34">
      <c r="D34">
        <f>IF(I33&lt;$B$3,F33,D33)</f>
        <v/>
      </c>
      <c r="E34">
        <f>IF(I33&lt;$B$3,E33,F33)</f>
        <v/>
      </c>
      <c r="F34">
        <f>(D34+E34)/2</f>
        <v/>
      </c>
      <c r="G34">
        <f>(IF(AND((F34-B10)&lt;=0,(F34-B11)&lt;=0),0,IF(AND((F34-B10)&gt;=0,(F34-B11)&gt;=0),0.5*((F34-B10)+(F34-B11))*ABS(A11-A10),IF((F34-B10)&gt;0,0.5*(F34-B10)*ABS((A10+((F34-B10)/((F34-B10)-(F34-B11)))*(A11-A10))-A10),0.5*(F34-B11)*ABS(A11-(A10+((F34-B10)/((F34-B10)-(F34-B11)))*(A11-A10)))))))+(IF(AND((F34-B11)&lt;=0,(F34-B12)&lt;=0),0,IF(AND((F34-B11)&gt;=0,(F34-B12)&gt;=0),0.5*((F34-B11)+(F34-B12))*ABS(A12-A11),IF((F34-B11)&gt;0,0.5*(F34-B11)*ABS((A11+((F34-B11)/((F34-B11)-(F34-B12)))*(A12-A11))-A11),0.5*(F34-B12)*ABS(A12-(A11+((F34-B11)/((F34-B11)-(F34-B12)))*(A12-A11)))))))+(IF(AND((F34-B12)&lt;=0,(F34-B13)&lt;=0),0,IF(AND((F34-B12)&gt;=0,(F34-B13)&gt;=0),0.5*((F34-B12)+(F34-B13))*ABS(A13-A12),IF((F34-B12)&gt;0,0.5*(F34-B12)*ABS((A12+((F34-B12)/((F34-B12)-(F34-B13)))*(A13-A12))-A12),0.5*(F34-B13)*ABS(A13-(A12+((F34-B12)/((F34-B12)-(F34-B13)))*(A13-A12)))))))+(IF(AND((F34-B13)&lt;=0,(F34-B14)&lt;=0),0,IF(AND((F34-B13)&gt;=0,(F34-B14)&gt;=0),0.5*((F34-B13)+(F34-B14))*ABS(A14-A13),IF((F34-B13)&gt;0,0.5*(F34-B13)*ABS((A13+((F34-B13)/((F34-B13)-(F34-B14)))*(A14-A13))-A13),0.5*(F34-B14)*ABS(A14-(A13+((F34-B13)/((F34-B13)-(F34-B14)))*(A14-A13)))))))+(IF(AND((F34-B14)&lt;=0,(F34-B15)&lt;=0),0,IF(AND((F34-B14)&gt;=0,(F34-B15)&gt;=0),0.5*((F34-B14)+(F34-B15))*ABS(A15-A14),IF((F34-B14)&gt;0,0.5*(F34-B14)*ABS((A14+((F34-B14)/((F34-B14)-(F34-B15)))*(A15-A14))-A14),0.5*(F34-B15)*ABS(A15-(A14+((F34-B14)/((F34-B14)-(F34-B15)))*(A15-A14)))))))+(IF(AND((F34-B15)&lt;=0,(F34-B16)&lt;=0),0,IF(AND((F34-B15)&gt;=0,(F34-B16)&gt;=0),0.5*((F34-B15)+(F34-B16))*ABS(A16-A15),IF((F34-B15)&gt;0,0.5*(F34-B15)*ABS((A15+((F34-B15)/((F34-B15)-(F34-B16)))*(A16-A15))-A15),0.5*(F34-B16)*ABS(A16-(A15+((F34-B15)/((F34-B15)-(F34-B16)))*(A16-A15)))))))+(IF(AND((F34-B16)&lt;=0,(F34-B17)&lt;=0),0,IF(AND((F34-B16)&gt;=0,(F34-B17)&gt;=0),0.5*((F34-B16)+(F34-B17))*ABS(A17-A16),IF((F34-B16)&gt;0,0.5*(F34-B16)*ABS((A16+((F34-B16)/((F34-B16)-(F34-B17)))*(A17-A16))-A16),0.5*(F34-B17)*ABS(A17-(A16+((F34-B16)/((F34-B16)-(F34-B17)))*(A17-A16)))))))+(IF(AND((F34-B17)&lt;=0,(F34-B18)&lt;=0),0,IF(AND((F34-B17)&gt;=0,(F34-B18)&gt;=0),0.5*((F34-B17)+(F34-B18))*ABS(A18-A17),IF((F34-B17)&gt;0,0.5*(F34-B17)*ABS((A17+((F34-B17)/((F34-B17)-(F34-B18)))*(A18-A17))-A17),0.5*(F34-B18)*ABS(A18-(A17+((F34-B17)/((F34-B17)-(F34-B18)))*(A18-A17)))))))</f>
        <v/>
      </c>
      <c r="H34">
        <f>(IF(AND((F34-B10)&lt;=0,(F34-B11)&lt;=0),0,IF(AND((F34-B10)&gt;=0,(F34-B11)&gt;=0),SQRT((A11-A10)^2+(B11-B10)^2),IF((F34-B10)&gt;0,SQRT(((A10+((F34-B10)/((F34-B10)-(F34-B11)))*(A11-A10))-A10)^2+(F34-B10)^2),SQRT((A11-(A10+((F34-B10)/((F34-B10)-(F34-B11)))*(A11-A10)))^2+(F34-B11)^2)))))+(IF(AND((F34-B11)&lt;=0,(F34-B12)&lt;=0),0,IF(AND((F34-B11)&gt;=0,(F34-B12)&gt;=0),SQRT((A12-A11)^2+(B12-B11)^2),IF((F34-B11)&gt;0,SQRT(((A11+((F34-B11)/((F34-B11)-(F34-B12)))*(A12-A11))-A11)^2+(F34-B11)^2),SQRT((A12-(A11+((F34-B11)/((F34-B11)-(F34-B12)))*(A12-A11)))^2+(F34-B12)^2)))))+(IF(AND((F34-B12)&lt;=0,(F34-B13)&lt;=0),0,IF(AND((F34-B12)&gt;=0,(F34-B13)&gt;=0),SQRT((A13-A12)^2+(B13-B12)^2),IF((F34-B12)&gt;0,SQRT(((A12+((F34-B12)/((F34-B12)-(F34-B13)))*(A13-A12))-A12)^2+(F34-B12)^2),SQRT((A13-(A12+((F34-B12)/((F34-B12)-(F34-B13)))*(A13-A12)))^2+(F34-B13)^2)))))+(IF(AND((F34-B13)&lt;=0,(F34-B14)&lt;=0),0,IF(AND((F34-B13)&gt;=0,(F34-B14)&gt;=0),SQRT((A14-A13)^2+(B14-B13)^2),IF((F34-B13)&gt;0,SQRT(((A13+((F34-B13)/((F34-B13)-(F34-B14)))*(A14-A13))-A13)^2+(F34-B13)^2),SQRT((A14-(A13+((F34-B13)/((F34-B13)-(F34-B14)))*(A14-A13)))^2+(F34-B14)^2)))))+(IF(AND((F34-B14)&lt;=0,(F34-B15)&lt;=0),0,IF(AND((F34-B14)&gt;=0,(F34-B15)&gt;=0),SQRT((A15-A14)^2+(B15-B14)^2),IF((F34-B14)&gt;0,SQRT(((A14+((F34-B14)/((F34-B14)-(F34-B15)))*(A15-A14))-A14)^2+(F34-B14)^2),SQRT((A15-(A14+((F34-B14)/((F34-B14)-(F34-B15)))*(A15-A14)))^2+(F34-B15)^2)))))+(IF(AND((F34-B15)&lt;=0,(F34-B16)&lt;=0),0,IF(AND((F34-B15)&gt;=0,(F34-B16)&gt;=0),SQRT((A16-A15)^2+(B16-B15)^2),IF((F34-B15)&gt;0,SQRT(((A15+((F34-B15)/((F34-B15)-(F34-B16)))*(A16-A15))-A15)^2+(F34-B15)^2),SQRT((A16-(A15+((F34-B15)/((F34-B15)-(F34-B16)))*(A16-A15)))^2+(F34-B16)^2)))))+(IF(AND((F34-B16)&lt;=0,(F34-B17)&lt;=0),0,IF(AND((F34-B16)&gt;=0,(F34-B17)&gt;=0),SQRT((A17-A16)^2+(B17-B16)^2),IF((F34-B16)&gt;0,SQRT(((A16+((F34-B16)/((F34-B16)-(F34-B17)))*(A17-A16))-A16)^2+(F34-B16)^2),SQRT((A17-(A16+((F34-B16)/((F34-B16)-(F34-B17)))*(A17-A16)))^2+(F34-B17)^2)))))+(IF(AND((F34-B17)&lt;=0,(F34-B18)&lt;=0),0,IF(AND((F34-B17)&gt;=0,(F34-B18)&gt;=0),SQRT((A18-A17)^2+(B18-B17)^2),IF((F34-B17)&gt;0,SQRT(((A17+((F34-B17)/((F34-B17)-(F34-B18)))*(A18-A17))-A17)^2+(F34-B17)^2),SQRT((A18-(A17+((F34-B17)/((F34-B17)-(F34-B18)))*(A18-A17)))^2+(F34-B18)^2)))))</f>
        <v/>
      </c>
      <c r="I34">
        <f>IF(OR($B$4&lt;=0,G34&lt;=0,H34&lt;=0,$B$5&lt;=0),0,(1/$B$4)*G34*((G34/H34)^(2/3))*SQRT($B$5))</f>
        <v/>
      </c>
    </row>
    <row r="35">
      <c r="D35">
        <f>IF(I34&lt;$B$3,F34,D34)</f>
        <v/>
      </c>
      <c r="E35">
        <f>IF(I34&lt;$B$3,E34,F34)</f>
        <v/>
      </c>
      <c r="F35">
        <f>(D35+E35)/2</f>
        <v/>
      </c>
      <c r="G35">
        <f>(IF(AND((F35-B10)&lt;=0,(F35-B11)&lt;=0),0,IF(AND((F35-B10)&gt;=0,(F35-B11)&gt;=0),0.5*((F35-B10)+(F35-B11))*ABS(A11-A10),IF((F35-B10)&gt;0,0.5*(F35-B10)*ABS((A10+((F35-B10)/((F35-B10)-(F35-B11)))*(A11-A10))-A10),0.5*(F35-B11)*ABS(A11-(A10+((F35-B10)/((F35-B10)-(F35-B11)))*(A11-A10)))))))+(IF(AND((F35-B11)&lt;=0,(F35-B12)&lt;=0),0,IF(AND((F35-B11)&gt;=0,(F35-B12)&gt;=0),0.5*((F35-B11)+(F35-B12))*ABS(A12-A11),IF((F35-B11)&gt;0,0.5*(F35-B11)*ABS((A11+((F35-B11)/((F35-B11)-(F35-B12)))*(A12-A11))-A11),0.5*(F35-B12)*ABS(A12-(A11+((F35-B11)/((F35-B11)-(F35-B12)))*(A12-A11)))))))+(IF(AND((F35-B12)&lt;=0,(F35-B13)&lt;=0),0,IF(AND((F35-B12)&gt;=0,(F35-B13)&gt;=0),0.5*((F35-B12)+(F35-B13))*ABS(A13-A12),IF((F35-B12)&gt;0,0.5*(F35-B12)*ABS((A12+((F35-B12)/((F35-B12)-(F35-B13)))*(A13-A12))-A12),0.5*(F35-B13)*ABS(A13-(A12+((F35-B12)/((F35-B12)-(F35-B13)))*(A13-A12)))))))+(IF(AND((F35-B13)&lt;=0,(F35-B14)&lt;=0),0,IF(AND((F35-B13)&gt;=0,(F35-B14)&gt;=0),0.5*((F35-B13)+(F35-B14))*ABS(A14-A13),IF((F35-B13)&gt;0,0.5*(F35-B13)*ABS((A13+((F35-B13)/((F35-B13)-(F35-B14)))*(A14-A13))-A13),0.5*(F35-B14)*ABS(A14-(A13+((F35-B13)/((F35-B13)-(F35-B14)))*(A14-A13)))))))+(IF(AND((F35-B14)&lt;=0,(F35-B15)&lt;=0),0,IF(AND((F35-B14)&gt;=0,(F35-B15)&gt;=0),0.5*((F35-B14)+(F35-B15))*ABS(A15-A14),IF((F35-B14)&gt;0,0.5*(F35-B14)*ABS((A14+((F35-B14)/((F35-B14)-(F35-B15)))*(A15-A14))-A14),0.5*(F35-B15)*ABS(A15-(A14+((F35-B14)/((F35-B14)-(F35-B15)))*(A15-A14)))))))+(IF(AND((F35-B15)&lt;=0,(F35-B16)&lt;=0),0,IF(AND((F35-B15)&gt;=0,(F35-B16)&gt;=0),0.5*((F35-B15)+(F35-B16))*ABS(A16-A15),IF((F35-B15)&gt;0,0.5*(F35-B15)*ABS((A15+((F35-B15)/((F35-B15)-(F35-B16)))*(A16-A15))-A15),0.5*(F35-B16)*ABS(A16-(A15+((F35-B15)/((F35-B15)-(F35-B16)))*(A16-A15)))))))+(IF(AND((F35-B16)&lt;=0,(F35-B17)&lt;=0),0,IF(AND((F35-B16)&gt;=0,(F35-B17)&gt;=0),0.5*((F35-B16)+(F35-B17))*ABS(A17-A16),IF((F35-B16)&gt;0,0.5*(F35-B16)*ABS((A16+((F35-B16)/((F35-B16)-(F35-B17)))*(A17-A16))-A16),0.5*(F35-B17)*ABS(A17-(A16+((F35-B16)/((F35-B16)-(F35-B17)))*(A17-A16)))))))+(IF(AND((F35-B17)&lt;=0,(F35-B18)&lt;=0),0,IF(AND((F35-B17)&gt;=0,(F35-B18)&gt;=0),0.5*((F35-B17)+(F35-B18))*ABS(A18-A17),IF((F35-B17)&gt;0,0.5*(F35-B17)*ABS((A17+((F35-B17)/((F35-B17)-(F35-B18)))*(A18-A17))-A17),0.5*(F35-B18)*ABS(A18-(A17+((F35-B17)/((F35-B17)-(F35-B18)))*(A18-A17)))))))</f>
        <v/>
      </c>
      <c r="H35">
        <f>(IF(AND((F35-B10)&lt;=0,(F35-B11)&lt;=0),0,IF(AND((F35-B10)&gt;=0,(F35-B11)&gt;=0),SQRT((A11-A10)^2+(B11-B10)^2),IF((F35-B10)&gt;0,SQRT(((A10+((F35-B10)/((F35-B10)-(F35-B11)))*(A11-A10))-A10)^2+(F35-B10)^2),SQRT((A11-(A10+((F35-B10)/((F35-B10)-(F35-B11)))*(A11-A10)))^2+(F35-B11)^2)))))+(IF(AND((F35-B11)&lt;=0,(F35-B12)&lt;=0),0,IF(AND((F35-B11)&gt;=0,(F35-B12)&gt;=0),SQRT((A12-A11)^2+(B12-B11)^2),IF((F35-B11)&gt;0,SQRT(((A11+((F35-B11)/((F35-B11)-(F35-B12)))*(A12-A11))-A11)^2+(F35-B11)^2),SQRT((A12-(A11+((F35-B11)/((F35-B11)-(F35-B12)))*(A12-A11)))^2+(F35-B12)^2)))))+(IF(AND((F35-B12)&lt;=0,(F35-B13)&lt;=0),0,IF(AND((F35-B12)&gt;=0,(F35-B13)&gt;=0),SQRT((A13-A12)^2+(B13-B12)^2),IF((F35-B12)&gt;0,SQRT(((A12+((F35-B12)/((F35-B12)-(F35-B13)))*(A13-A12))-A12)^2+(F35-B12)^2),SQRT((A13-(A12+((F35-B12)/((F35-B12)-(F35-B13)))*(A13-A12)))^2+(F35-B13)^2)))))+(IF(AND((F35-B13)&lt;=0,(F35-B14)&lt;=0),0,IF(AND((F35-B13)&gt;=0,(F35-B14)&gt;=0),SQRT((A14-A13)^2+(B14-B13)^2),IF((F35-B13)&gt;0,SQRT(((A13+((F35-B13)/((F35-B13)-(F35-B14)))*(A14-A13))-A13)^2+(F35-B13)^2),SQRT((A14-(A13+((F35-B13)/((F35-B13)-(F35-B14)))*(A14-A13)))^2+(F35-B14)^2)))))+(IF(AND((F35-B14)&lt;=0,(F35-B15)&lt;=0),0,IF(AND((F35-B14)&gt;=0,(F35-B15)&gt;=0),SQRT((A15-A14)^2+(B15-B14)^2),IF((F35-B14)&gt;0,SQRT(((A14+((F35-B14)/((F35-B14)-(F35-B15)))*(A15-A14))-A14)^2+(F35-B14)^2),SQRT((A15-(A14+((F35-B14)/((F35-B14)-(F35-B15)))*(A15-A14)))^2+(F35-B15)^2)))))+(IF(AND((F35-B15)&lt;=0,(F35-B16)&lt;=0),0,IF(AND((F35-B15)&gt;=0,(F35-B16)&gt;=0),SQRT((A16-A15)^2+(B16-B15)^2),IF((F35-B15)&gt;0,SQRT(((A15+((F35-B15)/((F35-B15)-(F35-B16)))*(A16-A15))-A15)^2+(F35-B15)^2),SQRT((A16-(A15+((F35-B15)/((F35-B15)-(F35-B16)))*(A16-A15)))^2+(F35-B16)^2)))))+(IF(AND((F35-B16)&lt;=0,(F35-B17)&lt;=0),0,IF(AND((F35-B16)&gt;=0,(F35-B17)&gt;=0),SQRT((A17-A16)^2+(B17-B16)^2),IF((F35-B16)&gt;0,SQRT(((A16+((F35-B16)/((F35-B16)-(F35-B17)))*(A17-A16))-A16)^2+(F35-B16)^2),SQRT((A17-(A16+((F35-B16)/((F35-B16)-(F35-B17)))*(A17-A16)))^2+(F35-B17)^2)))))+(IF(AND((F35-B17)&lt;=0,(F35-B18)&lt;=0),0,IF(AND((F35-B17)&gt;=0,(F35-B18)&gt;=0),SQRT((A18-A17)^2+(B18-B17)^2),IF((F35-B17)&gt;0,SQRT(((A17+((F35-B17)/((F35-B17)-(F35-B18)))*(A18-A17))-A17)^2+(F35-B17)^2),SQRT((A18-(A17+((F35-B17)/((F35-B17)-(F35-B18)))*(A18-A17)))^2+(F35-B18)^2)))))</f>
        <v/>
      </c>
      <c r="I35">
        <f>IF(OR($B$4&lt;=0,G35&lt;=0,H35&lt;=0,$B$5&lt;=0),0,(1/$B$4)*G35*((G35/H35)^(2/3))*SQRT($B$5))</f>
        <v/>
      </c>
    </row>
    <row r="36">
      <c r="D36">
        <f>IF(I35&lt;$B$3,F35,D35)</f>
        <v/>
      </c>
      <c r="E36">
        <f>IF(I35&lt;$B$3,E35,F35)</f>
        <v/>
      </c>
      <c r="F36">
        <f>(D36+E36)/2</f>
        <v/>
      </c>
      <c r="G36">
        <f>(IF(AND((F36-B10)&lt;=0,(F36-B11)&lt;=0),0,IF(AND((F36-B10)&gt;=0,(F36-B11)&gt;=0),0.5*((F36-B10)+(F36-B11))*ABS(A11-A10),IF((F36-B10)&gt;0,0.5*(F36-B10)*ABS((A10+((F36-B10)/((F36-B10)-(F36-B11)))*(A11-A10))-A10),0.5*(F36-B11)*ABS(A11-(A10+((F36-B10)/((F36-B10)-(F36-B11)))*(A11-A10)))))))+(IF(AND((F36-B11)&lt;=0,(F36-B12)&lt;=0),0,IF(AND((F36-B11)&gt;=0,(F36-B12)&gt;=0),0.5*((F36-B11)+(F36-B12))*ABS(A12-A11),IF((F36-B11)&gt;0,0.5*(F36-B11)*ABS((A11+((F36-B11)/((F36-B11)-(F36-B12)))*(A12-A11))-A11),0.5*(F36-B12)*ABS(A12-(A11+((F36-B11)/((F36-B11)-(F36-B12)))*(A12-A11)))))))+(IF(AND((F36-B12)&lt;=0,(F36-B13)&lt;=0),0,IF(AND((F36-B12)&gt;=0,(F36-B13)&gt;=0),0.5*((F36-B12)+(F36-B13))*ABS(A13-A12),IF((F36-B12)&gt;0,0.5*(F36-B12)*ABS((A12+((F36-B12)/((F36-B12)-(F36-B13)))*(A13-A12))-A12),0.5*(F36-B13)*ABS(A13-(A12+((F36-B12)/((F36-B12)-(F36-B13)))*(A13-A12)))))))+(IF(AND((F36-B13)&lt;=0,(F36-B14)&lt;=0),0,IF(AND((F36-B13)&gt;=0,(F36-B14)&gt;=0),0.5*((F36-B13)+(F36-B14))*ABS(A14-A13),IF((F36-B13)&gt;0,0.5*(F36-B13)*ABS((A13+((F36-B13)/((F36-B13)-(F36-B14)))*(A14-A13))-A13),0.5*(F36-B14)*ABS(A14-(A13+((F36-B13)/((F36-B13)-(F36-B14)))*(A14-A13)))))))+(IF(AND((F36-B14)&lt;=0,(F36-B15)&lt;=0),0,IF(AND((F36-B14)&gt;=0,(F36-B15)&gt;=0),0.5*((F36-B14)+(F36-B15))*ABS(A15-A14),IF((F36-B14)&gt;0,0.5*(F36-B14)*ABS((A14+((F36-B14)/((F36-B14)-(F36-B15)))*(A15-A14))-A14),0.5*(F36-B15)*ABS(A15-(A14+((F36-B14)/((F36-B14)-(F36-B15)))*(A15-A14)))))))+(IF(AND((F36-B15)&lt;=0,(F36-B16)&lt;=0),0,IF(AND((F36-B15)&gt;=0,(F36-B16)&gt;=0),0.5*((F36-B15)+(F36-B16))*ABS(A16-A15),IF((F36-B15)&gt;0,0.5*(F36-B15)*ABS((A15+((F36-B15)/((F36-B15)-(F36-B16)))*(A16-A15))-A15),0.5*(F36-B16)*ABS(A16-(A15+((F36-B15)/((F36-B15)-(F36-B16)))*(A16-A15)))))))+(IF(AND((F36-B16)&lt;=0,(F36-B17)&lt;=0),0,IF(AND((F36-B16)&gt;=0,(F36-B17)&gt;=0),0.5*((F36-B16)+(F36-B17))*ABS(A17-A16),IF((F36-B16)&gt;0,0.5*(F36-B16)*ABS((A16+((F36-B16)/((F36-B16)-(F36-B17)))*(A17-A16))-A16),0.5*(F36-B17)*ABS(A17-(A16+((F36-B16)/((F36-B16)-(F36-B17)))*(A17-A16)))))))+(IF(AND((F36-B17)&lt;=0,(F36-B18)&lt;=0),0,IF(AND((F36-B17)&gt;=0,(F36-B18)&gt;=0),0.5*((F36-B17)+(F36-B18))*ABS(A18-A17),IF((F36-B17)&gt;0,0.5*(F36-B17)*ABS((A17+((F36-B17)/((F36-B17)-(F36-B18)))*(A18-A17))-A17),0.5*(F36-B18)*ABS(A18-(A17+((F36-B17)/((F36-B17)-(F36-B18)))*(A18-A17)))))))</f>
        <v/>
      </c>
      <c r="H36">
        <f>(IF(AND((F36-B10)&lt;=0,(F36-B11)&lt;=0),0,IF(AND((F36-B10)&gt;=0,(F36-B11)&gt;=0),SQRT((A11-A10)^2+(B11-B10)^2),IF((F36-B10)&gt;0,SQRT(((A10+((F36-B10)/((F36-B10)-(F36-B11)))*(A11-A10))-A10)^2+(F36-B10)^2),SQRT((A11-(A10+((F36-B10)/((F36-B10)-(F36-B11)))*(A11-A10)))^2+(F36-B11)^2)))))+(IF(AND((F36-B11)&lt;=0,(F36-B12)&lt;=0),0,IF(AND((F36-B11)&gt;=0,(F36-B12)&gt;=0),SQRT((A12-A11)^2+(B12-B11)^2),IF((F36-B11)&gt;0,SQRT(((A11+((F36-B11)/((F36-B11)-(F36-B12)))*(A12-A11))-A11)^2+(F36-B11)^2),SQRT((A12-(A11+((F36-B11)/((F36-B11)-(F36-B12)))*(A12-A11)))^2+(F36-B12)^2)))))+(IF(AND((F36-B12)&lt;=0,(F36-B13)&lt;=0),0,IF(AND((F36-B12)&gt;=0,(F36-B13)&gt;=0),SQRT((A13-A12)^2+(B13-B12)^2),IF((F36-B12)&gt;0,SQRT(((A12+((F36-B12)/((F36-B12)-(F36-B13)))*(A13-A12))-A12)^2+(F36-B12)^2),SQRT((A13-(A12+((F36-B12)/((F36-B12)-(F36-B13)))*(A13-A12)))^2+(F36-B13)^2)))))+(IF(AND((F36-B13)&lt;=0,(F36-B14)&lt;=0),0,IF(AND((F36-B13)&gt;=0,(F36-B14)&gt;=0),SQRT((A14-A13)^2+(B14-B13)^2),IF((F36-B13)&gt;0,SQRT(((A13+((F36-B13)/((F36-B13)-(F36-B14)))*(A14-A13))-A13)^2+(F36-B13)^2),SQRT((A14-(A13+((F36-B13)/((F36-B13)-(F36-B14)))*(A14-A13)))^2+(F36-B14)^2)))))+(IF(AND((F36-B14)&lt;=0,(F36-B15)&lt;=0),0,IF(AND((F36-B14)&gt;=0,(F36-B15)&gt;=0),SQRT((A15-A14)^2+(B15-B14)^2),IF((F36-B14)&gt;0,SQRT(((A14+((F36-B14)/((F36-B14)-(F36-B15)))*(A15-A14))-A14)^2+(F36-B14)^2),SQRT((A15-(A14+((F36-B14)/((F36-B14)-(F36-B15)))*(A15-A14)))^2+(F36-B15)^2)))))+(IF(AND((F36-B15)&lt;=0,(F36-B16)&lt;=0),0,IF(AND((F36-B15)&gt;=0,(F36-B16)&gt;=0),SQRT((A16-A15)^2+(B16-B15)^2),IF((F36-B15)&gt;0,SQRT(((A15+((F36-B15)/((F36-B15)-(F36-B16)))*(A16-A15))-A15)^2+(F36-B15)^2),SQRT((A16-(A15+((F36-B15)/((F36-B15)-(F36-B16)))*(A16-A15)))^2+(F36-B16)^2)))))+(IF(AND((F36-B16)&lt;=0,(F36-B17)&lt;=0),0,IF(AND((F36-B16)&gt;=0,(F36-B17)&gt;=0),SQRT((A17-A16)^2+(B17-B16)^2),IF((F36-B16)&gt;0,SQRT(((A16+((F36-B16)/((F36-B16)-(F36-B17)))*(A17-A16))-A16)^2+(F36-B16)^2),SQRT((A17-(A16+((F36-B16)/((F36-B16)-(F36-B17)))*(A17-A16)))^2+(F36-B17)^2)))))+(IF(AND((F36-B17)&lt;=0,(F36-B18)&lt;=0),0,IF(AND((F36-B17)&gt;=0,(F36-B18)&gt;=0),SQRT((A18-A17)^2+(B18-B17)^2),IF((F36-B17)&gt;0,SQRT(((A17+((F36-B17)/((F36-B17)-(F36-B18)))*(A18-A17))-A17)^2+(F36-B17)^2),SQRT((A18-(A17+((F36-B17)/((F36-B17)-(F36-B18)))*(A18-A17)))^2+(F36-B18)^2)))))</f>
        <v/>
      </c>
      <c r="I36">
        <f>IF(OR($B$4&lt;=0,G36&lt;=0,H36&lt;=0,$B$5&lt;=0),0,(1/$B$4)*G36*((G36/H36)^(2/3))*SQRT($B$5))</f>
        <v/>
      </c>
    </row>
    <row r="37">
      <c r="D37">
        <f>IF(I36&lt;$B$3,F36,D36)</f>
        <v/>
      </c>
      <c r="E37">
        <f>IF(I36&lt;$B$3,E36,F36)</f>
        <v/>
      </c>
      <c r="F37">
        <f>(D37+E37)/2</f>
        <v/>
      </c>
      <c r="G37">
        <f>(IF(AND((F37-B10)&lt;=0,(F37-B11)&lt;=0),0,IF(AND((F37-B10)&gt;=0,(F37-B11)&gt;=0),0.5*((F37-B10)+(F37-B11))*ABS(A11-A10),IF((F37-B10)&gt;0,0.5*(F37-B10)*ABS((A10+((F37-B10)/((F37-B10)-(F37-B11)))*(A11-A10))-A10),0.5*(F37-B11)*ABS(A11-(A10+((F37-B10)/((F37-B10)-(F37-B11)))*(A11-A10)))))))+(IF(AND((F37-B11)&lt;=0,(F37-B12)&lt;=0),0,IF(AND((F37-B11)&gt;=0,(F37-B12)&gt;=0),0.5*((F37-B11)+(F37-B12))*ABS(A12-A11),IF((F37-B11)&gt;0,0.5*(F37-B11)*ABS((A11+((F37-B11)/((F37-B11)-(F37-B12)))*(A12-A11))-A11),0.5*(F37-B12)*ABS(A12-(A11+((F37-B11)/((F37-B11)-(F37-B12)))*(A12-A11)))))))+(IF(AND((F37-B12)&lt;=0,(F37-B13)&lt;=0),0,IF(AND((F37-B12)&gt;=0,(F37-B13)&gt;=0),0.5*((F37-B12)+(F37-B13))*ABS(A13-A12),IF((F37-B12)&gt;0,0.5*(F37-B12)*ABS((A12+((F37-B12)/((F37-B12)-(F37-B13)))*(A13-A12))-A12),0.5*(F37-B13)*ABS(A13-(A12+((F37-B12)/((F37-B12)-(F37-B13)))*(A13-A12)))))))+(IF(AND((F37-B13)&lt;=0,(F37-B14)&lt;=0),0,IF(AND((F37-B13)&gt;=0,(F37-B14)&gt;=0),0.5*((F37-B13)+(F37-B14))*ABS(A14-A13),IF((F37-B13)&gt;0,0.5*(F37-B13)*ABS((A13+((F37-B13)/((F37-B13)-(F37-B14)))*(A14-A13))-A13),0.5*(F37-B14)*ABS(A14-(A13+((F37-B13)/((F37-B13)-(F37-B14)))*(A14-A13)))))))+(IF(AND((F37-B14)&lt;=0,(F37-B15)&lt;=0),0,IF(AND((F37-B14)&gt;=0,(F37-B15)&gt;=0),0.5*((F37-B14)+(F37-B15))*ABS(A15-A14),IF((F37-B14)&gt;0,0.5*(F37-B14)*ABS((A14+((F37-B14)/((F37-B14)-(F37-B15)))*(A15-A14))-A14),0.5*(F37-B15)*ABS(A15-(A14+((F37-B14)/((F37-B14)-(F37-B15)))*(A15-A14)))))))+(IF(AND((F37-B15)&lt;=0,(F37-B16)&lt;=0),0,IF(AND((F37-B15)&gt;=0,(F37-B16)&gt;=0),0.5*((F37-B15)+(F37-B16))*ABS(A16-A15),IF((F37-B15)&gt;0,0.5*(F37-B15)*ABS((A15+((F37-B15)/((F37-B15)-(F37-B16)))*(A16-A15))-A15),0.5*(F37-B16)*ABS(A16-(A15+((F37-B15)/((F37-B15)-(F37-B16)))*(A16-A15)))))))+(IF(AND((F37-B16)&lt;=0,(F37-B17)&lt;=0),0,IF(AND((F37-B16)&gt;=0,(F37-B17)&gt;=0),0.5*((F37-B16)+(F37-B17))*ABS(A17-A16),IF((F37-B16)&gt;0,0.5*(F37-B16)*ABS((A16+((F37-B16)/((F37-B16)-(F37-B17)))*(A17-A16))-A16),0.5*(F37-B17)*ABS(A17-(A16+((F37-B16)/((F37-B16)-(F37-B17)))*(A17-A16)))))))+(IF(AND((F37-B17)&lt;=0,(F37-B18)&lt;=0),0,IF(AND((F37-B17)&gt;=0,(F37-B18)&gt;=0),0.5*((F37-B17)+(F37-B18))*ABS(A18-A17),IF((F37-B17)&gt;0,0.5*(F37-B17)*ABS((A17+((F37-B17)/((F37-B17)-(F37-B18)))*(A18-A17))-A17),0.5*(F37-B18)*ABS(A18-(A17+((F37-B17)/((F37-B17)-(F37-B18)))*(A18-A17)))))))</f>
        <v/>
      </c>
      <c r="H37">
        <f>(IF(AND((F37-B10)&lt;=0,(F37-B11)&lt;=0),0,IF(AND((F37-B10)&gt;=0,(F37-B11)&gt;=0),SQRT((A11-A10)^2+(B11-B10)^2),IF((F37-B10)&gt;0,SQRT(((A10+((F37-B10)/((F37-B10)-(F37-B11)))*(A11-A10))-A10)^2+(F37-B10)^2),SQRT((A11-(A10+((F37-B10)/((F37-B10)-(F37-B11)))*(A11-A10)))^2+(F37-B11)^2)))))+(IF(AND((F37-B11)&lt;=0,(F37-B12)&lt;=0),0,IF(AND((F37-B11)&gt;=0,(F37-B12)&gt;=0),SQRT((A12-A11)^2+(B12-B11)^2),IF((F37-B11)&gt;0,SQRT(((A11+((F37-B11)/((F37-B11)-(F37-B12)))*(A12-A11))-A11)^2+(F37-B11)^2),SQRT((A12-(A11+((F37-B11)/((F37-B11)-(F37-B12)))*(A12-A11)))^2+(F37-B12)^2)))))+(IF(AND((F37-B12)&lt;=0,(F37-B13)&lt;=0),0,IF(AND((F37-B12)&gt;=0,(F37-B13)&gt;=0),SQRT((A13-A12)^2+(B13-B12)^2),IF((F37-B12)&gt;0,SQRT(((A12+((F37-B12)/((F37-B12)-(F37-B13)))*(A13-A12))-A12)^2+(F37-B12)^2),SQRT((A13-(A12+((F37-B12)/((F37-B12)-(F37-B13)))*(A13-A12)))^2+(F37-B13)^2)))))+(IF(AND((F37-B13)&lt;=0,(F37-B14)&lt;=0),0,IF(AND((F37-B13)&gt;=0,(F37-B14)&gt;=0),SQRT((A14-A13)^2+(B14-B13)^2),IF((F37-B13)&gt;0,SQRT(((A13+((F37-B13)/((F37-B13)-(F37-B14)))*(A14-A13))-A13)^2+(F37-B13)^2),SQRT((A14-(A13+((F37-B13)/((F37-B13)-(F37-B14)))*(A14-A13)))^2+(F37-B14)^2)))))+(IF(AND((F37-B14)&lt;=0,(F37-B15)&lt;=0),0,IF(AND((F37-B14)&gt;=0,(F37-B15)&gt;=0),SQRT((A15-A14)^2+(B15-B14)^2),IF((F37-B14)&gt;0,SQRT(((A14+((F37-B14)/((F37-B14)-(F37-B15)))*(A15-A14))-A14)^2+(F37-B14)^2),SQRT((A15-(A14+((F37-B14)/((F37-B14)-(F37-B15)))*(A15-A14)))^2+(F37-B15)^2)))))+(IF(AND((F37-B15)&lt;=0,(F37-B16)&lt;=0),0,IF(AND((F37-B15)&gt;=0,(F37-B16)&gt;=0),SQRT((A16-A15)^2+(B16-B15)^2),IF((F37-B15)&gt;0,SQRT(((A15+((F37-B15)/((F37-B15)-(F37-B16)))*(A16-A15))-A15)^2+(F37-B15)^2),SQRT((A16-(A15+((F37-B15)/((F37-B15)-(F37-B16)))*(A16-A15)))^2+(F37-B16)^2)))))+(IF(AND((F37-B16)&lt;=0,(F37-B17)&lt;=0),0,IF(AND((F37-B16)&gt;=0,(F37-B17)&gt;=0),SQRT((A17-A16)^2+(B17-B16)^2),IF((F37-B16)&gt;0,SQRT(((A16+((F37-B16)/((F37-B16)-(F37-B17)))*(A17-A16))-A16)^2+(F37-B16)^2),SQRT((A17-(A16+((F37-B16)/((F37-B16)-(F37-B17)))*(A17-A16)))^2+(F37-B17)^2)))))+(IF(AND((F37-B17)&lt;=0,(F37-B18)&lt;=0),0,IF(AND((F37-B17)&gt;=0,(F37-B18)&gt;=0),SQRT((A18-A17)^2+(B18-B17)^2),IF((F37-B17)&gt;0,SQRT(((A17+((F37-B17)/((F37-B17)-(F37-B18)))*(A18-A17))-A17)^2+(F37-B17)^2),SQRT((A18-(A17+((F37-B17)/((F37-B17)-(F37-B18)))*(A18-A17)))^2+(F37-B18)^2)))))</f>
        <v/>
      </c>
      <c r="I37">
        <f>IF(OR($B$4&lt;=0,G37&lt;=0,H37&lt;=0,$B$5&lt;=0),0,(1/$B$4)*G37*((G37/H37)^(2/3))*SQRT($B$5))</f>
        <v/>
      </c>
    </row>
    <row r="38">
      <c r="D38">
        <f>IF(I37&lt;$B$3,F37,D37)</f>
        <v/>
      </c>
      <c r="E38">
        <f>IF(I37&lt;$B$3,E37,F37)</f>
        <v/>
      </c>
      <c r="F38">
        <f>(D38+E38)/2</f>
        <v/>
      </c>
      <c r="G38">
        <f>(IF(AND((F38-B10)&lt;=0,(F38-B11)&lt;=0),0,IF(AND((F38-B10)&gt;=0,(F38-B11)&gt;=0),0.5*((F38-B10)+(F38-B11))*ABS(A11-A10),IF((F38-B10)&gt;0,0.5*(F38-B10)*ABS((A10+((F38-B10)/((F38-B10)-(F38-B11)))*(A11-A10))-A10),0.5*(F38-B11)*ABS(A11-(A10+((F38-B10)/((F38-B10)-(F38-B11)))*(A11-A10)))))))+(IF(AND((F38-B11)&lt;=0,(F38-B12)&lt;=0),0,IF(AND((F38-B11)&gt;=0,(F38-B12)&gt;=0),0.5*((F38-B11)+(F38-B12))*ABS(A12-A11),IF((F38-B11)&gt;0,0.5*(F38-B11)*ABS((A11+((F38-B11)/((F38-B11)-(F38-B12)))*(A12-A11))-A11),0.5*(F38-B12)*ABS(A12-(A11+((F38-B11)/((F38-B11)-(F38-B12)))*(A12-A11)))))))+(IF(AND((F38-B12)&lt;=0,(F38-B13)&lt;=0),0,IF(AND((F38-B12)&gt;=0,(F38-B13)&gt;=0),0.5*((F38-B12)+(F38-B13))*ABS(A13-A12),IF((F38-B12)&gt;0,0.5*(F38-B12)*ABS((A12+((F38-B12)/((F38-B12)-(F38-B13)))*(A13-A12))-A12),0.5*(F38-B13)*ABS(A13-(A12+((F38-B12)/((F38-B12)-(F38-B13)))*(A13-A12)))))))+(IF(AND((F38-B13)&lt;=0,(F38-B14)&lt;=0),0,IF(AND((F38-B13)&gt;=0,(F38-B14)&gt;=0),0.5*((F38-B13)+(F38-B14))*ABS(A14-A13),IF((F38-B13)&gt;0,0.5*(F38-B13)*ABS((A13+((F38-B13)/((F38-B13)-(F38-B14)))*(A14-A13))-A13),0.5*(F38-B14)*ABS(A14-(A13+((F38-B13)/((F38-B13)-(F38-B14)))*(A14-A13)))))))+(IF(AND((F38-B14)&lt;=0,(F38-B15)&lt;=0),0,IF(AND((F38-B14)&gt;=0,(F38-B15)&gt;=0),0.5*((F38-B14)+(F38-B15))*ABS(A15-A14),IF((F38-B14)&gt;0,0.5*(F38-B14)*ABS((A14+((F38-B14)/((F38-B14)-(F38-B15)))*(A15-A14))-A14),0.5*(F38-B15)*ABS(A15-(A14+((F38-B14)/((F38-B14)-(F38-B15)))*(A15-A14)))))))+(IF(AND((F38-B15)&lt;=0,(F38-B16)&lt;=0),0,IF(AND((F38-B15)&gt;=0,(F38-B16)&gt;=0),0.5*((F38-B15)+(F38-B16))*ABS(A16-A15),IF((F38-B15)&gt;0,0.5*(F38-B15)*ABS((A15+((F38-B15)/((F38-B15)-(F38-B16)))*(A16-A15))-A15),0.5*(F38-B16)*ABS(A16-(A15+((F38-B15)/((F38-B15)-(F38-B16)))*(A16-A15)))))))+(IF(AND((F38-B16)&lt;=0,(F38-B17)&lt;=0),0,IF(AND((F38-B16)&gt;=0,(F38-B17)&gt;=0),0.5*((F38-B16)+(F38-B17))*ABS(A17-A16),IF((F38-B16)&gt;0,0.5*(F38-B16)*ABS((A16+((F38-B16)/((F38-B16)-(F38-B17)))*(A17-A16))-A16),0.5*(F38-B17)*ABS(A17-(A16+((F38-B16)/((F38-B16)-(F38-B17)))*(A17-A16)))))))+(IF(AND((F38-B17)&lt;=0,(F38-B18)&lt;=0),0,IF(AND((F38-B17)&gt;=0,(F38-B18)&gt;=0),0.5*((F38-B17)+(F38-B18))*ABS(A18-A17),IF((F38-B17)&gt;0,0.5*(F38-B17)*ABS((A17+((F38-B17)/((F38-B17)-(F38-B18)))*(A18-A17))-A17),0.5*(F38-B18)*ABS(A18-(A17+((F38-B17)/((F38-B17)-(F38-B18)))*(A18-A17)))))))</f>
        <v/>
      </c>
      <c r="H38">
        <f>(IF(AND((F38-B10)&lt;=0,(F38-B11)&lt;=0),0,IF(AND((F38-B10)&gt;=0,(F38-B11)&gt;=0),SQRT((A11-A10)^2+(B11-B10)^2),IF((F38-B10)&gt;0,SQRT(((A10+((F38-B10)/((F38-B10)-(F38-B11)))*(A11-A10))-A10)^2+(F38-B10)^2),SQRT((A11-(A10+((F38-B10)/((F38-B10)-(F38-B11)))*(A11-A10)))^2+(F38-B11)^2)))))+(IF(AND((F38-B11)&lt;=0,(F38-B12)&lt;=0),0,IF(AND((F38-B11)&gt;=0,(F38-B12)&gt;=0),SQRT((A12-A11)^2+(B12-B11)^2),IF((F38-B11)&gt;0,SQRT(((A11+((F38-B11)/((F38-B11)-(F38-B12)))*(A12-A11))-A11)^2+(F38-B11)^2),SQRT((A12-(A11+((F38-B11)/((F38-B11)-(F38-B12)))*(A12-A11)))^2+(F38-B12)^2)))))+(IF(AND((F38-B12)&lt;=0,(F38-B13)&lt;=0),0,IF(AND((F38-B12)&gt;=0,(F38-B13)&gt;=0),SQRT((A13-A12)^2+(B13-B12)^2),IF((F38-B12)&gt;0,SQRT(((A12+((F38-B12)/((F38-B12)-(F38-B13)))*(A13-A12))-A12)^2+(F38-B12)^2),SQRT((A13-(A12+((F38-B12)/((F38-B12)-(F38-B13)))*(A13-A12)))^2+(F38-B13)^2)))))+(IF(AND((F38-B13)&lt;=0,(F38-B14)&lt;=0),0,IF(AND((F38-B13)&gt;=0,(F38-B14)&gt;=0),SQRT((A14-A13)^2+(B14-B13)^2),IF((F38-B13)&gt;0,SQRT(((A13+((F38-B13)/((F38-B13)-(F38-B14)))*(A14-A13))-A13)^2+(F38-B13)^2),SQRT((A14-(A13+((F38-B13)/((F38-B13)-(F38-B14)))*(A14-A13)))^2+(F38-B14)^2)))))+(IF(AND((F38-B14)&lt;=0,(F38-B15)&lt;=0),0,IF(AND((F38-B14)&gt;=0,(F38-B15)&gt;=0),SQRT((A15-A14)^2+(B15-B14)^2),IF((F38-B14)&gt;0,SQRT(((A14+((F38-B14)/((F38-B14)-(F38-B15)))*(A15-A14))-A14)^2+(F38-B14)^2),SQRT((A15-(A14+((F38-B14)/((F38-B14)-(F38-B15)))*(A15-A14)))^2+(F38-B15)^2)))))+(IF(AND((F38-B15)&lt;=0,(F38-B16)&lt;=0),0,IF(AND((F38-B15)&gt;=0,(F38-B16)&gt;=0),SQRT((A16-A15)^2+(B16-B15)^2),IF((F38-B15)&gt;0,SQRT(((A15+((F38-B15)/((F38-B15)-(F38-B16)))*(A16-A15))-A15)^2+(F38-B15)^2),SQRT((A16-(A15+((F38-B15)/((F38-B15)-(F38-B16)))*(A16-A15)))^2+(F38-B16)^2)))))+(IF(AND((F38-B16)&lt;=0,(F38-B17)&lt;=0),0,IF(AND((F38-B16)&gt;=0,(F38-B17)&gt;=0),SQRT((A17-A16)^2+(B17-B16)^2),IF((F38-B16)&gt;0,SQRT(((A16+((F38-B16)/((F38-B16)-(F38-B17)))*(A17-A16))-A16)^2+(F38-B16)^2),SQRT((A17-(A16+((F38-B16)/((F38-B16)-(F38-B17)))*(A17-A16)))^2+(F38-B17)^2)))))+(IF(AND((F38-B17)&lt;=0,(F38-B18)&lt;=0),0,IF(AND((F38-B17)&gt;=0,(F38-B18)&gt;=0),SQRT((A18-A17)^2+(B18-B17)^2),IF((F38-B17)&gt;0,SQRT(((A17+((F38-B17)/((F38-B17)-(F38-B18)))*(A18-A17))-A17)^2+(F38-B17)^2),SQRT((A18-(A17+((F38-B17)/((F38-B17)-(F38-B18)))*(A18-A17)))^2+(F38-B18)^2)))))</f>
        <v/>
      </c>
      <c r="I38">
        <f>IF(OR($B$4&lt;=0,G38&lt;=0,H38&lt;=0,$B$5&lt;=0),0,(1/$B$4)*G38*((G38/H38)^(2/3))*SQRT($B$5))</f>
        <v/>
      </c>
    </row>
    <row r="39">
      <c r="D39">
        <f>IF(I38&lt;$B$3,F38,D38)</f>
        <v/>
      </c>
      <c r="E39">
        <f>IF(I38&lt;$B$3,E38,F38)</f>
        <v/>
      </c>
      <c r="F39">
        <f>(D39+E39)/2</f>
        <v/>
      </c>
      <c r="G39">
        <f>(IF(AND((F39-B10)&lt;=0,(F39-B11)&lt;=0),0,IF(AND((F39-B10)&gt;=0,(F39-B11)&gt;=0),0.5*((F39-B10)+(F39-B11))*ABS(A11-A10),IF((F39-B10)&gt;0,0.5*(F39-B10)*ABS((A10+((F39-B10)/((F39-B10)-(F39-B11)))*(A11-A10))-A10),0.5*(F39-B11)*ABS(A11-(A10+((F39-B10)/((F39-B10)-(F39-B11)))*(A11-A10)))))))+(IF(AND((F39-B11)&lt;=0,(F39-B12)&lt;=0),0,IF(AND((F39-B11)&gt;=0,(F39-B12)&gt;=0),0.5*((F39-B11)+(F39-B12))*ABS(A12-A11),IF((F39-B11)&gt;0,0.5*(F39-B11)*ABS((A11+((F39-B11)/((F39-B11)-(F39-B12)))*(A12-A11))-A11),0.5*(F39-B12)*ABS(A12-(A11+((F39-B11)/((F39-B11)-(F39-B12)))*(A12-A11)))))))+(IF(AND((F39-B12)&lt;=0,(F39-B13)&lt;=0),0,IF(AND((F39-B12)&gt;=0,(F39-B13)&gt;=0),0.5*((F39-B12)+(F39-B13))*ABS(A13-A12),IF((F39-B12)&gt;0,0.5*(F39-B12)*ABS((A12+((F39-B12)/((F39-B12)-(F39-B13)))*(A13-A12))-A12),0.5*(F39-B13)*ABS(A13-(A12+((F39-B12)/((F39-B12)-(F39-B13)))*(A13-A12)))))))+(IF(AND((F39-B13)&lt;=0,(F39-B14)&lt;=0),0,IF(AND((F39-B13)&gt;=0,(F39-B14)&gt;=0),0.5*((F39-B13)+(F39-B14))*ABS(A14-A13),IF((F39-B13)&gt;0,0.5*(F39-B13)*ABS((A13+((F39-B13)/((F39-B13)-(F39-B14)))*(A14-A13))-A13),0.5*(F39-B14)*ABS(A14-(A13+((F39-B13)/((F39-B13)-(F39-B14)))*(A14-A13)))))))+(IF(AND((F39-B14)&lt;=0,(F39-B15)&lt;=0),0,IF(AND((F39-B14)&gt;=0,(F39-B15)&gt;=0),0.5*((F39-B14)+(F39-B15))*ABS(A15-A14),IF((F39-B14)&gt;0,0.5*(F39-B14)*ABS((A14+((F39-B14)/((F39-B14)-(F39-B15)))*(A15-A14))-A14),0.5*(F39-B15)*ABS(A15-(A14+((F39-B14)/((F39-B14)-(F39-B15)))*(A15-A14)))))))+(IF(AND((F39-B15)&lt;=0,(F39-B16)&lt;=0),0,IF(AND((F39-B15)&gt;=0,(F39-B16)&gt;=0),0.5*((F39-B15)+(F39-B16))*ABS(A16-A15),IF((F39-B15)&gt;0,0.5*(F39-B15)*ABS((A15+((F39-B15)/((F39-B15)-(F39-B16)))*(A16-A15))-A15),0.5*(F39-B16)*ABS(A16-(A15+((F39-B15)/((F39-B15)-(F39-B16)))*(A16-A15)))))))+(IF(AND((F39-B16)&lt;=0,(F39-B17)&lt;=0),0,IF(AND((F39-B16)&gt;=0,(F39-B17)&gt;=0),0.5*((F39-B16)+(F39-B17))*ABS(A17-A16),IF((F39-B16)&gt;0,0.5*(F39-B16)*ABS((A16+((F39-B16)/((F39-B16)-(F39-B17)))*(A17-A16))-A16),0.5*(F39-B17)*ABS(A17-(A16+((F39-B16)/((F39-B16)-(F39-B17)))*(A17-A16)))))))+(IF(AND((F39-B17)&lt;=0,(F39-B18)&lt;=0),0,IF(AND((F39-B17)&gt;=0,(F39-B18)&gt;=0),0.5*((F39-B17)+(F39-B18))*ABS(A18-A17),IF((F39-B17)&gt;0,0.5*(F39-B17)*ABS((A17+((F39-B17)/((F39-B17)-(F39-B18)))*(A18-A17))-A17),0.5*(F39-B18)*ABS(A18-(A17+((F39-B17)/((F39-B17)-(F39-B18)))*(A18-A17)))))))</f>
        <v/>
      </c>
      <c r="H39">
        <f>(IF(AND((F39-B10)&lt;=0,(F39-B11)&lt;=0),0,IF(AND((F39-B10)&gt;=0,(F39-B11)&gt;=0),SQRT((A11-A10)^2+(B11-B10)^2),IF((F39-B10)&gt;0,SQRT(((A10+((F39-B10)/((F39-B10)-(F39-B11)))*(A11-A10))-A10)^2+(F39-B10)^2),SQRT((A11-(A10+((F39-B10)/((F39-B10)-(F39-B11)))*(A11-A10)))^2+(F39-B11)^2)))))+(IF(AND((F39-B11)&lt;=0,(F39-B12)&lt;=0),0,IF(AND((F39-B11)&gt;=0,(F39-B12)&gt;=0),SQRT((A12-A11)^2+(B12-B11)^2),IF((F39-B11)&gt;0,SQRT(((A11+((F39-B11)/((F39-B11)-(F39-B12)))*(A12-A11))-A11)^2+(F39-B11)^2),SQRT((A12-(A11+((F39-B11)/((F39-B11)-(F39-B12)))*(A12-A11)))^2+(F39-B12)^2)))))+(IF(AND((F39-B12)&lt;=0,(F39-B13)&lt;=0),0,IF(AND((F39-B12)&gt;=0,(F39-B13)&gt;=0),SQRT((A13-A12)^2+(B13-B12)^2),IF((F39-B12)&gt;0,SQRT(((A12+((F39-B12)/((F39-B12)-(F39-B13)))*(A13-A12))-A12)^2+(F39-B12)^2),SQRT((A13-(A12+((F39-B12)/((F39-B12)-(F39-B13)))*(A13-A12)))^2+(F39-B13)^2)))))+(IF(AND((F39-B13)&lt;=0,(F39-B14)&lt;=0),0,IF(AND((F39-B13)&gt;=0,(F39-B14)&gt;=0),SQRT((A14-A13)^2+(B14-B13)^2),IF((F39-B13)&gt;0,SQRT(((A13+((F39-B13)/((F39-B13)-(F39-B14)))*(A14-A13))-A13)^2+(F39-B13)^2),SQRT((A14-(A13+((F39-B13)/((F39-B13)-(F39-B14)))*(A14-A13)))^2+(F39-B14)^2)))))+(IF(AND((F39-B14)&lt;=0,(F39-B15)&lt;=0),0,IF(AND((F39-B14)&gt;=0,(F39-B15)&gt;=0),SQRT((A15-A14)^2+(B15-B14)^2),IF((F39-B14)&gt;0,SQRT(((A14+((F39-B14)/((F39-B14)-(F39-B15)))*(A15-A14))-A14)^2+(F39-B14)^2),SQRT((A15-(A14+((F39-B14)/((F39-B14)-(F39-B15)))*(A15-A14)))^2+(F39-B15)^2)))))+(IF(AND((F39-B15)&lt;=0,(F39-B16)&lt;=0),0,IF(AND((F39-B15)&gt;=0,(F39-B16)&gt;=0),SQRT((A16-A15)^2+(B16-B15)^2),IF((F39-B15)&gt;0,SQRT(((A15+((F39-B15)/((F39-B15)-(F39-B16)))*(A16-A15))-A15)^2+(F39-B15)^2),SQRT((A16-(A15+((F39-B15)/((F39-B15)-(F39-B16)))*(A16-A15)))^2+(F39-B16)^2)))))+(IF(AND((F39-B16)&lt;=0,(F39-B17)&lt;=0),0,IF(AND((F39-B16)&gt;=0,(F39-B17)&gt;=0),SQRT((A17-A16)^2+(B17-B16)^2),IF((F39-B16)&gt;0,SQRT(((A16+((F39-B16)/((F39-B16)-(F39-B17)))*(A17-A16))-A16)^2+(F39-B16)^2),SQRT((A17-(A16+((F39-B16)/((F39-B16)-(F39-B17)))*(A17-A16)))^2+(F39-B17)^2)))))+(IF(AND((F39-B17)&lt;=0,(F39-B18)&lt;=0),0,IF(AND((F39-B17)&gt;=0,(F39-B18)&gt;=0),SQRT((A18-A17)^2+(B18-B17)^2),IF((F39-B17)&gt;0,SQRT(((A17+((F39-B17)/((F39-B17)-(F39-B18)))*(A18-A17))-A17)^2+(F39-B17)^2),SQRT((A18-(A17+((F39-B17)/((F39-B17)-(F39-B18)))*(A18-A17)))^2+(F39-B18)^2)))))</f>
        <v/>
      </c>
      <c r="I39">
        <f>IF(OR($B$4&lt;=0,G39&lt;=0,H39&lt;=0,$B$5&lt;=0),0,(1/$B$4)*G39*((G39/H39)^(2/3))*SQRT($B$5))</f>
        <v/>
      </c>
    </row>
    <row r="40">
      <c r="D40">
        <f>IF(I39&lt;$B$3,F39,D39)</f>
        <v/>
      </c>
      <c r="E40">
        <f>IF(I39&lt;$B$3,E39,F39)</f>
        <v/>
      </c>
      <c r="F40">
        <f>(D40+E40)/2</f>
        <v/>
      </c>
      <c r="G40">
        <f>(IF(AND((F40-B10)&lt;=0,(F40-B11)&lt;=0),0,IF(AND((F40-B10)&gt;=0,(F40-B11)&gt;=0),0.5*((F40-B10)+(F40-B11))*ABS(A11-A10),IF((F40-B10)&gt;0,0.5*(F40-B10)*ABS((A10+((F40-B10)/((F40-B10)-(F40-B11)))*(A11-A10))-A10),0.5*(F40-B11)*ABS(A11-(A10+((F40-B10)/((F40-B10)-(F40-B11)))*(A11-A10)))))))+(IF(AND((F40-B11)&lt;=0,(F40-B12)&lt;=0),0,IF(AND((F40-B11)&gt;=0,(F40-B12)&gt;=0),0.5*((F40-B11)+(F40-B12))*ABS(A12-A11),IF((F40-B11)&gt;0,0.5*(F40-B11)*ABS((A11+((F40-B11)/((F40-B11)-(F40-B12)))*(A12-A11))-A11),0.5*(F40-B12)*ABS(A12-(A11+((F40-B11)/((F40-B11)-(F40-B12)))*(A12-A11)))))))+(IF(AND((F40-B12)&lt;=0,(F40-B13)&lt;=0),0,IF(AND((F40-B12)&gt;=0,(F40-B13)&gt;=0),0.5*((F40-B12)+(F40-B13))*ABS(A13-A12),IF((F40-B12)&gt;0,0.5*(F40-B12)*ABS((A12+((F40-B12)/((F40-B12)-(F40-B13)))*(A13-A12))-A12),0.5*(F40-B13)*ABS(A13-(A12+((F40-B12)/((F40-B12)-(F40-B13)))*(A13-A12)))))))+(IF(AND((F40-B13)&lt;=0,(F40-B14)&lt;=0),0,IF(AND((F40-B13)&gt;=0,(F40-B14)&gt;=0),0.5*((F40-B13)+(F40-B14))*ABS(A14-A13),IF((F40-B13)&gt;0,0.5*(F40-B13)*ABS((A13+((F40-B13)/((F40-B13)-(F40-B14)))*(A14-A13))-A13),0.5*(F40-B14)*ABS(A14-(A13+((F40-B13)/((F40-B13)-(F40-B14)))*(A14-A13)))))))+(IF(AND((F40-B14)&lt;=0,(F40-B15)&lt;=0),0,IF(AND((F40-B14)&gt;=0,(F40-B15)&gt;=0),0.5*((F40-B14)+(F40-B15))*ABS(A15-A14),IF((F40-B14)&gt;0,0.5*(F40-B14)*ABS((A14+((F40-B14)/((F40-B14)-(F40-B15)))*(A15-A14))-A14),0.5*(F40-B15)*ABS(A15-(A14+((F40-B14)/((F40-B14)-(F40-B15)))*(A15-A14)))))))+(IF(AND((F40-B15)&lt;=0,(F40-B16)&lt;=0),0,IF(AND((F40-B15)&gt;=0,(F40-B16)&gt;=0),0.5*((F40-B15)+(F40-B16))*ABS(A16-A15),IF((F40-B15)&gt;0,0.5*(F40-B15)*ABS((A15+((F40-B15)/((F40-B15)-(F40-B16)))*(A16-A15))-A15),0.5*(F40-B16)*ABS(A16-(A15+((F40-B15)/((F40-B15)-(F40-B16)))*(A16-A15)))))))+(IF(AND((F40-B16)&lt;=0,(F40-B17)&lt;=0),0,IF(AND((F40-B16)&gt;=0,(F40-B17)&gt;=0),0.5*((F40-B16)+(F40-B17))*ABS(A17-A16),IF((F40-B16)&gt;0,0.5*(F40-B16)*ABS((A16+((F40-B16)/((F40-B16)-(F40-B17)))*(A17-A16))-A16),0.5*(F40-B17)*ABS(A17-(A16+((F40-B16)/((F40-B16)-(F40-B17)))*(A17-A16)))))))+(IF(AND((F40-B17)&lt;=0,(F40-B18)&lt;=0),0,IF(AND((F40-B17)&gt;=0,(F40-B18)&gt;=0),0.5*((F40-B17)+(F40-B18))*ABS(A18-A17),IF((F40-B17)&gt;0,0.5*(F40-B17)*ABS((A17+((F40-B17)/((F40-B17)-(F40-B18)))*(A18-A17))-A17),0.5*(F40-B18)*ABS(A18-(A17+((F40-B17)/((F40-B17)-(F40-B18)))*(A18-A17)))))))</f>
        <v/>
      </c>
      <c r="H40">
        <f>(IF(AND((F40-B10)&lt;=0,(F40-B11)&lt;=0),0,IF(AND((F40-B10)&gt;=0,(F40-B11)&gt;=0),SQRT((A11-A10)^2+(B11-B10)^2),IF((F40-B10)&gt;0,SQRT(((A10+((F40-B10)/((F40-B10)-(F40-B11)))*(A11-A10))-A10)^2+(F40-B10)^2),SQRT((A11-(A10+((F40-B10)/((F40-B10)-(F40-B11)))*(A11-A10)))^2+(F40-B11)^2)))))+(IF(AND((F40-B11)&lt;=0,(F40-B12)&lt;=0),0,IF(AND((F40-B11)&gt;=0,(F40-B12)&gt;=0),SQRT((A12-A11)^2+(B12-B11)^2),IF((F40-B11)&gt;0,SQRT(((A11+((F40-B11)/((F40-B11)-(F40-B12)))*(A12-A11))-A11)^2+(F40-B11)^2),SQRT((A12-(A11+((F40-B11)/((F40-B11)-(F40-B12)))*(A12-A11)))^2+(F40-B12)^2)))))+(IF(AND((F40-B12)&lt;=0,(F40-B13)&lt;=0),0,IF(AND((F40-B12)&gt;=0,(F40-B13)&gt;=0),SQRT((A13-A12)^2+(B13-B12)^2),IF((F40-B12)&gt;0,SQRT(((A12+((F40-B12)/((F40-B12)-(F40-B13)))*(A13-A12))-A12)^2+(F40-B12)^2),SQRT((A13-(A12+((F40-B12)/((F40-B12)-(F40-B13)))*(A13-A12)))^2+(F40-B13)^2)))))+(IF(AND((F40-B13)&lt;=0,(F40-B14)&lt;=0),0,IF(AND((F40-B13)&gt;=0,(F40-B14)&gt;=0),SQRT((A14-A13)^2+(B14-B13)^2),IF((F40-B13)&gt;0,SQRT(((A13+((F40-B13)/((F40-B13)-(F40-B14)))*(A14-A13))-A13)^2+(F40-B13)^2),SQRT((A14-(A13+((F40-B13)/((F40-B13)-(F40-B14)))*(A14-A13)))^2+(F40-B14)^2)))))+(IF(AND((F40-B14)&lt;=0,(F40-B15)&lt;=0),0,IF(AND((F40-B14)&gt;=0,(F40-B15)&gt;=0),SQRT((A15-A14)^2+(B15-B14)^2),IF((F40-B14)&gt;0,SQRT(((A14+((F40-B14)/((F40-B14)-(F40-B15)))*(A15-A14))-A14)^2+(F40-B14)^2),SQRT((A15-(A14+((F40-B14)/((F40-B14)-(F40-B15)))*(A15-A14)))^2+(F40-B15)^2)))))+(IF(AND((F40-B15)&lt;=0,(F40-B16)&lt;=0),0,IF(AND((F40-B15)&gt;=0,(F40-B16)&gt;=0),SQRT((A16-A15)^2+(B16-B15)^2),IF((F40-B15)&gt;0,SQRT(((A15+((F40-B15)/((F40-B15)-(F40-B16)))*(A16-A15))-A15)^2+(F40-B15)^2),SQRT((A16-(A15+((F40-B15)/((F40-B15)-(F40-B16)))*(A16-A15)))^2+(F40-B16)^2)))))+(IF(AND((F40-B16)&lt;=0,(F40-B17)&lt;=0),0,IF(AND((F40-B16)&gt;=0,(F40-B17)&gt;=0),SQRT((A17-A16)^2+(B17-B16)^2),IF((F40-B16)&gt;0,SQRT(((A16+((F40-B16)/((F40-B16)-(F40-B17)))*(A17-A16))-A16)^2+(F40-B16)^2),SQRT((A17-(A16+((F40-B16)/((F40-B16)-(F40-B17)))*(A17-A16)))^2+(F40-B17)^2)))))+(IF(AND((F40-B17)&lt;=0,(F40-B18)&lt;=0),0,IF(AND((F40-B17)&gt;=0,(F40-B18)&gt;=0),SQRT((A18-A17)^2+(B18-B17)^2),IF((F40-B17)&gt;0,SQRT(((A17+((F40-B17)/((F40-B17)-(F40-B18)))*(A18-A17))-A17)^2+(F40-B17)^2),SQRT((A18-(A17+((F40-B17)/((F40-B17)-(F40-B18)))*(A18-A17)))^2+(F40-B18)^2)))))</f>
        <v/>
      </c>
      <c r="I40">
        <f>IF(OR($B$4&lt;=0,G40&lt;=0,H40&lt;=0,$B$5&lt;=0),0,(1/$B$4)*G40*((G40/H40)^(2/3))*SQRT($B$5))</f>
        <v/>
      </c>
    </row>
    <row r="41">
      <c r="D41">
        <f>IF(I40&lt;$B$3,F40,D40)</f>
        <v/>
      </c>
      <c r="E41">
        <f>IF(I40&lt;$B$3,E40,F40)</f>
        <v/>
      </c>
      <c r="F41">
        <f>(D41+E41)/2</f>
        <v/>
      </c>
      <c r="G41">
        <f>(IF(AND((F41-B10)&lt;=0,(F41-B11)&lt;=0),0,IF(AND((F41-B10)&gt;=0,(F41-B11)&gt;=0),0.5*((F41-B10)+(F41-B11))*ABS(A11-A10),IF((F41-B10)&gt;0,0.5*(F41-B10)*ABS((A10+((F41-B10)/((F41-B10)-(F41-B11)))*(A11-A10))-A10),0.5*(F41-B11)*ABS(A11-(A10+((F41-B10)/((F41-B10)-(F41-B11)))*(A11-A10)))))))+(IF(AND((F41-B11)&lt;=0,(F41-B12)&lt;=0),0,IF(AND((F41-B11)&gt;=0,(F41-B12)&gt;=0),0.5*((F41-B11)+(F41-B12))*ABS(A12-A11),IF((F41-B11)&gt;0,0.5*(F41-B11)*ABS((A11+((F41-B11)/((F41-B11)-(F41-B12)))*(A12-A11))-A11),0.5*(F41-B12)*ABS(A12-(A11+((F41-B11)/((F41-B11)-(F41-B12)))*(A12-A11)))))))+(IF(AND((F41-B12)&lt;=0,(F41-B13)&lt;=0),0,IF(AND((F41-B12)&gt;=0,(F41-B13)&gt;=0),0.5*((F41-B12)+(F41-B13))*ABS(A13-A12),IF((F41-B12)&gt;0,0.5*(F41-B12)*ABS((A12+((F41-B12)/((F41-B12)-(F41-B13)))*(A13-A12))-A12),0.5*(F41-B13)*ABS(A13-(A12+((F41-B12)/((F41-B12)-(F41-B13)))*(A13-A12)))))))+(IF(AND((F41-B13)&lt;=0,(F41-B14)&lt;=0),0,IF(AND((F41-B13)&gt;=0,(F41-B14)&gt;=0),0.5*((F41-B13)+(F41-B14))*ABS(A14-A13),IF((F41-B13)&gt;0,0.5*(F41-B13)*ABS((A13+((F41-B13)/((F41-B13)-(F41-B14)))*(A14-A13))-A13),0.5*(F41-B14)*ABS(A14-(A13+((F41-B13)/((F41-B13)-(F41-B14)))*(A14-A13)))))))+(IF(AND((F41-B14)&lt;=0,(F41-B15)&lt;=0),0,IF(AND((F41-B14)&gt;=0,(F41-B15)&gt;=0),0.5*((F41-B14)+(F41-B15))*ABS(A15-A14),IF((F41-B14)&gt;0,0.5*(F41-B14)*ABS((A14+((F41-B14)/((F41-B14)-(F41-B15)))*(A15-A14))-A14),0.5*(F41-B15)*ABS(A15-(A14+((F41-B14)/((F41-B14)-(F41-B15)))*(A15-A14)))))))+(IF(AND((F41-B15)&lt;=0,(F41-B16)&lt;=0),0,IF(AND((F41-B15)&gt;=0,(F41-B16)&gt;=0),0.5*((F41-B15)+(F41-B16))*ABS(A16-A15),IF((F41-B15)&gt;0,0.5*(F41-B15)*ABS((A15+((F41-B15)/((F41-B15)-(F41-B16)))*(A16-A15))-A15),0.5*(F41-B16)*ABS(A16-(A15+((F41-B15)/((F41-B15)-(F41-B16)))*(A16-A15)))))))+(IF(AND((F41-B16)&lt;=0,(F41-B17)&lt;=0),0,IF(AND((F41-B16)&gt;=0,(F41-B17)&gt;=0),0.5*((F41-B16)+(F41-B17))*ABS(A17-A16),IF((F41-B16)&gt;0,0.5*(F41-B16)*ABS((A16+((F41-B16)/((F41-B16)-(F41-B17)))*(A17-A16))-A16),0.5*(F41-B17)*ABS(A17-(A16+((F41-B16)/((F41-B16)-(F41-B17)))*(A17-A16)))))))+(IF(AND((F41-B17)&lt;=0,(F41-B18)&lt;=0),0,IF(AND((F41-B17)&gt;=0,(F41-B18)&gt;=0),0.5*((F41-B17)+(F41-B18))*ABS(A18-A17),IF((F41-B17)&gt;0,0.5*(F41-B17)*ABS((A17+((F41-B17)/((F41-B17)-(F41-B18)))*(A18-A17))-A17),0.5*(F41-B18)*ABS(A18-(A17+((F41-B17)/((F41-B17)-(F41-B18)))*(A18-A17)))))))</f>
        <v/>
      </c>
      <c r="H41">
        <f>(IF(AND((F41-B10)&lt;=0,(F41-B11)&lt;=0),0,IF(AND((F41-B10)&gt;=0,(F41-B11)&gt;=0),SQRT((A11-A10)^2+(B11-B10)^2),IF((F41-B10)&gt;0,SQRT(((A10+((F41-B10)/((F41-B10)-(F41-B11)))*(A11-A10))-A10)^2+(F41-B10)^2),SQRT((A11-(A10+((F41-B10)/((F41-B10)-(F41-B11)))*(A11-A10)))^2+(F41-B11)^2)))))+(IF(AND((F41-B11)&lt;=0,(F41-B12)&lt;=0),0,IF(AND((F41-B11)&gt;=0,(F41-B12)&gt;=0),SQRT((A12-A11)^2+(B12-B11)^2),IF((F41-B11)&gt;0,SQRT(((A11+((F41-B11)/((F41-B11)-(F41-B12)))*(A12-A11))-A11)^2+(F41-B11)^2),SQRT((A12-(A11+((F41-B11)/((F41-B11)-(F41-B12)))*(A12-A11)))^2+(F41-B12)^2)))))+(IF(AND((F41-B12)&lt;=0,(F41-B13)&lt;=0),0,IF(AND((F41-B12)&gt;=0,(F41-B13)&gt;=0),SQRT((A13-A12)^2+(B13-B12)^2),IF((F41-B12)&gt;0,SQRT(((A12+((F41-B12)/((F41-B12)-(F41-B13)))*(A13-A12))-A12)^2+(F41-B12)^2),SQRT((A13-(A12+((F41-B12)/((F41-B12)-(F41-B13)))*(A13-A12)))^2+(F41-B13)^2)))))+(IF(AND((F41-B13)&lt;=0,(F41-B14)&lt;=0),0,IF(AND((F41-B13)&gt;=0,(F41-B14)&gt;=0),SQRT((A14-A13)^2+(B14-B13)^2),IF((F41-B13)&gt;0,SQRT(((A13+((F41-B13)/((F41-B13)-(F41-B14)))*(A14-A13))-A13)^2+(F41-B13)^2),SQRT((A14-(A13+((F41-B13)/((F41-B13)-(F41-B14)))*(A14-A13)))^2+(F41-B14)^2)))))+(IF(AND((F41-B14)&lt;=0,(F41-B15)&lt;=0),0,IF(AND((F41-B14)&gt;=0,(F41-B15)&gt;=0),SQRT((A15-A14)^2+(B15-B14)^2),IF((F41-B14)&gt;0,SQRT(((A14+((F41-B14)/((F41-B14)-(F41-B15)))*(A15-A14))-A14)^2+(F41-B14)^2),SQRT((A15-(A14+((F41-B14)/((F41-B14)-(F41-B15)))*(A15-A14)))^2+(F41-B15)^2)))))+(IF(AND((F41-B15)&lt;=0,(F41-B16)&lt;=0),0,IF(AND((F41-B15)&gt;=0,(F41-B16)&gt;=0),SQRT((A16-A15)^2+(B16-B15)^2),IF((F41-B15)&gt;0,SQRT(((A15+((F41-B15)/((F41-B15)-(F41-B16)))*(A16-A15))-A15)^2+(F41-B15)^2),SQRT((A16-(A15+((F41-B15)/((F41-B15)-(F41-B16)))*(A16-A15)))^2+(F41-B16)^2)))))+(IF(AND((F41-B16)&lt;=0,(F41-B17)&lt;=0),0,IF(AND((F41-B16)&gt;=0,(F41-B17)&gt;=0),SQRT((A17-A16)^2+(B17-B16)^2),IF((F41-B16)&gt;0,SQRT(((A16+((F41-B16)/((F41-B16)-(F41-B17)))*(A17-A16))-A16)^2+(F41-B16)^2),SQRT((A17-(A16+((F41-B16)/((F41-B16)-(F41-B17)))*(A17-A16)))^2+(F41-B17)^2)))))+(IF(AND((F41-B17)&lt;=0,(F41-B18)&lt;=0),0,IF(AND((F41-B17)&gt;=0,(F41-B18)&gt;=0),SQRT((A18-A17)^2+(B18-B17)^2),IF((F41-B17)&gt;0,SQRT(((A17+((F41-B17)/((F41-B17)-(F41-B18)))*(A18-A17))-A17)^2+(F41-B17)^2),SQRT((A18-(A17+((F41-B17)/((F41-B17)-(F41-B18)))*(A18-A17)))^2+(F41-B18)^2)))))</f>
        <v/>
      </c>
      <c r="I41">
        <f>IF(OR($B$4&lt;=0,G41&lt;=0,H41&lt;=0,$B$5&lt;=0),0,(1/$B$4)*G41*((G41/H41)^(2/3))*SQRT($B$5))</f>
        <v/>
      </c>
    </row>
    <row r="42">
      <c r="D42">
        <f>IF(I41&lt;$B$3,F41,D41)</f>
        <v/>
      </c>
      <c r="E42">
        <f>IF(I41&lt;$B$3,E41,F41)</f>
        <v/>
      </c>
      <c r="F42">
        <f>(D42+E42)/2</f>
        <v/>
      </c>
      <c r="G42">
        <f>(IF(AND((F42-B10)&lt;=0,(F42-B11)&lt;=0),0,IF(AND((F42-B10)&gt;=0,(F42-B11)&gt;=0),0.5*((F42-B10)+(F42-B11))*ABS(A11-A10),IF((F42-B10)&gt;0,0.5*(F42-B10)*ABS((A10+((F42-B10)/((F42-B10)-(F42-B11)))*(A11-A10))-A10),0.5*(F42-B11)*ABS(A11-(A10+((F42-B10)/((F42-B10)-(F42-B11)))*(A11-A10)))))))+(IF(AND((F42-B11)&lt;=0,(F42-B12)&lt;=0),0,IF(AND((F42-B11)&gt;=0,(F42-B12)&gt;=0),0.5*((F42-B11)+(F42-B12))*ABS(A12-A11),IF((F42-B11)&gt;0,0.5*(F42-B11)*ABS((A11+((F42-B11)/((F42-B11)-(F42-B12)))*(A12-A11))-A11),0.5*(F42-B12)*ABS(A12-(A11+((F42-B11)/((F42-B11)-(F42-B12)))*(A12-A11)))))))+(IF(AND((F42-B12)&lt;=0,(F42-B13)&lt;=0),0,IF(AND((F42-B12)&gt;=0,(F42-B13)&gt;=0),0.5*((F42-B12)+(F42-B13))*ABS(A13-A12),IF((F42-B12)&gt;0,0.5*(F42-B12)*ABS((A12+((F42-B12)/((F42-B12)-(F42-B13)))*(A13-A12))-A12),0.5*(F42-B13)*ABS(A13-(A12+((F42-B12)/((F42-B12)-(F42-B13)))*(A13-A12)))))))+(IF(AND((F42-B13)&lt;=0,(F42-B14)&lt;=0),0,IF(AND((F42-B13)&gt;=0,(F42-B14)&gt;=0),0.5*((F42-B13)+(F42-B14))*ABS(A14-A13),IF((F42-B13)&gt;0,0.5*(F42-B13)*ABS((A13+((F42-B13)/((F42-B13)-(F42-B14)))*(A14-A13))-A13),0.5*(F42-B14)*ABS(A14-(A13+((F42-B13)/((F42-B13)-(F42-B14)))*(A14-A13)))))))+(IF(AND((F42-B14)&lt;=0,(F42-B15)&lt;=0),0,IF(AND((F42-B14)&gt;=0,(F42-B15)&gt;=0),0.5*((F42-B14)+(F42-B15))*ABS(A15-A14),IF((F42-B14)&gt;0,0.5*(F42-B14)*ABS((A14+((F42-B14)/((F42-B14)-(F42-B15)))*(A15-A14))-A14),0.5*(F42-B15)*ABS(A15-(A14+((F42-B14)/((F42-B14)-(F42-B15)))*(A15-A14)))))))+(IF(AND((F42-B15)&lt;=0,(F42-B16)&lt;=0),0,IF(AND((F42-B15)&gt;=0,(F42-B16)&gt;=0),0.5*((F42-B15)+(F42-B16))*ABS(A16-A15),IF((F42-B15)&gt;0,0.5*(F42-B15)*ABS((A15+((F42-B15)/((F42-B15)-(F42-B16)))*(A16-A15))-A15),0.5*(F42-B16)*ABS(A16-(A15+((F42-B15)/((F42-B15)-(F42-B16)))*(A16-A15)))))))+(IF(AND((F42-B16)&lt;=0,(F42-B17)&lt;=0),0,IF(AND((F42-B16)&gt;=0,(F42-B17)&gt;=0),0.5*((F42-B16)+(F42-B17))*ABS(A17-A16),IF((F42-B16)&gt;0,0.5*(F42-B16)*ABS((A16+((F42-B16)/((F42-B16)-(F42-B17)))*(A17-A16))-A16),0.5*(F42-B17)*ABS(A17-(A16+((F42-B16)/((F42-B16)-(F42-B17)))*(A17-A16)))))))+(IF(AND((F42-B17)&lt;=0,(F42-B18)&lt;=0),0,IF(AND((F42-B17)&gt;=0,(F42-B18)&gt;=0),0.5*((F42-B17)+(F42-B18))*ABS(A18-A17),IF((F42-B17)&gt;0,0.5*(F42-B17)*ABS((A17+((F42-B17)/((F42-B17)-(F42-B18)))*(A18-A17))-A17),0.5*(F42-B18)*ABS(A18-(A17+((F42-B17)/((F42-B17)-(F42-B18)))*(A18-A17)))))))</f>
        <v/>
      </c>
      <c r="H42">
        <f>(IF(AND((F42-B10)&lt;=0,(F42-B11)&lt;=0),0,IF(AND((F42-B10)&gt;=0,(F42-B11)&gt;=0),SQRT((A11-A10)^2+(B11-B10)^2),IF((F42-B10)&gt;0,SQRT(((A10+((F42-B10)/((F42-B10)-(F42-B11)))*(A11-A10))-A10)^2+(F42-B10)^2),SQRT((A11-(A10+((F42-B10)/((F42-B10)-(F42-B11)))*(A11-A10)))^2+(F42-B11)^2)))))+(IF(AND((F42-B11)&lt;=0,(F42-B12)&lt;=0),0,IF(AND((F42-B11)&gt;=0,(F42-B12)&gt;=0),SQRT((A12-A11)^2+(B12-B11)^2),IF((F42-B11)&gt;0,SQRT(((A11+((F42-B11)/((F42-B11)-(F42-B12)))*(A12-A11))-A11)^2+(F42-B11)^2),SQRT((A12-(A11+((F42-B11)/((F42-B11)-(F42-B12)))*(A12-A11)))^2+(F42-B12)^2)))))+(IF(AND((F42-B12)&lt;=0,(F42-B13)&lt;=0),0,IF(AND((F42-B12)&gt;=0,(F42-B13)&gt;=0),SQRT((A13-A12)^2+(B13-B12)^2),IF((F42-B12)&gt;0,SQRT(((A12+((F42-B12)/((F42-B12)-(F42-B13)))*(A13-A12))-A12)^2+(F42-B12)^2),SQRT((A13-(A12+((F42-B12)/((F42-B12)-(F42-B13)))*(A13-A12)))^2+(F42-B13)^2)))))+(IF(AND((F42-B13)&lt;=0,(F42-B14)&lt;=0),0,IF(AND((F42-B13)&gt;=0,(F42-B14)&gt;=0),SQRT((A14-A13)^2+(B14-B13)^2),IF((F42-B13)&gt;0,SQRT(((A13+((F42-B13)/((F42-B13)-(F42-B14)))*(A14-A13))-A13)^2+(F42-B13)^2),SQRT((A14-(A13+((F42-B13)/((F42-B13)-(F42-B14)))*(A14-A13)))^2+(F42-B14)^2)))))+(IF(AND((F42-B14)&lt;=0,(F42-B15)&lt;=0),0,IF(AND((F42-B14)&gt;=0,(F42-B15)&gt;=0),SQRT((A15-A14)^2+(B15-B14)^2),IF((F42-B14)&gt;0,SQRT(((A14+((F42-B14)/((F42-B14)-(F42-B15)))*(A15-A14))-A14)^2+(F42-B14)^2),SQRT((A15-(A14+((F42-B14)/((F42-B14)-(F42-B15)))*(A15-A14)))^2+(F42-B15)^2)))))+(IF(AND((F42-B15)&lt;=0,(F42-B16)&lt;=0),0,IF(AND((F42-B15)&gt;=0,(F42-B16)&gt;=0),SQRT((A16-A15)^2+(B16-B15)^2),IF((F42-B15)&gt;0,SQRT(((A15+((F42-B15)/((F42-B15)-(F42-B16)))*(A16-A15))-A15)^2+(F42-B15)^2),SQRT((A16-(A15+((F42-B15)/((F42-B15)-(F42-B16)))*(A16-A15)))^2+(F42-B16)^2)))))+(IF(AND((F42-B16)&lt;=0,(F42-B17)&lt;=0),0,IF(AND((F42-B16)&gt;=0,(F42-B17)&gt;=0),SQRT((A17-A16)^2+(B17-B16)^2),IF((F42-B16)&gt;0,SQRT(((A16+((F42-B16)/((F42-B16)-(F42-B17)))*(A17-A16))-A16)^2+(F42-B16)^2),SQRT((A17-(A16+((F42-B16)/((F42-B16)-(F42-B17)))*(A17-A16)))^2+(F42-B17)^2)))))+(IF(AND((F42-B17)&lt;=0,(F42-B18)&lt;=0),0,IF(AND((F42-B17)&gt;=0,(F42-B18)&gt;=0),SQRT((A18-A17)^2+(B18-B17)^2),IF((F42-B17)&gt;0,SQRT(((A17+((F42-B17)/((F42-B17)-(F42-B18)))*(A18-A17))-A17)^2+(F42-B17)^2),SQRT((A18-(A17+((F42-B17)/((F42-B17)-(F42-B18)))*(A18-A17)))^2+(F42-B18)^2)))))</f>
        <v/>
      </c>
      <c r="I42">
        <f>IF(OR($B$4&lt;=0,G42&lt;=0,H42&lt;=0,$B$5&lt;=0),0,(1/$B$4)*G42*((G42/H42)^(2/3))*SQRT($B$5))</f>
        <v/>
      </c>
    </row>
    <row r="43">
      <c r="D43">
        <f>IF(I42&lt;$B$3,F42,D42)</f>
        <v/>
      </c>
      <c r="E43">
        <f>IF(I42&lt;$B$3,E42,F42)</f>
        <v/>
      </c>
      <c r="F43">
        <f>(D43+E43)/2</f>
        <v/>
      </c>
      <c r="G43">
        <f>(IF(AND((F43-B10)&lt;=0,(F43-B11)&lt;=0),0,IF(AND((F43-B10)&gt;=0,(F43-B11)&gt;=0),0.5*((F43-B10)+(F43-B11))*ABS(A11-A10),IF((F43-B10)&gt;0,0.5*(F43-B10)*ABS((A10+((F43-B10)/((F43-B10)-(F43-B11)))*(A11-A10))-A10),0.5*(F43-B11)*ABS(A11-(A10+((F43-B10)/((F43-B10)-(F43-B11)))*(A11-A10)))))))+(IF(AND((F43-B11)&lt;=0,(F43-B12)&lt;=0),0,IF(AND((F43-B11)&gt;=0,(F43-B12)&gt;=0),0.5*((F43-B11)+(F43-B12))*ABS(A12-A11),IF((F43-B11)&gt;0,0.5*(F43-B11)*ABS((A11+((F43-B11)/((F43-B11)-(F43-B12)))*(A12-A11))-A11),0.5*(F43-B12)*ABS(A12-(A11+((F43-B11)/((F43-B11)-(F43-B12)))*(A12-A11)))))))+(IF(AND((F43-B12)&lt;=0,(F43-B13)&lt;=0),0,IF(AND((F43-B12)&gt;=0,(F43-B13)&gt;=0),0.5*((F43-B12)+(F43-B13))*ABS(A13-A12),IF((F43-B12)&gt;0,0.5*(F43-B12)*ABS((A12+((F43-B12)/((F43-B12)-(F43-B13)))*(A13-A12))-A12),0.5*(F43-B13)*ABS(A13-(A12+((F43-B12)/((F43-B12)-(F43-B13)))*(A13-A12)))))))+(IF(AND((F43-B13)&lt;=0,(F43-B14)&lt;=0),0,IF(AND((F43-B13)&gt;=0,(F43-B14)&gt;=0),0.5*((F43-B13)+(F43-B14))*ABS(A14-A13),IF((F43-B13)&gt;0,0.5*(F43-B13)*ABS((A13+((F43-B13)/((F43-B13)-(F43-B14)))*(A14-A13))-A13),0.5*(F43-B14)*ABS(A14-(A13+((F43-B13)/((F43-B13)-(F43-B14)))*(A14-A13)))))))+(IF(AND((F43-B14)&lt;=0,(F43-B15)&lt;=0),0,IF(AND((F43-B14)&gt;=0,(F43-B15)&gt;=0),0.5*((F43-B14)+(F43-B15))*ABS(A15-A14),IF((F43-B14)&gt;0,0.5*(F43-B14)*ABS((A14+((F43-B14)/((F43-B14)-(F43-B15)))*(A15-A14))-A14),0.5*(F43-B15)*ABS(A15-(A14+((F43-B14)/((F43-B14)-(F43-B15)))*(A15-A14)))))))+(IF(AND((F43-B15)&lt;=0,(F43-B16)&lt;=0),0,IF(AND((F43-B15)&gt;=0,(F43-B16)&gt;=0),0.5*((F43-B15)+(F43-B16))*ABS(A16-A15),IF((F43-B15)&gt;0,0.5*(F43-B15)*ABS((A15+((F43-B15)/((F43-B15)-(F43-B16)))*(A16-A15))-A15),0.5*(F43-B16)*ABS(A16-(A15+((F43-B15)/((F43-B15)-(F43-B16)))*(A16-A15)))))))+(IF(AND((F43-B16)&lt;=0,(F43-B17)&lt;=0),0,IF(AND((F43-B16)&gt;=0,(F43-B17)&gt;=0),0.5*((F43-B16)+(F43-B17))*ABS(A17-A16),IF((F43-B16)&gt;0,0.5*(F43-B16)*ABS((A16+((F43-B16)/((F43-B16)-(F43-B17)))*(A17-A16))-A16),0.5*(F43-B17)*ABS(A17-(A16+((F43-B16)/((F43-B16)-(F43-B17)))*(A17-A16)))))))+(IF(AND((F43-B17)&lt;=0,(F43-B18)&lt;=0),0,IF(AND((F43-B17)&gt;=0,(F43-B18)&gt;=0),0.5*((F43-B17)+(F43-B18))*ABS(A18-A17),IF((F43-B17)&gt;0,0.5*(F43-B17)*ABS((A17+((F43-B17)/((F43-B17)-(F43-B18)))*(A18-A17))-A17),0.5*(F43-B18)*ABS(A18-(A17+((F43-B17)/((F43-B17)-(F43-B18)))*(A18-A17)))))))</f>
        <v/>
      </c>
      <c r="H43">
        <f>(IF(AND((F43-B10)&lt;=0,(F43-B11)&lt;=0),0,IF(AND((F43-B10)&gt;=0,(F43-B11)&gt;=0),SQRT((A11-A10)^2+(B11-B10)^2),IF((F43-B10)&gt;0,SQRT(((A10+((F43-B10)/((F43-B10)-(F43-B11)))*(A11-A10))-A10)^2+(F43-B10)^2),SQRT((A11-(A10+((F43-B10)/((F43-B10)-(F43-B11)))*(A11-A10)))^2+(F43-B11)^2)))))+(IF(AND((F43-B11)&lt;=0,(F43-B12)&lt;=0),0,IF(AND((F43-B11)&gt;=0,(F43-B12)&gt;=0),SQRT((A12-A11)^2+(B12-B11)^2),IF((F43-B11)&gt;0,SQRT(((A11+((F43-B11)/((F43-B11)-(F43-B12)))*(A12-A11))-A11)^2+(F43-B11)^2),SQRT((A12-(A11+((F43-B11)/((F43-B11)-(F43-B12)))*(A12-A11)))^2+(F43-B12)^2)))))+(IF(AND((F43-B12)&lt;=0,(F43-B13)&lt;=0),0,IF(AND((F43-B12)&gt;=0,(F43-B13)&gt;=0),SQRT((A13-A12)^2+(B13-B12)^2),IF((F43-B12)&gt;0,SQRT(((A12+((F43-B12)/((F43-B12)-(F43-B13)))*(A13-A12))-A12)^2+(F43-B12)^2),SQRT((A13-(A12+((F43-B12)/((F43-B12)-(F43-B13)))*(A13-A12)))^2+(F43-B13)^2)))))+(IF(AND((F43-B13)&lt;=0,(F43-B14)&lt;=0),0,IF(AND((F43-B13)&gt;=0,(F43-B14)&gt;=0),SQRT((A14-A13)^2+(B14-B13)^2),IF((F43-B13)&gt;0,SQRT(((A13+((F43-B13)/((F43-B13)-(F43-B14)))*(A14-A13))-A13)^2+(F43-B13)^2),SQRT((A14-(A13+((F43-B13)/((F43-B13)-(F43-B14)))*(A14-A13)))^2+(F43-B14)^2)))))+(IF(AND((F43-B14)&lt;=0,(F43-B15)&lt;=0),0,IF(AND((F43-B14)&gt;=0,(F43-B15)&gt;=0),SQRT((A15-A14)^2+(B15-B14)^2),IF((F43-B14)&gt;0,SQRT(((A14+((F43-B14)/((F43-B14)-(F43-B15)))*(A15-A14))-A14)^2+(F43-B14)^2),SQRT((A15-(A14+((F43-B14)/((F43-B14)-(F43-B15)))*(A15-A14)))^2+(F43-B15)^2)))))+(IF(AND((F43-B15)&lt;=0,(F43-B16)&lt;=0),0,IF(AND((F43-B15)&gt;=0,(F43-B16)&gt;=0),SQRT((A16-A15)^2+(B16-B15)^2),IF((F43-B15)&gt;0,SQRT(((A15+((F43-B15)/((F43-B15)-(F43-B16)))*(A16-A15))-A15)^2+(F43-B15)^2),SQRT((A16-(A15+((F43-B15)/((F43-B15)-(F43-B16)))*(A16-A15)))^2+(F43-B16)^2)))))+(IF(AND((F43-B16)&lt;=0,(F43-B17)&lt;=0),0,IF(AND((F43-B16)&gt;=0,(F43-B17)&gt;=0),SQRT((A17-A16)^2+(B17-B16)^2),IF((F43-B16)&gt;0,SQRT(((A16+((F43-B16)/((F43-B16)-(F43-B17)))*(A17-A16))-A16)^2+(F43-B16)^2),SQRT((A17-(A16+((F43-B16)/((F43-B16)-(F43-B17)))*(A17-A16)))^2+(F43-B17)^2)))))+(IF(AND((F43-B17)&lt;=0,(F43-B18)&lt;=0),0,IF(AND((F43-B17)&gt;=0,(F43-B18)&gt;=0),SQRT((A18-A17)^2+(B18-B17)^2),IF((F43-B17)&gt;0,SQRT(((A17+((F43-B17)/((F43-B17)-(F43-B18)))*(A18-A17))-A17)^2+(F43-B17)^2),SQRT((A18-(A17+((F43-B17)/((F43-B17)-(F43-B18)))*(A18-A17)))^2+(F43-B18)^2)))))</f>
        <v/>
      </c>
      <c r="I43">
        <f>IF(OR($B$4&lt;=0,G43&lt;=0,H43&lt;=0,$B$5&lt;=0),0,(1/$B$4)*G43*((G43/H43)^(2/3))*SQRT($B$5))</f>
        <v/>
      </c>
    </row>
    <row r="44">
      <c r="D44">
        <f>IF(I43&lt;$B$3,F43,D43)</f>
        <v/>
      </c>
      <c r="E44">
        <f>IF(I43&lt;$B$3,E43,F43)</f>
        <v/>
      </c>
      <c r="F44">
        <f>(D44+E44)/2</f>
        <v/>
      </c>
      <c r="G44">
        <f>(IF(AND((F44-B10)&lt;=0,(F44-B11)&lt;=0),0,IF(AND((F44-B10)&gt;=0,(F44-B11)&gt;=0),0.5*((F44-B10)+(F44-B11))*ABS(A11-A10),IF((F44-B10)&gt;0,0.5*(F44-B10)*ABS((A10+((F44-B10)/((F44-B10)-(F44-B11)))*(A11-A10))-A10),0.5*(F44-B11)*ABS(A11-(A10+((F44-B10)/((F44-B10)-(F44-B11)))*(A11-A10)))))))+(IF(AND((F44-B11)&lt;=0,(F44-B12)&lt;=0),0,IF(AND((F44-B11)&gt;=0,(F44-B12)&gt;=0),0.5*((F44-B11)+(F44-B12))*ABS(A12-A11),IF((F44-B11)&gt;0,0.5*(F44-B11)*ABS((A11+((F44-B11)/((F44-B11)-(F44-B12)))*(A12-A11))-A11),0.5*(F44-B12)*ABS(A12-(A11+((F44-B11)/((F44-B11)-(F44-B12)))*(A12-A11)))))))+(IF(AND((F44-B12)&lt;=0,(F44-B13)&lt;=0),0,IF(AND((F44-B12)&gt;=0,(F44-B13)&gt;=0),0.5*((F44-B12)+(F44-B13))*ABS(A13-A12),IF((F44-B12)&gt;0,0.5*(F44-B12)*ABS((A12+((F44-B12)/((F44-B12)-(F44-B13)))*(A13-A12))-A12),0.5*(F44-B13)*ABS(A13-(A12+((F44-B12)/((F44-B12)-(F44-B13)))*(A13-A12)))))))+(IF(AND((F44-B13)&lt;=0,(F44-B14)&lt;=0),0,IF(AND((F44-B13)&gt;=0,(F44-B14)&gt;=0),0.5*((F44-B13)+(F44-B14))*ABS(A14-A13),IF((F44-B13)&gt;0,0.5*(F44-B13)*ABS((A13+((F44-B13)/((F44-B13)-(F44-B14)))*(A14-A13))-A13),0.5*(F44-B14)*ABS(A14-(A13+((F44-B13)/((F44-B13)-(F44-B14)))*(A14-A13)))))))+(IF(AND((F44-B14)&lt;=0,(F44-B15)&lt;=0),0,IF(AND((F44-B14)&gt;=0,(F44-B15)&gt;=0),0.5*((F44-B14)+(F44-B15))*ABS(A15-A14),IF((F44-B14)&gt;0,0.5*(F44-B14)*ABS((A14+((F44-B14)/((F44-B14)-(F44-B15)))*(A15-A14))-A14),0.5*(F44-B15)*ABS(A15-(A14+((F44-B14)/((F44-B14)-(F44-B15)))*(A15-A14)))))))+(IF(AND((F44-B15)&lt;=0,(F44-B16)&lt;=0),0,IF(AND((F44-B15)&gt;=0,(F44-B16)&gt;=0),0.5*((F44-B15)+(F44-B16))*ABS(A16-A15),IF((F44-B15)&gt;0,0.5*(F44-B15)*ABS((A15+((F44-B15)/((F44-B15)-(F44-B16)))*(A16-A15))-A15),0.5*(F44-B16)*ABS(A16-(A15+((F44-B15)/((F44-B15)-(F44-B16)))*(A16-A15)))))))+(IF(AND((F44-B16)&lt;=0,(F44-B17)&lt;=0),0,IF(AND((F44-B16)&gt;=0,(F44-B17)&gt;=0),0.5*((F44-B16)+(F44-B17))*ABS(A17-A16),IF((F44-B16)&gt;0,0.5*(F44-B16)*ABS((A16+((F44-B16)/((F44-B16)-(F44-B17)))*(A17-A16))-A16),0.5*(F44-B17)*ABS(A17-(A16+((F44-B16)/((F44-B16)-(F44-B17)))*(A17-A16)))))))+(IF(AND((F44-B17)&lt;=0,(F44-B18)&lt;=0),0,IF(AND((F44-B17)&gt;=0,(F44-B18)&gt;=0),0.5*((F44-B17)+(F44-B18))*ABS(A18-A17),IF((F44-B17)&gt;0,0.5*(F44-B17)*ABS((A17+((F44-B17)/((F44-B17)-(F44-B18)))*(A18-A17))-A17),0.5*(F44-B18)*ABS(A18-(A17+((F44-B17)/((F44-B17)-(F44-B18)))*(A18-A17)))))))</f>
        <v/>
      </c>
      <c r="H44">
        <f>(IF(AND((F44-B10)&lt;=0,(F44-B11)&lt;=0),0,IF(AND((F44-B10)&gt;=0,(F44-B11)&gt;=0),SQRT((A11-A10)^2+(B11-B10)^2),IF((F44-B10)&gt;0,SQRT(((A10+((F44-B10)/((F44-B10)-(F44-B11)))*(A11-A10))-A10)^2+(F44-B10)^2),SQRT((A11-(A10+((F44-B10)/((F44-B10)-(F44-B11)))*(A11-A10)))^2+(F44-B11)^2)))))+(IF(AND((F44-B11)&lt;=0,(F44-B12)&lt;=0),0,IF(AND((F44-B11)&gt;=0,(F44-B12)&gt;=0),SQRT((A12-A11)^2+(B12-B11)^2),IF((F44-B11)&gt;0,SQRT(((A11+((F44-B11)/((F44-B11)-(F44-B12)))*(A12-A11))-A11)^2+(F44-B11)^2),SQRT((A12-(A11+((F44-B11)/((F44-B11)-(F44-B12)))*(A12-A11)))^2+(F44-B12)^2)))))+(IF(AND((F44-B12)&lt;=0,(F44-B13)&lt;=0),0,IF(AND((F44-B12)&gt;=0,(F44-B13)&gt;=0),SQRT((A13-A12)^2+(B13-B12)^2),IF((F44-B12)&gt;0,SQRT(((A12+((F44-B12)/((F44-B12)-(F44-B13)))*(A13-A12))-A12)^2+(F44-B12)^2),SQRT((A13-(A12+((F44-B12)/((F44-B12)-(F44-B13)))*(A13-A12)))^2+(F44-B13)^2)))))+(IF(AND((F44-B13)&lt;=0,(F44-B14)&lt;=0),0,IF(AND((F44-B13)&gt;=0,(F44-B14)&gt;=0),SQRT((A14-A13)^2+(B14-B13)^2),IF((F44-B13)&gt;0,SQRT(((A13+((F44-B13)/((F44-B13)-(F44-B14)))*(A14-A13))-A13)^2+(F44-B13)^2),SQRT((A14-(A13+((F44-B13)/((F44-B13)-(F44-B14)))*(A14-A13)))^2+(F44-B14)^2)))))+(IF(AND((F44-B14)&lt;=0,(F44-B15)&lt;=0),0,IF(AND((F44-B14)&gt;=0,(F44-B15)&gt;=0),SQRT((A15-A14)^2+(B15-B14)^2),IF((F44-B14)&gt;0,SQRT(((A14+((F44-B14)/((F44-B14)-(F44-B15)))*(A15-A14))-A14)^2+(F44-B14)^2),SQRT((A15-(A14+((F44-B14)/((F44-B14)-(F44-B15)))*(A15-A14)))^2+(F44-B15)^2)))))+(IF(AND((F44-B15)&lt;=0,(F44-B16)&lt;=0),0,IF(AND((F44-B15)&gt;=0,(F44-B16)&gt;=0),SQRT((A16-A15)^2+(B16-B15)^2),IF((F44-B15)&gt;0,SQRT(((A15+((F44-B15)/((F44-B15)-(F44-B16)))*(A16-A15))-A15)^2+(F44-B15)^2),SQRT((A16-(A15+((F44-B15)/((F44-B15)-(F44-B16)))*(A16-A15)))^2+(F44-B16)^2)))))+(IF(AND((F44-B16)&lt;=0,(F44-B17)&lt;=0),0,IF(AND((F44-B16)&gt;=0,(F44-B17)&gt;=0),SQRT((A17-A16)^2+(B17-B16)^2),IF((F44-B16)&gt;0,SQRT(((A16+((F44-B16)/((F44-B16)-(F44-B17)))*(A17-A16))-A16)^2+(F44-B16)^2),SQRT((A17-(A16+((F44-B16)/((F44-B16)-(F44-B17)))*(A17-A16)))^2+(F44-B17)^2)))))+(IF(AND((F44-B17)&lt;=0,(F44-B18)&lt;=0),0,IF(AND((F44-B17)&gt;=0,(F44-B18)&gt;=0),SQRT((A18-A17)^2+(B18-B17)^2),IF((F44-B17)&gt;0,SQRT(((A17+((F44-B17)/((F44-B17)-(F44-B18)))*(A18-A17))-A17)^2+(F44-B17)^2),SQRT((A18-(A17+((F44-B17)/((F44-B17)-(F44-B18)))*(A18-A17)))^2+(F44-B18)^2)))))</f>
        <v/>
      </c>
      <c r="I44">
        <f>IF(OR($B$4&lt;=0,G44&lt;=0,H44&lt;=0,$B$5&lt;=0),0,(1/$B$4)*G44*((G44/H44)^(2/3))*SQRT($B$5))</f>
        <v/>
      </c>
    </row>
    <row r="45">
      <c r="D45">
        <f>IF(I44&lt;$B$3,F44,D44)</f>
        <v/>
      </c>
      <c r="E45">
        <f>IF(I44&lt;$B$3,E44,F44)</f>
        <v/>
      </c>
      <c r="F45">
        <f>(D45+E45)/2</f>
        <v/>
      </c>
      <c r="G45">
        <f>(IF(AND((F45-B10)&lt;=0,(F45-B11)&lt;=0),0,IF(AND((F45-B10)&gt;=0,(F45-B11)&gt;=0),0.5*((F45-B10)+(F45-B11))*ABS(A11-A10),IF((F45-B10)&gt;0,0.5*(F45-B10)*ABS((A10+((F45-B10)/((F45-B10)-(F45-B11)))*(A11-A10))-A10),0.5*(F45-B11)*ABS(A11-(A10+((F45-B10)/((F45-B10)-(F45-B11)))*(A11-A10)))))))+(IF(AND((F45-B11)&lt;=0,(F45-B12)&lt;=0),0,IF(AND((F45-B11)&gt;=0,(F45-B12)&gt;=0),0.5*((F45-B11)+(F45-B12))*ABS(A12-A11),IF((F45-B11)&gt;0,0.5*(F45-B11)*ABS((A11+((F45-B11)/((F45-B11)-(F45-B12)))*(A12-A11))-A11),0.5*(F45-B12)*ABS(A12-(A11+((F45-B11)/((F45-B11)-(F45-B12)))*(A12-A11)))))))+(IF(AND((F45-B12)&lt;=0,(F45-B13)&lt;=0),0,IF(AND((F45-B12)&gt;=0,(F45-B13)&gt;=0),0.5*((F45-B12)+(F45-B13))*ABS(A13-A12),IF((F45-B12)&gt;0,0.5*(F45-B12)*ABS((A12+((F45-B12)/((F45-B12)-(F45-B13)))*(A13-A12))-A12),0.5*(F45-B13)*ABS(A13-(A12+((F45-B12)/((F45-B12)-(F45-B13)))*(A13-A12)))))))+(IF(AND((F45-B13)&lt;=0,(F45-B14)&lt;=0),0,IF(AND((F45-B13)&gt;=0,(F45-B14)&gt;=0),0.5*((F45-B13)+(F45-B14))*ABS(A14-A13),IF((F45-B13)&gt;0,0.5*(F45-B13)*ABS((A13+((F45-B13)/((F45-B13)-(F45-B14)))*(A14-A13))-A13),0.5*(F45-B14)*ABS(A14-(A13+((F45-B13)/((F45-B13)-(F45-B14)))*(A14-A13)))))))+(IF(AND((F45-B14)&lt;=0,(F45-B15)&lt;=0),0,IF(AND((F45-B14)&gt;=0,(F45-B15)&gt;=0),0.5*((F45-B14)+(F45-B15))*ABS(A15-A14),IF((F45-B14)&gt;0,0.5*(F45-B14)*ABS((A14+((F45-B14)/((F45-B14)-(F45-B15)))*(A15-A14))-A14),0.5*(F45-B15)*ABS(A15-(A14+((F45-B14)/((F45-B14)-(F45-B15)))*(A15-A14)))))))+(IF(AND((F45-B15)&lt;=0,(F45-B16)&lt;=0),0,IF(AND((F45-B15)&gt;=0,(F45-B16)&gt;=0),0.5*((F45-B15)+(F45-B16))*ABS(A16-A15),IF((F45-B15)&gt;0,0.5*(F45-B15)*ABS((A15+((F45-B15)/((F45-B15)-(F45-B16)))*(A16-A15))-A15),0.5*(F45-B16)*ABS(A16-(A15+((F45-B15)/((F45-B15)-(F45-B16)))*(A16-A15)))))))+(IF(AND((F45-B16)&lt;=0,(F45-B17)&lt;=0),0,IF(AND((F45-B16)&gt;=0,(F45-B17)&gt;=0),0.5*((F45-B16)+(F45-B17))*ABS(A17-A16),IF((F45-B16)&gt;0,0.5*(F45-B16)*ABS((A16+((F45-B16)/((F45-B16)-(F45-B17)))*(A17-A16))-A16),0.5*(F45-B17)*ABS(A17-(A16+((F45-B16)/((F45-B16)-(F45-B17)))*(A17-A16)))))))+(IF(AND((F45-B17)&lt;=0,(F45-B18)&lt;=0),0,IF(AND((F45-B17)&gt;=0,(F45-B18)&gt;=0),0.5*((F45-B17)+(F45-B18))*ABS(A18-A17),IF((F45-B17)&gt;0,0.5*(F45-B17)*ABS((A17+((F45-B17)/((F45-B17)-(F45-B18)))*(A18-A17))-A17),0.5*(F45-B18)*ABS(A18-(A17+((F45-B17)/((F45-B17)-(F45-B18)))*(A18-A17)))))))</f>
        <v/>
      </c>
      <c r="H45">
        <f>(IF(AND((F45-B10)&lt;=0,(F45-B11)&lt;=0),0,IF(AND((F45-B10)&gt;=0,(F45-B11)&gt;=0),SQRT((A11-A10)^2+(B11-B10)^2),IF((F45-B10)&gt;0,SQRT(((A10+((F45-B10)/((F45-B10)-(F45-B11)))*(A11-A10))-A10)^2+(F45-B10)^2),SQRT((A11-(A10+((F45-B10)/((F45-B10)-(F45-B11)))*(A11-A10)))^2+(F45-B11)^2)))))+(IF(AND((F45-B11)&lt;=0,(F45-B12)&lt;=0),0,IF(AND((F45-B11)&gt;=0,(F45-B12)&gt;=0),SQRT((A12-A11)^2+(B12-B11)^2),IF((F45-B11)&gt;0,SQRT(((A11+((F45-B11)/((F45-B11)-(F45-B12)))*(A12-A11))-A11)^2+(F45-B11)^2),SQRT((A12-(A11+((F45-B11)/((F45-B11)-(F45-B12)))*(A12-A11)))^2+(F45-B12)^2)))))+(IF(AND((F45-B12)&lt;=0,(F45-B13)&lt;=0),0,IF(AND((F45-B12)&gt;=0,(F45-B13)&gt;=0),SQRT((A13-A12)^2+(B13-B12)^2),IF((F45-B12)&gt;0,SQRT(((A12+((F45-B12)/((F45-B12)-(F45-B13)))*(A13-A12))-A12)^2+(F45-B12)^2),SQRT((A13-(A12+((F45-B12)/((F45-B12)-(F45-B13)))*(A13-A12)))^2+(F45-B13)^2)))))+(IF(AND((F45-B13)&lt;=0,(F45-B14)&lt;=0),0,IF(AND((F45-B13)&gt;=0,(F45-B14)&gt;=0),SQRT((A14-A13)^2+(B14-B13)^2),IF((F45-B13)&gt;0,SQRT(((A13+((F45-B13)/((F45-B13)-(F45-B14)))*(A14-A13))-A13)^2+(F45-B13)^2),SQRT((A14-(A13+((F45-B13)/((F45-B13)-(F45-B14)))*(A14-A13)))^2+(F45-B14)^2)))))+(IF(AND((F45-B14)&lt;=0,(F45-B15)&lt;=0),0,IF(AND((F45-B14)&gt;=0,(F45-B15)&gt;=0),SQRT((A15-A14)^2+(B15-B14)^2),IF((F45-B14)&gt;0,SQRT(((A14+((F45-B14)/((F45-B14)-(F45-B15)))*(A15-A14))-A14)^2+(F45-B14)^2),SQRT((A15-(A14+((F45-B14)/((F45-B14)-(F45-B15)))*(A15-A14)))^2+(F45-B15)^2)))))+(IF(AND((F45-B15)&lt;=0,(F45-B16)&lt;=0),0,IF(AND((F45-B15)&gt;=0,(F45-B16)&gt;=0),SQRT((A16-A15)^2+(B16-B15)^2),IF((F45-B15)&gt;0,SQRT(((A15+((F45-B15)/((F45-B15)-(F45-B16)))*(A16-A15))-A15)^2+(F45-B15)^2),SQRT((A16-(A15+((F45-B15)/((F45-B15)-(F45-B16)))*(A16-A15)))^2+(F45-B16)^2)))))+(IF(AND((F45-B16)&lt;=0,(F45-B17)&lt;=0),0,IF(AND((F45-B16)&gt;=0,(F45-B17)&gt;=0),SQRT((A17-A16)^2+(B17-B16)^2),IF((F45-B16)&gt;0,SQRT(((A16+((F45-B16)/((F45-B16)-(F45-B17)))*(A17-A16))-A16)^2+(F45-B16)^2),SQRT((A17-(A16+((F45-B16)/((F45-B16)-(F45-B17)))*(A17-A16)))^2+(F45-B17)^2)))))+(IF(AND((F45-B17)&lt;=0,(F45-B18)&lt;=0),0,IF(AND((F45-B17)&gt;=0,(F45-B18)&gt;=0),SQRT((A18-A17)^2+(B18-B17)^2),IF((F45-B17)&gt;0,SQRT(((A17+((F45-B17)/((F45-B17)-(F45-B18)))*(A18-A17))-A17)^2+(F45-B17)^2),SQRT((A18-(A17+((F45-B17)/((F45-B17)-(F45-B18)))*(A18-A17)))^2+(F45-B18)^2)))))</f>
        <v/>
      </c>
      <c r="I45">
        <f>IF(OR($B$4&lt;=0,G45&lt;=0,H45&lt;=0,$B$5&lt;=0),0,(1/$B$4)*G45*((G45/H45)^(2/3))*SQRT($B$5))</f>
        <v/>
      </c>
    </row>
    <row r="46">
      <c r="D46">
        <f>IF(I45&lt;$B$3,F45,D45)</f>
        <v/>
      </c>
      <c r="E46">
        <f>IF(I45&lt;$B$3,E45,F45)</f>
        <v/>
      </c>
      <c r="F46">
        <f>(D46+E46)/2</f>
        <v/>
      </c>
      <c r="G46">
        <f>(IF(AND((F46-B10)&lt;=0,(F46-B11)&lt;=0),0,IF(AND((F46-B10)&gt;=0,(F46-B11)&gt;=0),0.5*((F46-B10)+(F46-B11))*ABS(A11-A10),IF((F46-B10)&gt;0,0.5*(F46-B10)*ABS((A10+((F46-B10)/((F46-B10)-(F46-B11)))*(A11-A10))-A10),0.5*(F46-B11)*ABS(A11-(A10+((F46-B10)/((F46-B10)-(F46-B11)))*(A11-A10)))))))+(IF(AND((F46-B11)&lt;=0,(F46-B12)&lt;=0),0,IF(AND((F46-B11)&gt;=0,(F46-B12)&gt;=0),0.5*((F46-B11)+(F46-B12))*ABS(A12-A11),IF((F46-B11)&gt;0,0.5*(F46-B11)*ABS((A11+((F46-B11)/((F46-B11)-(F46-B12)))*(A12-A11))-A11),0.5*(F46-B12)*ABS(A12-(A11+((F46-B11)/((F46-B11)-(F46-B12)))*(A12-A11)))))))+(IF(AND((F46-B12)&lt;=0,(F46-B13)&lt;=0),0,IF(AND((F46-B12)&gt;=0,(F46-B13)&gt;=0),0.5*((F46-B12)+(F46-B13))*ABS(A13-A12),IF((F46-B12)&gt;0,0.5*(F46-B12)*ABS((A12+((F46-B12)/((F46-B12)-(F46-B13)))*(A13-A12))-A12),0.5*(F46-B13)*ABS(A13-(A12+((F46-B12)/((F46-B12)-(F46-B13)))*(A13-A12)))))))+(IF(AND((F46-B13)&lt;=0,(F46-B14)&lt;=0),0,IF(AND((F46-B13)&gt;=0,(F46-B14)&gt;=0),0.5*((F46-B13)+(F46-B14))*ABS(A14-A13),IF((F46-B13)&gt;0,0.5*(F46-B13)*ABS((A13+((F46-B13)/((F46-B13)-(F46-B14)))*(A14-A13))-A13),0.5*(F46-B14)*ABS(A14-(A13+((F46-B13)/((F46-B13)-(F46-B14)))*(A14-A13)))))))+(IF(AND((F46-B14)&lt;=0,(F46-B15)&lt;=0),0,IF(AND((F46-B14)&gt;=0,(F46-B15)&gt;=0),0.5*((F46-B14)+(F46-B15))*ABS(A15-A14),IF((F46-B14)&gt;0,0.5*(F46-B14)*ABS((A14+((F46-B14)/((F46-B14)-(F46-B15)))*(A15-A14))-A14),0.5*(F46-B15)*ABS(A15-(A14+((F46-B14)/((F46-B14)-(F46-B15)))*(A15-A14)))))))+(IF(AND((F46-B15)&lt;=0,(F46-B16)&lt;=0),0,IF(AND((F46-B15)&gt;=0,(F46-B16)&gt;=0),0.5*((F46-B15)+(F46-B16))*ABS(A16-A15),IF((F46-B15)&gt;0,0.5*(F46-B15)*ABS((A15+((F46-B15)/((F46-B15)-(F46-B16)))*(A16-A15))-A15),0.5*(F46-B16)*ABS(A16-(A15+((F46-B15)/((F46-B15)-(F46-B16)))*(A16-A15)))))))+(IF(AND((F46-B16)&lt;=0,(F46-B17)&lt;=0),0,IF(AND((F46-B16)&gt;=0,(F46-B17)&gt;=0),0.5*((F46-B16)+(F46-B17))*ABS(A17-A16),IF((F46-B16)&gt;0,0.5*(F46-B16)*ABS((A16+((F46-B16)/((F46-B16)-(F46-B17)))*(A17-A16))-A16),0.5*(F46-B17)*ABS(A17-(A16+((F46-B16)/((F46-B16)-(F46-B17)))*(A17-A16)))))))+(IF(AND((F46-B17)&lt;=0,(F46-B18)&lt;=0),0,IF(AND((F46-B17)&gt;=0,(F46-B18)&gt;=0),0.5*((F46-B17)+(F46-B18))*ABS(A18-A17),IF((F46-B17)&gt;0,0.5*(F46-B17)*ABS((A17+((F46-B17)/((F46-B17)-(F46-B18)))*(A18-A17))-A17),0.5*(F46-B18)*ABS(A18-(A17+((F46-B17)/((F46-B17)-(F46-B18)))*(A18-A17)))))))</f>
        <v/>
      </c>
      <c r="H46">
        <f>(IF(AND((F46-B10)&lt;=0,(F46-B11)&lt;=0),0,IF(AND((F46-B10)&gt;=0,(F46-B11)&gt;=0),SQRT((A11-A10)^2+(B11-B10)^2),IF((F46-B10)&gt;0,SQRT(((A10+((F46-B10)/((F46-B10)-(F46-B11)))*(A11-A10))-A10)^2+(F46-B10)^2),SQRT((A11-(A10+((F46-B10)/((F46-B10)-(F46-B11)))*(A11-A10)))^2+(F46-B11)^2)))))+(IF(AND((F46-B11)&lt;=0,(F46-B12)&lt;=0),0,IF(AND((F46-B11)&gt;=0,(F46-B12)&gt;=0),SQRT((A12-A11)^2+(B12-B11)^2),IF((F46-B11)&gt;0,SQRT(((A11+((F46-B11)/((F46-B11)-(F46-B12)))*(A12-A11))-A11)^2+(F46-B11)^2),SQRT((A12-(A11+((F46-B11)/((F46-B11)-(F46-B12)))*(A12-A11)))^2+(F46-B12)^2)))))+(IF(AND((F46-B12)&lt;=0,(F46-B13)&lt;=0),0,IF(AND((F46-B12)&gt;=0,(F46-B13)&gt;=0),SQRT((A13-A12)^2+(B13-B12)^2),IF((F46-B12)&gt;0,SQRT(((A12+((F46-B12)/((F46-B12)-(F46-B13)))*(A13-A12))-A12)^2+(F46-B12)^2),SQRT((A13-(A12+((F46-B12)/((F46-B12)-(F46-B13)))*(A13-A12)))^2+(F46-B13)^2)))))+(IF(AND((F46-B13)&lt;=0,(F46-B14)&lt;=0),0,IF(AND((F46-B13)&gt;=0,(F46-B14)&gt;=0),SQRT((A14-A13)^2+(B14-B13)^2),IF((F46-B13)&gt;0,SQRT(((A13+((F46-B13)/((F46-B13)-(F46-B14)))*(A14-A13))-A13)^2+(F46-B13)^2),SQRT((A14-(A13+((F46-B13)/((F46-B13)-(F46-B14)))*(A14-A13)))^2+(F46-B14)^2)))))+(IF(AND((F46-B14)&lt;=0,(F46-B15)&lt;=0),0,IF(AND((F46-B14)&gt;=0,(F46-B15)&gt;=0),SQRT((A15-A14)^2+(B15-B14)^2),IF((F46-B14)&gt;0,SQRT(((A14+((F46-B14)/((F46-B14)-(F46-B15)))*(A15-A14))-A14)^2+(F46-B14)^2),SQRT((A15-(A14+((F46-B14)/((F46-B14)-(F46-B15)))*(A15-A14)))^2+(F46-B15)^2)))))+(IF(AND((F46-B15)&lt;=0,(F46-B16)&lt;=0),0,IF(AND((F46-B15)&gt;=0,(F46-B16)&gt;=0),SQRT((A16-A15)^2+(B16-B15)^2),IF((F46-B15)&gt;0,SQRT(((A15+((F46-B15)/((F46-B15)-(F46-B16)))*(A16-A15))-A15)^2+(F46-B15)^2),SQRT((A16-(A15+((F46-B15)/((F46-B15)-(F46-B16)))*(A16-A15)))^2+(F46-B16)^2)))))+(IF(AND((F46-B16)&lt;=0,(F46-B17)&lt;=0),0,IF(AND((F46-B16)&gt;=0,(F46-B17)&gt;=0),SQRT((A17-A16)^2+(B17-B16)^2),IF((F46-B16)&gt;0,SQRT(((A16+((F46-B16)/((F46-B16)-(F46-B17)))*(A17-A16))-A16)^2+(F46-B16)^2),SQRT((A17-(A16+((F46-B16)/((F46-B16)-(F46-B17)))*(A17-A16)))^2+(F46-B17)^2)))))+(IF(AND((F46-B17)&lt;=0,(F46-B18)&lt;=0),0,IF(AND((F46-B17)&gt;=0,(F46-B18)&gt;=0),SQRT((A18-A17)^2+(B18-B17)^2),IF((F46-B17)&gt;0,SQRT(((A17+((F46-B17)/((F46-B17)-(F46-B18)))*(A18-A17))-A17)^2+(F46-B17)^2),SQRT((A18-(A17+((F46-B17)/((F46-B17)-(F46-B18)))*(A18-A17)))^2+(F46-B18)^2)))))</f>
        <v/>
      </c>
      <c r="I46">
        <f>IF(OR($B$4&lt;=0,G46&lt;=0,H46&lt;=0,$B$5&lt;=0),0,(1/$B$4)*G46*((G46/H46)^(2/3))*SQRT($B$5))</f>
        <v/>
      </c>
    </row>
    <row r="47">
      <c r="D47">
        <f>IF(I46&lt;$B$3,F46,D46)</f>
        <v/>
      </c>
      <c r="E47">
        <f>IF(I46&lt;$B$3,E46,F46)</f>
        <v/>
      </c>
      <c r="F47">
        <f>(D47+E47)/2</f>
        <v/>
      </c>
      <c r="G47">
        <f>(IF(AND((F47-B10)&lt;=0,(F47-B11)&lt;=0),0,IF(AND((F47-B10)&gt;=0,(F47-B11)&gt;=0),0.5*((F47-B10)+(F47-B11))*ABS(A11-A10),IF((F47-B10)&gt;0,0.5*(F47-B10)*ABS((A10+((F47-B10)/((F47-B10)-(F47-B11)))*(A11-A10))-A10),0.5*(F47-B11)*ABS(A11-(A10+((F47-B10)/((F47-B10)-(F47-B11)))*(A11-A10)))))))+(IF(AND((F47-B11)&lt;=0,(F47-B12)&lt;=0),0,IF(AND((F47-B11)&gt;=0,(F47-B12)&gt;=0),0.5*((F47-B11)+(F47-B12))*ABS(A12-A11),IF((F47-B11)&gt;0,0.5*(F47-B11)*ABS((A11+((F47-B11)/((F47-B11)-(F47-B12)))*(A12-A11))-A11),0.5*(F47-B12)*ABS(A12-(A11+((F47-B11)/((F47-B11)-(F47-B12)))*(A12-A11)))))))+(IF(AND((F47-B12)&lt;=0,(F47-B13)&lt;=0),0,IF(AND((F47-B12)&gt;=0,(F47-B13)&gt;=0),0.5*((F47-B12)+(F47-B13))*ABS(A13-A12),IF((F47-B12)&gt;0,0.5*(F47-B12)*ABS((A12+((F47-B12)/((F47-B12)-(F47-B13)))*(A13-A12))-A12),0.5*(F47-B13)*ABS(A13-(A12+((F47-B12)/((F47-B12)-(F47-B13)))*(A13-A12)))))))+(IF(AND((F47-B13)&lt;=0,(F47-B14)&lt;=0),0,IF(AND((F47-B13)&gt;=0,(F47-B14)&gt;=0),0.5*((F47-B13)+(F47-B14))*ABS(A14-A13),IF((F47-B13)&gt;0,0.5*(F47-B13)*ABS((A13+((F47-B13)/((F47-B13)-(F47-B14)))*(A14-A13))-A13),0.5*(F47-B14)*ABS(A14-(A13+((F47-B13)/((F47-B13)-(F47-B14)))*(A14-A13)))))))+(IF(AND((F47-B14)&lt;=0,(F47-B15)&lt;=0),0,IF(AND((F47-B14)&gt;=0,(F47-B15)&gt;=0),0.5*((F47-B14)+(F47-B15))*ABS(A15-A14),IF((F47-B14)&gt;0,0.5*(F47-B14)*ABS((A14+((F47-B14)/((F47-B14)-(F47-B15)))*(A15-A14))-A14),0.5*(F47-B15)*ABS(A15-(A14+((F47-B14)/((F47-B14)-(F47-B15)))*(A15-A14)))))))+(IF(AND((F47-B15)&lt;=0,(F47-B16)&lt;=0),0,IF(AND((F47-B15)&gt;=0,(F47-B16)&gt;=0),0.5*((F47-B15)+(F47-B16))*ABS(A16-A15),IF((F47-B15)&gt;0,0.5*(F47-B15)*ABS((A15+((F47-B15)/((F47-B15)-(F47-B16)))*(A16-A15))-A15),0.5*(F47-B16)*ABS(A16-(A15+((F47-B15)/((F47-B15)-(F47-B16)))*(A16-A15)))))))+(IF(AND((F47-B16)&lt;=0,(F47-B17)&lt;=0),0,IF(AND((F47-B16)&gt;=0,(F47-B17)&gt;=0),0.5*((F47-B16)+(F47-B17))*ABS(A17-A16),IF((F47-B16)&gt;0,0.5*(F47-B16)*ABS((A16+((F47-B16)/((F47-B16)-(F47-B17)))*(A17-A16))-A16),0.5*(F47-B17)*ABS(A17-(A16+((F47-B16)/((F47-B16)-(F47-B17)))*(A17-A16)))))))+(IF(AND((F47-B17)&lt;=0,(F47-B18)&lt;=0),0,IF(AND((F47-B17)&gt;=0,(F47-B18)&gt;=0),0.5*((F47-B17)+(F47-B18))*ABS(A18-A17),IF((F47-B17)&gt;0,0.5*(F47-B17)*ABS((A17+((F47-B17)/((F47-B17)-(F47-B18)))*(A18-A17))-A17),0.5*(F47-B18)*ABS(A18-(A17+((F47-B17)/((F47-B17)-(F47-B18)))*(A18-A17)))))))</f>
        <v/>
      </c>
      <c r="H47">
        <f>(IF(AND((F47-B10)&lt;=0,(F47-B11)&lt;=0),0,IF(AND((F47-B10)&gt;=0,(F47-B11)&gt;=0),SQRT((A11-A10)^2+(B11-B10)^2),IF((F47-B10)&gt;0,SQRT(((A10+((F47-B10)/((F47-B10)-(F47-B11)))*(A11-A10))-A10)^2+(F47-B10)^2),SQRT((A11-(A10+((F47-B10)/((F47-B10)-(F47-B11)))*(A11-A10)))^2+(F47-B11)^2)))))+(IF(AND((F47-B11)&lt;=0,(F47-B12)&lt;=0),0,IF(AND((F47-B11)&gt;=0,(F47-B12)&gt;=0),SQRT((A12-A11)^2+(B12-B11)^2),IF((F47-B11)&gt;0,SQRT(((A11+((F47-B11)/((F47-B11)-(F47-B12)))*(A12-A11))-A11)^2+(F47-B11)^2),SQRT((A12-(A11+((F47-B11)/((F47-B11)-(F47-B12)))*(A12-A11)))^2+(F47-B12)^2)))))+(IF(AND((F47-B12)&lt;=0,(F47-B13)&lt;=0),0,IF(AND((F47-B12)&gt;=0,(F47-B13)&gt;=0),SQRT((A13-A12)^2+(B13-B12)^2),IF((F47-B12)&gt;0,SQRT(((A12+((F47-B12)/((F47-B12)-(F47-B13)))*(A13-A12))-A12)^2+(F47-B12)^2),SQRT((A13-(A12+((F47-B12)/((F47-B12)-(F47-B13)))*(A13-A12)))^2+(F47-B13)^2)))))+(IF(AND((F47-B13)&lt;=0,(F47-B14)&lt;=0),0,IF(AND((F47-B13)&gt;=0,(F47-B14)&gt;=0),SQRT((A14-A13)^2+(B14-B13)^2),IF((F47-B13)&gt;0,SQRT(((A13+((F47-B13)/((F47-B13)-(F47-B14)))*(A14-A13))-A13)^2+(F47-B13)^2),SQRT((A14-(A13+((F47-B13)/((F47-B13)-(F47-B14)))*(A14-A13)))^2+(F47-B14)^2)))))+(IF(AND((F47-B14)&lt;=0,(F47-B15)&lt;=0),0,IF(AND((F47-B14)&gt;=0,(F47-B15)&gt;=0),SQRT((A15-A14)^2+(B15-B14)^2),IF((F47-B14)&gt;0,SQRT(((A14+((F47-B14)/((F47-B14)-(F47-B15)))*(A15-A14))-A14)^2+(F47-B14)^2),SQRT((A15-(A14+((F47-B14)/((F47-B14)-(F47-B15)))*(A15-A14)))^2+(F47-B15)^2)))))+(IF(AND((F47-B15)&lt;=0,(F47-B16)&lt;=0),0,IF(AND((F47-B15)&gt;=0,(F47-B16)&gt;=0),SQRT((A16-A15)^2+(B16-B15)^2),IF((F47-B15)&gt;0,SQRT(((A15+((F47-B15)/((F47-B15)-(F47-B16)))*(A16-A15))-A15)^2+(F47-B15)^2),SQRT((A16-(A15+((F47-B15)/((F47-B15)-(F47-B16)))*(A16-A15)))^2+(F47-B16)^2)))))+(IF(AND((F47-B16)&lt;=0,(F47-B17)&lt;=0),0,IF(AND((F47-B16)&gt;=0,(F47-B17)&gt;=0),SQRT((A17-A16)^2+(B17-B16)^2),IF((F47-B16)&gt;0,SQRT(((A16+((F47-B16)/((F47-B16)-(F47-B17)))*(A17-A16))-A16)^2+(F47-B16)^2),SQRT((A17-(A16+((F47-B16)/((F47-B16)-(F47-B17)))*(A17-A16)))^2+(F47-B17)^2)))))+(IF(AND((F47-B17)&lt;=0,(F47-B18)&lt;=0),0,IF(AND((F47-B17)&gt;=0,(F47-B18)&gt;=0),SQRT((A18-A17)^2+(B18-B17)^2),IF((F47-B17)&gt;0,SQRT(((A17+((F47-B17)/((F47-B17)-(F47-B18)))*(A18-A17))-A17)^2+(F47-B17)^2),SQRT((A18-(A17+((F47-B17)/((F47-B17)-(F47-B18)))*(A18-A17)))^2+(F47-B18)^2)))))</f>
        <v/>
      </c>
      <c r="I47">
        <f>IF(OR($B$4&lt;=0,G47&lt;=0,H47&lt;=0,$B$5&lt;=0),0,(1/$B$4)*G47*((G47/H47)^(2/3))*SQRT($B$5))</f>
        <v/>
      </c>
    </row>
    <row r="48">
      <c r="D48">
        <f>IF(I47&lt;$B$3,F47,D47)</f>
        <v/>
      </c>
      <c r="E48">
        <f>IF(I47&lt;$B$3,E47,F47)</f>
        <v/>
      </c>
      <c r="F48">
        <f>(D48+E48)/2</f>
        <v/>
      </c>
      <c r="G48">
        <f>(IF(AND((F48-B10)&lt;=0,(F48-B11)&lt;=0),0,IF(AND((F48-B10)&gt;=0,(F48-B11)&gt;=0),0.5*((F48-B10)+(F48-B11))*ABS(A11-A10),IF((F48-B10)&gt;0,0.5*(F48-B10)*ABS((A10+((F48-B10)/((F48-B10)-(F48-B11)))*(A11-A10))-A10),0.5*(F48-B11)*ABS(A11-(A10+((F48-B10)/((F48-B10)-(F48-B11)))*(A11-A10)))))))+(IF(AND((F48-B11)&lt;=0,(F48-B12)&lt;=0),0,IF(AND((F48-B11)&gt;=0,(F48-B12)&gt;=0),0.5*((F48-B11)+(F48-B12))*ABS(A12-A11),IF((F48-B11)&gt;0,0.5*(F48-B11)*ABS((A11+((F48-B11)/((F48-B11)-(F48-B12)))*(A12-A11))-A11),0.5*(F48-B12)*ABS(A12-(A11+((F48-B11)/((F48-B11)-(F48-B12)))*(A12-A11)))))))+(IF(AND((F48-B12)&lt;=0,(F48-B13)&lt;=0),0,IF(AND((F48-B12)&gt;=0,(F48-B13)&gt;=0),0.5*((F48-B12)+(F48-B13))*ABS(A13-A12),IF((F48-B12)&gt;0,0.5*(F48-B12)*ABS((A12+((F48-B12)/((F48-B12)-(F48-B13)))*(A13-A12))-A12),0.5*(F48-B13)*ABS(A13-(A12+((F48-B12)/((F48-B12)-(F48-B13)))*(A13-A12)))))))+(IF(AND((F48-B13)&lt;=0,(F48-B14)&lt;=0),0,IF(AND((F48-B13)&gt;=0,(F48-B14)&gt;=0),0.5*((F48-B13)+(F48-B14))*ABS(A14-A13),IF((F48-B13)&gt;0,0.5*(F48-B13)*ABS((A13+((F48-B13)/((F48-B13)-(F48-B14)))*(A14-A13))-A13),0.5*(F48-B14)*ABS(A14-(A13+((F48-B13)/((F48-B13)-(F48-B14)))*(A14-A13)))))))+(IF(AND((F48-B14)&lt;=0,(F48-B15)&lt;=0),0,IF(AND((F48-B14)&gt;=0,(F48-B15)&gt;=0),0.5*((F48-B14)+(F48-B15))*ABS(A15-A14),IF((F48-B14)&gt;0,0.5*(F48-B14)*ABS((A14+((F48-B14)/((F48-B14)-(F48-B15)))*(A15-A14))-A14),0.5*(F48-B15)*ABS(A15-(A14+((F48-B14)/((F48-B14)-(F48-B15)))*(A15-A14)))))))+(IF(AND((F48-B15)&lt;=0,(F48-B16)&lt;=0),0,IF(AND((F48-B15)&gt;=0,(F48-B16)&gt;=0),0.5*((F48-B15)+(F48-B16))*ABS(A16-A15),IF((F48-B15)&gt;0,0.5*(F48-B15)*ABS((A15+((F48-B15)/((F48-B15)-(F48-B16)))*(A16-A15))-A15),0.5*(F48-B16)*ABS(A16-(A15+((F48-B15)/((F48-B15)-(F48-B16)))*(A16-A15)))))))+(IF(AND((F48-B16)&lt;=0,(F48-B17)&lt;=0),0,IF(AND((F48-B16)&gt;=0,(F48-B17)&gt;=0),0.5*((F48-B16)+(F48-B17))*ABS(A17-A16),IF((F48-B16)&gt;0,0.5*(F48-B16)*ABS((A16+((F48-B16)/((F48-B16)-(F48-B17)))*(A17-A16))-A16),0.5*(F48-B17)*ABS(A17-(A16+((F48-B16)/((F48-B16)-(F48-B17)))*(A17-A16)))))))+(IF(AND((F48-B17)&lt;=0,(F48-B18)&lt;=0),0,IF(AND((F48-B17)&gt;=0,(F48-B18)&gt;=0),0.5*((F48-B17)+(F48-B18))*ABS(A18-A17),IF((F48-B17)&gt;0,0.5*(F48-B17)*ABS((A17+((F48-B17)/((F48-B17)-(F48-B18)))*(A18-A17))-A17),0.5*(F48-B18)*ABS(A18-(A17+((F48-B17)/((F48-B17)-(F48-B18)))*(A18-A17)))))))</f>
        <v/>
      </c>
      <c r="H48">
        <f>(IF(AND((F48-B10)&lt;=0,(F48-B11)&lt;=0),0,IF(AND((F48-B10)&gt;=0,(F48-B11)&gt;=0),SQRT((A11-A10)^2+(B11-B10)^2),IF((F48-B10)&gt;0,SQRT(((A10+((F48-B10)/((F48-B10)-(F48-B11)))*(A11-A10))-A10)^2+(F48-B10)^2),SQRT((A11-(A10+((F48-B10)/((F48-B10)-(F48-B11)))*(A11-A10)))^2+(F48-B11)^2)))))+(IF(AND((F48-B11)&lt;=0,(F48-B12)&lt;=0),0,IF(AND((F48-B11)&gt;=0,(F48-B12)&gt;=0),SQRT((A12-A11)^2+(B12-B11)^2),IF((F48-B11)&gt;0,SQRT(((A11+((F48-B11)/((F48-B11)-(F48-B12)))*(A12-A11))-A11)^2+(F48-B11)^2),SQRT((A12-(A11+((F48-B11)/((F48-B11)-(F48-B12)))*(A12-A11)))^2+(F48-B12)^2)))))+(IF(AND((F48-B12)&lt;=0,(F48-B13)&lt;=0),0,IF(AND((F48-B12)&gt;=0,(F48-B13)&gt;=0),SQRT((A13-A12)^2+(B13-B12)^2),IF((F48-B12)&gt;0,SQRT(((A12+((F48-B12)/((F48-B12)-(F48-B13)))*(A13-A12))-A12)^2+(F48-B12)^2),SQRT((A13-(A12+((F48-B12)/((F48-B12)-(F48-B13)))*(A13-A12)))^2+(F48-B13)^2)))))+(IF(AND((F48-B13)&lt;=0,(F48-B14)&lt;=0),0,IF(AND((F48-B13)&gt;=0,(F48-B14)&gt;=0),SQRT((A14-A13)^2+(B14-B13)^2),IF((F48-B13)&gt;0,SQRT(((A13+((F48-B13)/((F48-B13)-(F48-B14)))*(A14-A13))-A13)^2+(F48-B13)^2),SQRT((A14-(A13+((F48-B13)/((F48-B13)-(F48-B14)))*(A14-A13)))^2+(F48-B14)^2)))))+(IF(AND((F48-B14)&lt;=0,(F48-B15)&lt;=0),0,IF(AND((F48-B14)&gt;=0,(F48-B15)&gt;=0),SQRT((A15-A14)^2+(B15-B14)^2),IF((F48-B14)&gt;0,SQRT(((A14+((F48-B14)/((F48-B14)-(F48-B15)))*(A15-A14))-A14)^2+(F48-B14)^2),SQRT((A15-(A14+((F48-B14)/((F48-B14)-(F48-B15)))*(A15-A14)))^2+(F48-B15)^2)))))+(IF(AND((F48-B15)&lt;=0,(F48-B16)&lt;=0),0,IF(AND((F48-B15)&gt;=0,(F48-B16)&gt;=0),SQRT((A16-A15)^2+(B16-B15)^2),IF((F48-B15)&gt;0,SQRT(((A15+((F48-B15)/((F48-B15)-(F48-B16)))*(A16-A15))-A15)^2+(F48-B15)^2),SQRT((A16-(A15+((F48-B15)/((F48-B15)-(F48-B16)))*(A16-A15)))^2+(F48-B16)^2)))))+(IF(AND((F48-B16)&lt;=0,(F48-B17)&lt;=0),0,IF(AND((F48-B16)&gt;=0,(F48-B17)&gt;=0),SQRT((A17-A16)^2+(B17-B16)^2),IF((F48-B16)&gt;0,SQRT(((A16+((F48-B16)/((F48-B16)-(F48-B17)))*(A17-A16))-A16)^2+(F48-B16)^2),SQRT((A17-(A16+((F48-B16)/((F48-B16)-(F48-B17)))*(A17-A16)))^2+(F48-B17)^2)))))+(IF(AND((F48-B17)&lt;=0,(F48-B18)&lt;=0),0,IF(AND((F48-B17)&gt;=0,(F48-B18)&gt;=0),SQRT((A18-A17)^2+(B18-B17)^2),IF((F48-B17)&gt;0,SQRT(((A17+((F48-B17)/((F48-B17)-(F48-B18)))*(A18-A17))-A17)^2+(F48-B17)^2),SQRT((A18-(A17+((F48-B17)/((F48-B17)-(F48-B18)))*(A18-A17)))^2+(F48-B18)^2)))))</f>
        <v/>
      </c>
      <c r="I48">
        <f>IF(OR($B$4&lt;=0,G48&lt;=0,H48&lt;=0,$B$5&lt;=0),0,(1/$B$4)*G48*((G48/H48)^(2/3))*SQRT($B$5))</f>
        <v/>
      </c>
    </row>
    <row r="49">
      <c r="D49">
        <f>IF(I48&lt;$B$3,F48,D48)</f>
        <v/>
      </c>
      <c r="E49">
        <f>IF(I48&lt;$B$3,E48,F48)</f>
        <v/>
      </c>
      <c r="F49">
        <f>(D49+E49)/2</f>
        <v/>
      </c>
      <c r="G49">
        <f>(IF(AND((F49-B10)&lt;=0,(F49-B11)&lt;=0),0,IF(AND((F49-B10)&gt;=0,(F49-B11)&gt;=0),0.5*((F49-B10)+(F49-B11))*ABS(A11-A10),IF((F49-B10)&gt;0,0.5*(F49-B10)*ABS((A10+((F49-B10)/((F49-B10)-(F49-B11)))*(A11-A10))-A10),0.5*(F49-B11)*ABS(A11-(A10+((F49-B10)/((F49-B10)-(F49-B11)))*(A11-A10)))))))+(IF(AND((F49-B11)&lt;=0,(F49-B12)&lt;=0),0,IF(AND((F49-B11)&gt;=0,(F49-B12)&gt;=0),0.5*((F49-B11)+(F49-B12))*ABS(A12-A11),IF((F49-B11)&gt;0,0.5*(F49-B11)*ABS((A11+((F49-B11)/((F49-B11)-(F49-B12)))*(A12-A11))-A11),0.5*(F49-B12)*ABS(A12-(A11+((F49-B11)/((F49-B11)-(F49-B12)))*(A12-A11)))))))+(IF(AND((F49-B12)&lt;=0,(F49-B13)&lt;=0),0,IF(AND((F49-B12)&gt;=0,(F49-B13)&gt;=0),0.5*((F49-B12)+(F49-B13))*ABS(A13-A12),IF((F49-B12)&gt;0,0.5*(F49-B12)*ABS((A12+((F49-B12)/((F49-B12)-(F49-B13)))*(A13-A12))-A12),0.5*(F49-B13)*ABS(A13-(A12+((F49-B12)/((F49-B12)-(F49-B13)))*(A13-A12)))))))+(IF(AND((F49-B13)&lt;=0,(F49-B14)&lt;=0),0,IF(AND((F49-B13)&gt;=0,(F49-B14)&gt;=0),0.5*((F49-B13)+(F49-B14))*ABS(A14-A13),IF((F49-B13)&gt;0,0.5*(F49-B13)*ABS((A13+((F49-B13)/((F49-B13)-(F49-B14)))*(A14-A13))-A13),0.5*(F49-B14)*ABS(A14-(A13+((F49-B13)/((F49-B13)-(F49-B14)))*(A14-A13)))))))+(IF(AND((F49-B14)&lt;=0,(F49-B15)&lt;=0),0,IF(AND((F49-B14)&gt;=0,(F49-B15)&gt;=0),0.5*((F49-B14)+(F49-B15))*ABS(A15-A14),IF((F49-B14)&gt;0,0.5*(F49-B14)*ABS((A14+((F49-B14)/((F49-B14)-(F49-B15)))*(A15-A14))-A14),0.5*(F49-B15)*ABS(A15-(A14+((F49-B14)/((F49-B14)-(F49-B15)))*(A15-A14)))))))+(IF(AND((F49-B15)&lt;=0,(F49-B16)&lt;=0),0,IF(AND((F49-B15)&gt;=0,(F49-B16)&gt;=0),0.5*((F49-B15)+(F49-B16))*ABS(A16-A15),IF((F49-B15)&gt;0,0.5*(F49-B15)*ABS((A15+((F49-B15)/((F49-B15)-(F49-B16)))*(A16-A15))-A15),0.5*(F49-B16)*ABS(A16-(A15+((F49-B15)/((F49-B15)-(F49-B16)))*(A16-A15)))))))+(IF(AND((F49-B16)&lt;=0,(F49-B17)&lt;=0),0,IF(AND((F49-B16)&gt;=0,(F49-B17)&gt;=0),0.5*((F49-B16)+(F49-B17))*ABS(A17-A16),IF((F49-B16)&gt;0,0.5*(F49-B16)*ABS((A16+((F49-B16)/((F49-B16)-(F49-B17)))*(A17-A16))-A16),0.5*(F49-B17)*ABS(A17-(A16+((F49-B16)/((F49-B16)-(F49-B17)))*(A17-A16)))))))+(IF(AND((F49-B17)&lt;=0,(F49-B18)&lt;=0),0,IF(AND((F49-B17)&gt;=0,(F49-B18)&gt;=0),0.5*((F49-B17)+(F49-B18))*ABS(A18-A17),IF((F49-B17)&gt;0,0.5*(F49-B17)*ABS((A17+((F49-B17)/((F49-B17)-(F49-B18)))*(A18-A17))-A17),0.5*(F49-B18)*ABS(A18-(A17+((F49-B17)/((F49-B17)-(F49-B18)))*(A18-A17)))))))</f>
        <v/>
      </c>
      <c r="H49">
        <f>(IF(AND((F49-B10)&lt;=0,(F49-B11)&lt;=0),0,IF(AND((F49-B10)&gt;=0,(F49-B11)&gt;=0),SQRT((A11-A10)^2+(B11-B10)^2),IF((F49-B10)&gt;0,SQRT(((A10+((F49-B10)/((F49-B10)-(F49-B11)))*(A11-A10))-A10)^2+(F49-B10)^2),SQRT((A11-(A10+((F49-B10)/((F49-B10)-(F49-B11)))*(A11-A10)))^2+(F49-B11)^2)))))+(IF(AND((F49-B11)&lt;=0,(F49-B12)&lt;=0),0,IF(AND((F49-B11)&gt;=0,(F49-B12)&gt;=0),SQRT((A12-A11)^2+(B12-B11)^2),IF((F49-B11)&gt;0,SQRT(((A11+((F49-B11)/((F49-B11)-(F49-B12)))*(A12-A11))-A11)^2+(F49-B11)^2),SQRT((A12-(A11+((F49-B11)/((F49-B11)-(F49-B12)))*(A12-A11)))^2+(F49-B12)^2)))))+(IF(AND((F49-B12)&lt;=0,(F49-B13)&lt;=0),0,IF(AND((F49-B12)&gt;=0,(F49-B13)&gt;=0),SQRT((A13-A12)^2+(B13-B12)^2),IF((F49-B12)&gt;0,SQRT(((A12+((F49-B12)/((F49-B12)-(F49-B13)))*(A13-A12))-A12)^2+(F49-B12)^2),SQRT((A13-(A12+((F49-B12)/((F49-B12)-(F49-B13)))*(A13-A12)))^2+(F49-B13)^2)))))+(IF(AND((F49-B13)&lt;=0,(F49-B14)&lt;=0),0,IF(AND((F49-B13)&gt;=0,(F49-B14)&gt;=0),SQRT((A14-A13)^2+(B14-B13)^2),IF((F49-B13)&gt;0,SQRT(((A13+((F49-B13)/((F49-B13)-(F49-B14)))*(A14-A13))-A13)^2+(F49-B13)^2),SQRT((A14-(A13+((F49-B13)/((F49-B13)-(F49-B14)))*(A14-A13)))^2+(F49-B14)^2)))))+(IF(AND((F49-B14)&lt;=0,(F49-B15)&lt;=0),0,IF(AND((F49-B14)&gt;=0,(F49-B15)&gt;=0),SQRT((A15-A14)^2+(B15-B14)^2),IF((F49-B14)&gt;0,SQRT(((A14+((F49-B14)/((F49-B14)-(F49-B15)))*(A15-A14))-A14)^2+(F49-B14)^2),SQRT((A15-(A14+((F49-B14)/((F49-B14)-(F49-B15)))*(A15-A14)))^2+(F49-B15)^2)))))+(IF(AND((F49-B15)&lt;=0,(F49-B16)&lt;=0),0,IF(AND((F49-B15)&gt;=0,(F49-B16)&gt;=0),SQRT((A16-A15)^2+(B16-B15)^2),IF((F49-B15)&gt;0,SQRT(((A15+((F49-B15)/((F49-B15)-(F49-B16)))*(A16-A15))-A15)^2+(F49-B15)^2),SQRT((A16-(A15+((F49-B15)/((F49-B15)-(F49-B16)))*(A16-A15)))^2+(F49-B16)^2)))))+(IF(AND((F49-B16)&lt;=0,(F49-B17)&lt;=0),0,IF(AND((F49-B16)&gt;=0,(F49-B17)&gt;=0),SQRT((A17-A16)^2+(B17-B16)^2),IF((F49-B16)&gt;0,SQRT(((A16+((F49-B16)/((F49-B16)-(F49-B17)))*(A17-A16))-A16)^2+(F49-B16)^2),SQRT((A17-(A16+((F49-B16)/((F49-B16)-(F49-B17)))*(A17-A16)))^2+(F49-B17)^2)))))+(IF(AND((F49-B17)&lt;=0,(F49-B18)&lt;=0),0,IF(AND((F49-B17)&gt;=0,(F49-B18)&gt;=0),SQRT((A18-A17)^2+(B18-B17)^2),IF((F49-B17)&gt;0,SQRT(((A17+((F49-B17)/((F49-B17)-(F49-B18)))*(A18-A17))-A17)^2+(F49-B17)^2),SQRT((A18-(A17+((F49-B17)/((F49-B17)-(F49-B18)))*(A18-A17)))^2+(F49-B18)^2)))))</f>
        <v/>
      </c>
      <c r="I49">
        <f>IF(OR($B$4&lt;=0,G49&lt;=0,H49&lt;=0,$B$5&lt;=0),0,(1/$B$4)*G49*((G49/H49)^(2/3))*SQRT($B$5))</f>
        <v/>
      </c>
    </row>
    <row r="50">
      <c r="D50">
        <f>IF(I49&lt;$B$3,F49,D49)</f>
        <v/>
      </c>
      <c r="E50">
        <f>IF(I49&lt;$B$3,E49,F49)</f>
        <v/>
      </c>
      <c r="F50">
        <f>(D50+E50)/2</f>
        <v/>
      </c>
      <c r="G50">
        <f>(IF(AND((F50-B10)&lt;=0,(F50-B11)&lt;=0),0,IF(AND((F50-B10)&gt;=0,(F50-B11)&gt;=0),0.5*((F50-B10)+(F50-B11))*ABS(A11-A10),IF((F50-B10)&gt;0,0.5*(F50-B10)*ABS((A10+((F50-B10)/((F50-B10)-(F50-B11)))*(A11-A10))-A10),0.5*(F50-B11)*ABS(A11-(A10+((F50-B10)/((F50-B10)-(F50-B11)))*(A11-A10)))))))+(IF(AND((F50-B11)&lt;=0,(F50-B12)&lt;=0),0,IF(AND((F50-B11)&gt;=0,(F50-B12)&gt;=0),0.5*((F50-B11)+(F50-B12))*ABS(A12-A11),IF((F50-B11)&gt;0,0.5*(F50-B11)*ABS((A11+((F50-B11)/((F50-B11)-(F50-B12)))*(A12-A11))-A11),0.5*(F50-B12)*ABS(A12-(A11+((F50-B11)/((F50-B11)-(F50-B12)))*(A12-A11)))))))+(IF(AND((F50-B12)&lt;=0,(F50-B13)&lt;=0),0,IF(AND((F50-B12)&gt;=0,(F50-B13)&gt;=0),0.5*((F50-B12)+(F50-B13))*ABS(A13-A12),IF((F50-B12)&gt;0,0.5*(F50-B12)*ABS((A12+((F50-B12)/((F50-B12)-(F50-B13)))*(A13-A12))-A12),0.5*(F50-B13)*ABS(A13-(A12+((F50-B12)/((F50-B12)-(F50-B13)))*(A13-A12)))))))+(IF(AND((F50-B13)&lt;=0,(F50-B14)&lt;=0),0,IF(AND((F50-B13)&gt;=0,(F50-B14)&gt;=0),0.5*((F50-B13)+(F50-B14))*ABS(A14-A13),IF((F50-B13)&gt;0,0.5*(F50-B13)*ABS((A13+((F50-B13)/((F50-B13)-(F50-B14)))*(A14-A13))-A13),0.5*(F50-B14)*ABS(A14-(A13+((F50-B13)/((F50-B13)-(F50-B14)))*(A14-A13)))))))+(IF(AND((F50-B14)&lt;=0,(F50-B15)&lt;=0),0,IF(AND((F50-B14)&gt;=0,(F50-B15)&gt;=0),0.5*((F50-B14)+(F50-B15))*ABS(A15-A14),IF((F50-B14)&gt;0,0.5*(F50-B14)*ABS((A14+((F50-B14)/((F50-B14)-(F50-B15)))*(A15-A14))-A14),0.5*(F50-B15)*ABS(A15-(A14+((F50-B14)/((F50-B14)-(F50-B15)))*(A15-A14)))))))+(IF(AND((F50-B15)&lt;=0,(F50-B16)&lt;=0),0,IF(AND((F50-B15)&gt;=0,(F50-B16)&gt;=0),0.5*((F50-B15)+(F50-B16))*ABS(A16-A15),IF((F50-B15)&gt;0,0.5*(F50-B15)*ABS((A15+((F50-B15)/((F50-B15)-(F50-B16)))*(A16-A15))-A15),0.5*(F50-B16)*ABS(A16-(A15+((F50-B15)/((F50-B15)-(F50-B16)))*(A16-A15)))))))+(IF(AND((F50-B16)&lt;=0,(F50-B17)&lt;=0),0,IF(AND((F50-B16)&gt;=0,(F50-B17)&gt;=0),0.5*((F50-B16)+(F50-B17))*ABS(A17-A16),IF((F50-B16)&gt;0,0.5*(F50-B16)*ABS((A16+((F50-B16)/((F50-B16)-(F50-B17)))*(A17-A16))-A16),0.5*(F50-B17)*ABS(A17-(A16+((F50-B16)/((F50-B16)-(F50-B17)))*(A17-A16)))))))+(IF(AND((F50-B17)&lt;=0,(F50-B18)&lt;=0),0,IF(AND((F50-B17)&gt;=0,(F50-B18)&gt;=0),0.5*((F50-B17)+(F50-B18))*ABS(A18-A17),IF((F50-B17)&gt;0,0.5*(F50-B17)*ABS((A17+((F50-B17)/((F50-B17)-(F50-B18)))*(A18-A17))-A17),0.5*(F50-B18)*ABS(A18-(A17+((F50-B17)/((F50-B17)-(F50-B18)))*(A18-A17)))))))</f>
        <v/>
      </c>
      <c r="H50">
        <f>(IF(AND((F50-B10)&lt;=0,(F50-B11)&lt;=0),0,IF(AND((F50-B10)&gt;=0,(F50-B11)&gt;=0),SQRT((A11-A10)^2+(B11-B10)^2),IF((F50-B10)&gt;0,SQRT(((A10+((F50-B10)/((F50-B10)-(F50-B11)))*(A11-A10))-A10)^2+(F50-B10)^2),SQRT((A11-(A10+((F50-B10)/((F50-B10)-(F50-B11)))*(A11-A10)))^2+(F50-B11)^2)))))+(IF(AND((F50-B11)&lt;=0,(F50-B12)&lt;=0),0,IF(AND((F50-B11)&gt;=0,(F50-B12)&gt;=0),SQRT((A12-A11)^2+(B12-B11)^2),IF((F50-B11)&gt;0,SQRT(((A11+((F50-B11)/((F50-B11)-(F50-B12)))*(A12-A11))-A11)^2+(F50-B11)^2),SQRT((A12-(A11+((F50-B11)/((F50-B11)-(F50-B12)))*(A12-A11)))^2+(F50-B12)^2)))))+(IF(AND((F50-B12)&lt;=0,(F50-B13)&lt;=0),0,IF(AND((F50-B12)&gt;=0,(F50-B13)&gt;=0),SQRT((A13-A12)^2+(B13-B12)^2),IF((F50-B12)&gt;0,SQRT(((A12+((F50-B12)/((F50-B12)-(F50-B13)))*(A13-A12))-A12)^2+(F50-B12)^2),SQRT((A13-(A12+((F50-B12)/((F50-B12)-(F50-B13)))*(A13-A12)))^2+(F50-B13)^2)))))+(IF(AND((F50-B13)&lt;=0,(F50-B14)&lt;=0),0,IF(AND((F50-B13)&gt;=0,(F50-B14)&gt;=0),SQRT((A14-A13)^2+(B14-B13)^2),IF((F50-B13)&gt;0,SQRT(((A13+((F50-B13)/((F50-B13)-(F50-B14)))*(A14-A13))-A13)^2+(F50-B13)^2),SQRT((A14-(A13+((F50-B13)/((F50-B13)-(F50-B14)))*(A14-A13)))^2+(F50-B14)^2)))))+(IF(AND((F50-B14)&lt;=0,(F50-B15)&lt;=0),0,IF(AND((F50-B14)&gt;=0,(F50-B15)&gt;=0),SQRT((A15-A14)^2+(B15-B14)^2),IF((F50-B14)&gt;0,SQRT(((A14+((F50-B14)/((F50-B14)-(F50-B15)))*(A15-A14))-A14)^2+(F50-B14)^2),SQRT((A15-(A14+((F50-B14)/((F50-B14)-(F50-B15)))*(A15-A14)))^2+(F50-B15)^2)))))+(IF(AND((F50-B15)&lt;=0,(F50-B16)&lt;=0),0,IF(AND((F50-B15)&gt;=0,(F50-B16)&gt;=0),SQRT((A16-A15)^2+(B16-B15)^2),IF((F50-B15)&gt;0,SQRT(((A15+((F50-B15)/((F50-B15)-(F50-B16)))*(A16-A15))-A15)^2+(F50-B15)^2),SQRT((A16-(A15+((F50-B15)/((F50-B15)-(F50-B16)))*(A16-A15)))^2+(F50-B16)^2)))))+(IF(AND((F50-B16)&lt;=0,(F50-B17)&lt;=0),0,IF(AND((F50-B16)&gt;=0,(F50-B17)&gt;=0),SQRT((A17-A16)^2+(B17-B16)^2),IF((F50-B16)&gt;0,SQRT(((A16+((F50-B16)/((F50-B16)-(F50-B17)))*(A17-A16))-A16)^2+(F50-B16)^2),SQRT((A17-(A16+((F50-B16)/((F50-B16)-(F50-B17)))*(A17-A16)))^2+(F50-B17)^2)))))+(IF(AND((F50-B17)&lt;=0,(F50-B18)&lt;=0),0,IF(AND((F50-B17)&gt;=0,(F50-B18)&gt;=0),SQRT((A18-A17)^2+(B18-B17)^2),IF((F50-B17)&gt;0,SQRT(((A17+((F50-B17)/((F50-B17)-(F50-B18)))*(A18-A17))-A17)^2+(F50-B17)^2),SQRT((A18-(A17+((F50-B17)/((F50-B17)-(F50-B18)))*(A18-A17)))^2+(F50-B18)^2)))))</f>
        <v/>
      </c>
      <c r="I50">
        <f>IF(OR($B$4&lt;=0,G50&lt;=0,H50&lt;=0,$B$5&lt;=0),0,(1/$B$4)*G50*((G50/H50)^(2/3))*SQRT($B$5))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2026-08-29T21:26:42Z</dcterms:created>
  <dcterms:modified xsi:type="dcterms:W3CDTF">2026-08-29T21:26:42Z</dcterms:modified>
</cp:coreProperties>
</file>