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las des pluies (2)" sheetId="1" state="visible" r:id="rId3"/>
    <sheet name="Temps de concentration" sheetId="2" state="visible" r:id="rId4"/>
  </sheets>
  <definedNames>
    <definedName function="false" hidden="false" localSheetId="0" name="_xlnm.Print_Area" vbProcedure="false">'Atlas des pluies (2)'!$A$1:$AA$35</definedName>
    <definedName function="false" hidden="false" localSheetId="0" name="_xlnm.Print_Titles" vbProcedure="false">'Atlas des pluies (2)'!$1:$15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<sst xmlns="http://schemas.openxmlformats.org/spreadsheetml/2006/main" count="151" uniqueCount="102">
  <si>
    <t xml:space="preserve">Calculs relatifs à un réseau d'égout pluvial</t>
  </si>
  <si>
    <t xml:space="preserve">Projet :</t>
  </si>
  <si>
    <t xml:space="preserve">Tarmac, Aéroport de St-Hubert</t>
  </si>
  <si>
    <t xml:space="preserve">Courbe AQUAIDF Aéroport de St-Hubert</t>
  </si>
  <si>
    <t xml:space="preserve">Période de retour:</t>
  </si>
  <si>
    <t xml:space="preserve">ans</t>
  </si>
  <si>
    <t xml:space="preserve">No dossier :</t>
  </si>
  <si>
    <t xml:space="preserve">2010-801</t>
  </si>
  <si>
    <r>
      <rPr>
        <b val="true"/>
        <i val="true"/>
        <sz val="14"/>
        <rFont val="Times New Roman"/>
        <family val="1"/>
        <charset val="1"/>
      </rPr>
      <t xml:space="preserve">I</t>
    </r>
    <r>
      <rPr>
        <b val="true"/>
        <sz val="14"/>
        <rFont val="Arial"/>
        <family val="2"/>
        <charset val="1"/>
      </rPr>
      <t xml:space="preserve"> = A/(</t>
    </r>
    <r>
      <rPr>
        <b val="true"/>
        <i val="true"/>
        <sz val="14"/>
        <rFont val="Arial"/>
        <family val="2"/>
        <charset val="1"/>
      </rPr>
      <t xml:space="preserve">t+B)</t>
    </r>
    <r>
      <rPr>
        <b val="true"/>
        <vertAlign val="superscript"/>
        <sz val="14"/>
        <rFont val="Arial"/>
        <family val="2"/>
        <charset val="1"/>
      </rPr>
      <t xml:space="preserve">C</t>
    </r>
  </si>
  <si>
    <t xml:space="preserve">Date :</t>
  </si>
  <si>
    <t xml:space="preserve">Bassin 5 à 60 minutes</t>
  </si>
  <si>
    <t xml:space="preserve">Récurence</t>
  </si>
  <si>
    <t xml:space="preserve">A</t>
  </si>
  <si>
    <t xml:space="preserve">B</t>
  </si>
  <si>
    <t xml:space="preserve">C</t>
  </si>
  <si>
    <t xml:space="preserve">1/2 ans</t>
  </si>
  <si>
    <t xml:space="preserve">1/5 ans</t>
  </si>
  <si>
    <t xml:space="preserve">1/10 ans</t>
  </si>
  <si>
    <t xml:space="preserve">1/25 ans</t>
  </si>
  <si>
    <t xml:space="preserve">1/50 ans</t>
  </si>
  <si>
    <t xml:space="preserve">1/100 ans</t>
  </si>
  <si>
    <t xml:space="preserve">Coefficient de Manning:</t>
  </si>
  <si>
    <t xml:space="preserve">Calcul du débit</t>
  </si>
  <si>
    <t xml:space="preserve">Calcul des caractéristiques
de la conduite</t>
  </si>
  <si>
    <t xml:space="preserve">Niveau du sol</t>
  </si>
  <si>
    <t xml:space="preserve">Hauteur
de radier</t>
  </si>
  <si>
    <t xml:space="preserve">Couverture</t>
  </si>
  <si>
    <t xml:space="preserve">Volume retenu dans les conduites</t>
  </si>
  <si>
    <t xml:space="preserve">Tronçon de conduite</t>
  </si>
  <si>
    <t xml:space="preserve">Temps de concentration</t>
  </si>
  <si>
    <r>
      <rPr>
        <sz val="12"/>
        <rFont val="Arial"/>
        <family val="2"/>
        <charset val="1"/>
      </rPr>
      <t xml:space="preserve">Accroissement (</t>
    </r>
    <r>
      <rPr>
        <i val="true"/>
        <sz val="12"/>
        <rFont val="Arial"/>
        <family val="2"/>
        <charset val="1"/>
      </rPr>
      <t xml:space="preserve">DA</t>
    </r>
    <r>
      <rPr>
        <sz val="12"/>
        <rFont val="Arial"/>
        <family val="2"/>
        <charset val="1"/>
      </rPr>
      <t xml:space="preserve">)
de l'aire à desservir</t>
    </r>
  </si>
  <si>
    <r>
      <rPr>
        <sz val="12"/>
        <rFont val="Arial"/>
        <family val="2"/>
        <charset val="1"/>
      </rPr>
      <t xml:space="preserve">Coefficient de 
ruissellement de </t>
    </r>
    <r>
      <rPr>
        <i val="true"/>
        <sz val="12"/>
        <rFont val="Arial"/>
        <family val="2"/>
        <charset val="1"/>
      </rPr>
      <t xml:space="preserve">DA</t>
    </r>
  </si>
  <si>
    <r>
      <rPr>
        <sz val="12"/>
        <rFont val="Arial"/>
        <family val="2"/>
        <charset val="1"/>
      </rPr>
      <t xml:space="preserve">Aire imperméables de </t>
    </r>
    <r>
      <rPr>
        <i val="true"/>
        <sz val="12"/>
        <rFont val="Arial"/>
        <family val="2"/>
        <charset val="1"/>
      </rPr>
      <t xml:space="preserve">DA</t>
    </r>
  </si>
  <si>
    <t xml:space="preserve">Aire cumulative</t>
  </si>
  <si>
    <t xml:space="preserve">Aire imperméable cumulative</t>
  </si>
  <si>
    <r>
      <rPr>
        <sz val="12"/>
        <rFont val="Arial"/>
        <family val="2"/>
        <charset val="1"/>
      </rPr>
      <t xml:space="preserve">Coefficient de 
ruissellement de </t>
    </r>
    <r>
      <rPr>
        <i val="true"/>
        <sz val="12"/>
        <rFont val="Arial"/>
        <family val="2"/>
        <charset val="1"/>
      </rPr>
      <t xml:space="preserve">A</t>
    </r>
  </si>
  <si>
    <t xml:space="preserve">Intensité de précipitation</t>
  </si>
  <si>
    <r>
      <rPr>
        <sz val="12"/>
        <rFont val="Arial"/>
        <family val="2"/>
        <charset val="1"/>
      </rPr>
      <t xml:space="preserve">Débit maximal = </t>
    </r>
    <r>
      <rPr>
        <i val="true"/>
        <sz val="12"/>
        <rFont val="Arial"/>
        <family val="2"/>
        <charset val="1"/>
      </rPr>
      <t xml:space="preserve">2,75 x 10-3 AIR</t>
    </r>
  </si>
  <si>
    <t xml:space="preserve">Pente de la conduite</t>
  </si>
  <si>
    <t xml:space="preserve">Diamètre nominal de la conduite</t>
  </si>
  <si>
    <t xml:space="preserve">Vitesse d'écoulement dans la
conduite coulant à plein débit</t>
  </si>
  <si>
    <t xml:space="preserve">Longueur de la conduite</t>
  </si>
  <si>
    <r>
      <rPr>
        <sz val="12"/>
        <rFont val="Arial"/>
        <family val="2"/>
        <charset val="1"/>
      </rPr>
      <t xml:space="preserve">Temps d'écoulement
dans la conduite (</t>
    </r>
    <r>
      <rPr>
        <i val="true"/>
        <sz val="12"/>
        <rFont val="Arial"/>
        <family val="2"/>
        <charset val="1"/>
      </rPr>
      <t xml:space="preserve">L/v</t>
    </r>
    <r>
      <rPr>
        <sz val="12"/>
        <rFont val="Arial"/>
        <family val="2"/>
        <charset val="1"/>
      </rPr>
      <t xml:space="preserve">)</t>
    </r>
  </si>
  <si>
    <t xml:space="preserve">Capacité hydraulique de la
conduite coulant à plein débit</t>
  </si>
  <si>
    <t xml:space="preserve">Amont</t>
  </si>
  <si>
    <t xml:space="preserve">Aval</t>
  </si>
  <si>
    <t xml:space="preserve">Conduites</t>
  </si>
  <si>
    <t xml:space="preserve">Diamètre de 
la bouche d'égouts</t>
  </si>
  <si>
    <t xml:space="preserve">Volume de la bouche d'égouts</t>
  </si>
  <si>
    <r>
      <rPr>
        <sz val="12"/>
        <rFont val="Arial"/>
        <family val="2"/>
        <charset val="1"/>
      </rPr>
      <t xml:space="preserve">Vérification de la capacité
de la conduite Q</t>
    </r>
    <r>
      <rPr>
        <vertAlign val="subscript"/>
        <sz val="12"/>
        <rFont val="Arial"/>
        <family val="2"/>
        <charset val="1"/>
      </rPr>
      <t xml:space="preserve">p </t>
    </r>
    <r>
      <rPr>
        <sz val="12"/>
        <rFont val="Arial"/>
        <family val="2"/>
        <charset val="1"/>
      </rPr>
      <t xml:space="preserve">&gt; Q</t>
    </r>
    <r>
      <rPr>
        <vertAlign val="subscript"/>
        <sz val="12"/>
        <rFont val="Arial"/>
        <family val="2"/>
        <charset val="1"/>
      </rPr>
      <t xml:space="preserve">max</t>
    </r>
  </si>
  <si>
    <r>
      <rPr>
        <i val="true"/>
        <sz val="12"/>
        <rFont val="Arial"/>
        <family val="2"/>
        <charset val="1"/>
      </rPr>
      <t xml:space="preserve">t</t>
    </r>
    <r>
      <rPr>
        <i val="true"/>
        <vertAlign val="subscript"/>
        <sz val="14"/>
        <rFont val="Arial"/>
        <family val="2"/>
        <charset val="1"/>
      </rPr>
      <t xml:space="preserve">c</t>
    </r>
  </si>
  <si>
    <t xml:space="preserve">DA</t>
  </si>
  <si>
    <r>
      <rPr>
        <i val="true"/>
        <sz val="12"/>
        <rFont val="Arial"/>
        <family val="2"/>
        <charset val="1"/>
      </rPr>
      <t xml:space="preserve">R</t>
    </r>
    <r>
      <rPr>
        <i val="true"/>
        <vertAlign val="subscript"/>
        <sz val="14"/>
        <rFont val="Arial"/>
        <family val="2"/>
        <charset val="1"/>
      </rPr>
      <t xml:space="preserve">T</t>
    </r>
  </si>
  <si>
    <r>
      <rPr>
        <i val="true"/>
        <sz val="12"/>
        <rFont val="Arial"/>
        <family val="2"/>
        <charset val="1"/>
      </rPr>
      <t xml:space="preserve">DAR</t>
    </r>
    <r>
      <rPr>
        <i val="true"/>
        <vertAlign val="subscript"/>
        <sz val="14"/>
        <rFont val="Arial"/>
        <family val="2"/>
        <charset val="1"/>
      </rPr>
      <t xml:space="preserve">T</t>
    </r>
  </si>
  <si>
    <t xml:space="preserve">AR</t>
  </si>
  <si>
    <t xml:space="preserve">R</t>
  </si>
  <si>
    <t xml:space="preserve">I</t>
  </si>
  <si>
    <r>
      <rPr>
        <i val="true"/>
        <sz val="12"/>
        <rFont val="Arial"/>
        <family val="2"/>
        <charset val="1"/>
      </rPr>
      <t xml:space="preserve">Q</t>
    </r>
    <r>
      <rPr>
        <i val="true"/>
        <vertAlign val="subscript"/>
        <sz val="14"/>
        <rFont val="Arial"/>
        <family val="2"/>
        <charset val="1"/>
      </rPr>
      <t xml:space="preserve">max</t>
    </r>
  </si>
  <si>
    <t xml:space="preserve">s</t>
  </si>
  <si>
    <r>
      <rPr>
        <i val="true"/>
        <sz val="12"/>
        <rFont val="Arial"/>
        <family val="2"/>
        <charset val="1"/>
      </rPr>
      <t xml:space="preserve">d</t>
    </r>
    <r>
      <rPr>
        <i val="true"/>
        <vertAlign val="subscript"/>
        <sz val="14"/>
        <rFont val="Arial"/>
        <family val="2"/>
        <charset val="1"/>
      </rPr>
      <t xml:space="preserve">nom</t>
    </r>
  </si>
  <si>
    <t xml:space="preserve">v</t>
  </si>
  <si>
    <t xml:space="preserve">L</t>
  </si>
  <si>
    <r>
      <rPr>
        <i val="true"/>
        <sz val="12"/>
        <rFont val="Arial"/>
        <family val="2"/>
        <charset val="1"/>
      </rPr>
      <t xml:space="preserve">t</t>
    </r>
    <r>
      <rPr>
        <i val="true"/>
        <vertAlign val="subscript"/>
        <sz val="14"/>
        <rFont val="Arial"/>
        <family val="2"/>
        <charset val="1"/>
      </rPr>
      <t xml:space="preserve">f</t>
    </r>
  </si>
  <si>
    <r>
      <rPr>
        <i val="true"/>
        <sz val="12"/>
        <rFont val="Arial"/>
        <family val="2"/>
        <charset val="1"/>
      </rPr>
      <t xml:space="preserve">Q</t>
    </r>
    <r>
      <rPr>
        <i val="true"/>
        <vertAlign val="subscript"/>
        <sz val="14"/>
        <rFont val="Arial"/>
        <family val="2"/>
        <charset val="1"/>
      </rPr>
      <t xml:space="preserve">p</t>
    </r>
  </si>
  <si>
    <t xml:space="preserve">(min)</t>
  </si>
  <si>
    <t xml:space="preserve">(ha)</t>
  </si>
  <si>
    <t xml:space="preserve">(mm/h)</t>
  </si>
  <si>
    <r>
      <rPr>
        <sz val="12"/>
        <rFont val="Arial"/>
        <family val="2"/>
        <charset val="1"/>
      </rPr>
      <t xml:space="preserve">(m</t>
    </r>
    <r>
      <rPr>
        <vertAlign val="superscript"/>
        <sz val="12"/>
        <rFont val="Arial"/>
        <family val="2"/>
        <charset val="1"/>
      </rPr>
      <t xml:space="preserve">3</t>
    </r>
    <r>
      <rPr>
        <sz val="12"/>
        <rFont val="Arial"/>
        <family val="2"/>
        <charset val="1"/>
      </rPr>
      <t xml:space="preserve">/s)</t>
    </r>
  </si>
  <si>
    <t xml:space="preserve">(m/m)</t>
  </si>
  <si>
    <t xml:space="preserve">(mm)</t>
  </si>
  <si>
    <t xml:space="preserve">(m/s)</t>
  </si>
  <si>
    <t xml:space="preserve">(m)</t>
  </si>
  <si>
    <r>
      <rPr>
        <sz val="12"/>
        <rFont val="Arial"/>
        <family val="2"/>
        <charset val="1"/>
      </rPr>
      <t xml:space="preserve">(m</t>
    </r>
    <r>
      <rPr>
        <vertAlign val="superscript"/>
        <sz val="12"/>
        <rFont val="Arial"/>
        <family val="2"/>
        <charset val="1"/>
      </rPr>
      <t xml:space="preserve">3</t>
    </r>
    <r>
      <rPr>
        <sz val="12"/>
        <rFont val="Arial"/>
        <family val="2"/>
        <charset val="1"/>
      </rPr>
      <t xml:space="preserve">)</t>
    </r>
  </si>
  <si>
    <t xml:space="preserve">P-01</t>
  </si>
  <si>
    <t xml:space="preserve">@</t>
  </si>
  <si>
    <t xml:space="preserve">P-02</t>
  </si>
  <si>
    <t xml:space="preserve">RPP-03</t>
  </si>
  <si>
    <t xml:space="preserve">Réseau</t>
  </si>
  <si>
    <t xml:space="preserve">P-05</t>
  </si>
  <si>
    <t xml:space="preserve">P-06 </t>
  </si>
  <si>
    <t xml:space="preserve">P-08</t>
  </si>
  <si>
    <t xml:space="preserve">P-09</t>
  </si>
  <si>
    <t xml:space="preserve">P-10</t>
  </si>
  <si>
    <t xml:space="preserve">RP-07</t>
  </si>
  <si>
    <t xml:space="preserve">RP-11</t>
  </si>
  <si>
    <t xml:space="preserve">RP-14</t>
  </si>
  <si>
    <t xml:space="preserve">RP-01</t>
  </si>
  <si>
    <t xml:space="preserve">*</t>
  </si>
  <si>
    <t xml:space="preserve">,0,</t>
  </si>
  <si>
    <t xml:space="preserve">Préparé par:</t>
  </si>
  <si>
    <t xml:space="preserve">Vérifié par:</t>
  </si>
  <si>
    <t xml:space="preserve">Paramètres</t>
  </si>
  <si>
    <t xml:space="preserve">Sous-Bassins</t>
  </si>
  <si>
    <t xml:space="preserve">P-06</t>
  </si>
  <si>
    <t xml:space="preserve">P09</t>
  </si>
  <si>
    <t xml:space="preserve">test</t>
  </si>
  <si>
    <t xml:space="preserve">Aire (ha)</t>
  </si>
  <si>
    <t xml:space="preserve">temps d'entrée (min.)</t>
  </si>
  <si>
    <t xml:space="preserve">Coef. Ruissellement</t>
  </si>
  <si>
    <t xml:space="preserve">L (m)</t>
  </si>
  <si>
    <t xml:space="preserve">n</t>
  </si>
  <si>
    <t xml:space="preserve">s (m/m)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</si>
</sst>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 ???/???"/>
    <numFmt numFmtId="167" formatCode="dd/mm/yyyy"/>
    <numFmt numFmtId="168" formatCode="0.0"/>
    <numFmt numFmtId="169" formatCode="0.000"/>
    <numFmt numFmtId="170" formatCode="0.0000"/>
    <numFmt numFmtId="171" formatCode="@"/>
  </numFmts>
  <fonts count="19">
    <font>
      <sz val="12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i val="true"/>
      <sz val="14"/>
      <name val="Arial"/>
      <family val="2"/>
      <charset val="1"/>
    </font>
    <font>
      <sz val="11"/>
      <name val="Arial"/>
      <family val="2"/>
      <charset val="1"/>
    </font>
    <font>
      <b val="true"/>
      <i val="true"/>
      <sz val="14"/>
      <name val="Times New Roman"/>
      <family val="1"/>
      <charset val="1"/>
    </font>
    <font>
      <b val="true"/>
      <vertAlign val="superscript"/>
      <sz val="14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4"/>
      <name val="Arial"/>
      <family val="2"/>
      <charset val="1"/>
    </font>
    <font>
      <i val="true"/>
      <sz val="12"/>
      <name val="Arial"/>
      <family val="2"/>
      <charset val="1"/>
    </font>
    <font>
      <vertAlign val="subscript"/>
      <sz val="12"/>
      <name val="Arial"/>
      <family val="2"/>
      <charset val="1"/>
    </font>
    <font>
      <i val="true"/>
      <vertAlign val="subscript"/>
      <sz val="14"/>
      <name val="Arial"/>
      <family val="2"/>
      <charset val="1"/>
    </font>
    <font>
      <vertAlign val="superscript"/>
      <sz val="1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double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double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double"/>
      <top/>
      <bottom style="medium"/>
      <diagonal/>
    </border>
    <border diagonalUp="false" diagonalDown="false">
      <left style="double"/>
      <right style="thin"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double"/>
      <top/>
      <bottom style="medium"/>
      <diagonal/>
    </border>
    <border diagonalUp="false" diagonalDown="false">
      <left style="double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Tableau" xfId="21"/>
    <cellStyle name="Normal_WS96A2~5" xfId="22"/>
    <cellStyle name="Normal_WS96A2~5 2" xfId="23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4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222120</xdr:colOff>
      <xdr:row>1</xdr:row>
      <xdr:rowOff>63360</xdr:rowOff>
    </xdr:from>
    <xdr:to>
      <xdr:col>4</xdr:col>
      <xdr:colOff>459720</xdr:colOff>
      <xdr:row>4</xdr:row>
      <xdr:rowOff>42840</xdr:rowOff>
    </xdr:to>
    <xdr:pic>
      <xdr:nvPicPr>
        <xdr:cNvPr id="0" name="Picture 1" descr="Marchand_Houle_RGB"/>
        <xdr:cNvPicPr/>
      </xdr:nvPicPr>
      <xdr:blipFill>
        <a:blip r:embed="rId1"/>
        <a:stretch/>
      </xdr:blipFill>
      <xdr:spPr>
        <a:xfrm>
          <a:off x="222120" y="415800"/>
          <a:ext cx="2535120" cy="87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73"/>
  <sheetViews>
    <sheetView showFormulas="false" showGridLines="true" showRowColHeaders="true" showZeros="true" rightToLeft="false" tabSelected="true" showOutlineSymbols="true" defaultGridColor="true" view="pageBreakPreview" topLeftCell="A13" colorId="64" zoomScale="85" zoomScaleNormal="80" zoomScalePageLayoutView="85" workbookViewId="0">
      <selection pane="topLeft" activeCell="C18" activeCellId="0" sqref="C18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9.35"/>
    <col collapsed="false" customWidth="true" hidden="false" outlineLevel="0" max="2" min="2" style="1" width="3.1"/>
    <col collapsed="false" customWidth="true" hidden="false" outlineLevel="0" max="3" min="3" style="1" width="9.6"/>
    <col collapsed="false" customWidth="true" hidden="false" outlineLevel="0" max="10" min="4" style="1" width="8.1"/>
    <col collapsed="false" customWidth="true" hidden="false" outlineLevel="0" max="11" min="11" style="2" width="8.1"/>
    <col collapsed="false" customWidth="true" hidden="false" outlineLevel="0" max="16" min="12" style="1" width="8.1"/>
    <col collapsed="false" customWidth="true" hidden="false" outlineLevel="0" max="17" min="17" style="1" width="9.6"/>
    <col collapsed="false" customWidth="true" hidden="false" outlineLevel="0" max="24" min="18" style="1" width="8.1"/>
    <col collapsed="false" customWidth="true" hidden="false" outlineLevel="0" max="25" min="25" style="3" width="8.1"/>
    <col collapsed="false" customWidth="true" hidden="false" outlineLevel="0" max="29" min="26" style="1" width="8.1"/>
    <col collapsed="false" customWidth="false" hidden="false" outlineLevel="0" max="16384" min="30" style="1" width="11"/>
  </cols>
  <sheetData>
    <row r="1" customFormat="false" ht="27.7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24" hidden="false" customHeight="true" outlineLevel="0" collapsed="false">
      <c r="A2" s="5"/>
      <c r="B2" s="6"/>
      <c r="C2" s="6"/>
      <c r="D2" s="6"/>
      <c r="E2" s="6"/>
      <c r="F2" s="7" t="s">
        <v>1</v>
      </c>
      <c r="G2" s="7"/>
      <c r="H2" s="8" t="s">
        <v>2</v>
      </c>
      <c r="I2" s="8"/>
      <c r="J2" s="9"/>
      <c r="K2" s="9"/>
      <c r="L2" s="10"/>
      <c r="M2" s="11" t="s">
        <v>3</v>
      </c>
      <c r="N2" s="11"/>
      <c r="O2" s="11"/>
      <c r="P2" s="11"/>
      <c r="Q2" s="12"/>
      <c r="R2" s="13" t="s">
        <v>4</v>
      </c>
      <c r="S2" s="14" t="n">
        <v>0.2</v>
      </c>
      <c r="T2" s="15" t="s">
        <v>5</v>
      </c>
      <c r="U2" s="6"/>
      <c r="V2" s="6"/>
      <c r="W2" s="6"/>
      <c r="X2" s="6"/>
      <c r="Y2" s="16"/>
      <c r="Z2" s="6"/>
      <c r="AA2" s="17"/>
    </row>
    <row r="3" customFormat="false" ht="24" hidden="false" customHeight="true" outlineLevel="0" collapsed="false">
      <c r="A3" s="18"/>
      <c r="F3" s="19" t="s">
        <v>6</v>
      </c>
      <c r="G3" s="19"/>
      <c r="H3" s="20" t="s">
        <v>7</v>
      </c>
      <c r="I3" s="20"/>
      <c r="J3" s="21"/>
      <c r="K3" s="22"/>
      <c r="L3" s="23"/>
      <c r="M3" s="11"/>
      <c r="N3" s="11"/>
      <c r="O3" s="11"/>
      <c r="P3" s="11"/>
      <c r="Q3" s="24" t="s">
        <v>8</v>
      </c>
      <c r="R3" s="24"/>
      <c r="S3" s="24"/>
      <c r="T3" s="24"/>
      <c r="AA3" s="25"/>
    </row>
    <row r="4" s="1" customFormat="true" ht="22.5" hidden="false" customHeight="true" outlineLevel="0" collapsed="false">
      <c r="A4" s="18"/>
      <c r="F4" s="26"/>
      <c r="G4" s="26" t="s">
        <v>9</v>
      </c>
      <c r="H4" s="27" t="n">
        <v>40533</v>
      </c>
      <c r="I4" s="27"/>
      <c r="J4" s="21"/>
      <c r="K4" s="22"/>
      <c r="L4" s="23"/>
      <c r="M4" s="28" t="s">
        <v>10</v>
      </c>
      <c r="N4" s="28"/>
      <c r="O4" s="28"/>
      <c r="P4" s="28"/>
      <c r="Q4" s="29" t="s">
        <v>11</v>
      </c>
      <c r="R4" s="30" t="s">
        <v>12</v>
      </c>
      <c r="S4" s="29" t="s">
        <v>13</v>
      </c>
      <c r="T4" s="31" t="s">
        <v>14</v>
      </c>
      <c r="AA4" s="25"/>
    </row>
    <row r="5" customFormat="false" ht="22.5" hidden="false" customHeight="true" outlineLevel="0" collapsed="false">
      <c r="A5" s="18"/>
      <c r="F5" s="32"/>
      <c r="G5" s="32"/>
      <c r="H5" s="33"/>
      <c r="I5" s="33"/>
      <c r="J5" s="21"/>
      <c r="K5" s="22"/>
      <c r="L5" s="23"/>
      <c r="Q5" s="34" t="s">
        <v>15</v>
      </c>
      <c r="R5" s="35" t="n">
        <v>603.83</v>
      </c>
      <c r="S5" s="36" t="n">
        <v>6.2</v>
      </c>
      <c r="T5" s="37" t="n">
        <v>0.794</v>
      </c>
      <c r="Z5" s="38"/>
      <c r="AA5" s="39"/>
    </row>
    <row r="6" customFormat="false" ht="22.5" hidden="false" customHeight="true" outlineLevel="0" collapsed="false">
      <c r="A6" s="18"/>
      <c r="F6" s="32"/>
      <c r="G6" s="32"/>
      <c r="H6" s="33"/>
      <c r="I6" s="33"/>
      <c r="J6" s="21"/>
      <c r="K6" s="22"/>
      <c r="L6" s="23"/>
      <c r="Q6" s="34" t="s">
        <v>16</v>
      </c>
      <c r="R6" s="35" t="n">
        <v>509.21</v>
      </c>
      <c r="S6" s="36" t="n">
        <v>3.7</v>
      </c>
      <c r="T6" s="37" t="n">
        <v>0.683</v>
      </c>
      <c r="Z6" s="38"/>
      <c r="AA6" s="39"/>
    </row>
    <row r="7" customFormat="false" ht="22.5" hidden="false" customHeight="true" outlineLevel="0" collapsed="false">
      <c r="A7" s="18"/>
      <c r="F7" s="32"/>
      <c r="G7" s="32"/>
      <c r="H7" s="33"/>
      <c r="I7" s="33"/>
      <c r="J7" s="21"/>
      <c r="K7" s="22"/>
      <c r="L7" s="23"/>
      <c r="Q7" s="34" t="s">
        <v>17</v>
      </c>
      <c r="R7" s="35" t="n">
        <v>508.07</v>
      </c>
      <c r="S7" s="36" t="n">
        <v>2.9</v>
      </c>
      <c r="T7" s="37" t="n">
        <v>0.644</v>
      </c>
      <c r="Z7" s="38"/>
      <c r="AA7" s="39"/>
    </row>
    <row r="8" customFormat="false" ht="22.5" hidden="false" customHeight="true" outlineLevel="0" collapsed="false">
      <c r="A8" s="18"/>
      <c r="F8" s="32"/>
      <c r="G8" s="32"/>
      <c r="H8" s="33"/>
      <c r="I8" s="33"/>
      <c r="J8" s="21"/>
      <c r="K8" s="22"/>
      <c r="L8" s="23"/>
      <c r="Q8" s="34" t="s">
        <v>18</v>
      </c>
      <c r="R8" s="35" t="n">
        <v>515.88</v>
      </c>
      <c r="S8" s="36" t="n">
        <v>2.1</v>
      </c>
      <c r="T8" s="37" t="n">
        <v>0.607</v>
      </c>
      <c r="Z8" s="38"/>
      <c r="AA8" s="39"/>
    </row>
    <row r="9" customFormat="false" ht="22.5" hidden="false" customHeight="true" outlineLevel="0" collapsed="false">
      <c r="A9" s="18"/>
      <c r="F9" s="32"/>
      <c r="G9" s="32"/>
      <c r="H9" s="33"/>
      <c r="I9" s="33"/>
      <c r="J9" s="21"/>
      <c r="K9" s="22"/>
      <c r="L9" s="23"/>
      <c r="Q9" s="34" t="s">
        <v>19</v>
      </c>
      <c r="R9" s="35" t="n">
        <v>548.6</v>
      </c>
      <c r="S9" s="36" t="n">
        <v>1.9</v>
      </c>
      <c r="T9" s="37" t="n">
        <v>0.595</v>
      </c>
      <c r="Z9" s="38"/>
      <c r="AA9" s="39"/>
    </row>
    <row r="10" customFormat="false" ht="22.5" hidden="false" customHeight="true" outlineLevel="0" collapsed="false">
      <c r="A10" s="18"/>
      <c r="F10" s="32"/>
      <c r="G10" s="32"/>
      <c r="H10" s="33"/>
      <c r="I10" s="33"/>
      <c r="J10" s="21"/>
      <c r="K10" s="22"/>
      <c r="L10" s="23"/>
      <c r="Q10" s="34" t="s">
        <v>20</v>
      </c>
      <c r="R10" s="35" t="n">
        <v>569.21</v>
      </c>
      <c r="S10" s="36" t="n">
        <v>1.6</v>
      </c>
      <c r="T10" s="37" t="n">
        <v>0.579</v>
      </c>
      <c r="Z10" s="38"/>
      <c r="AA10" s="39"/>
    </row>
    <row r="11" customFormat="false" ht="22.5" hidden="false" customHeight="true" outlineLevel="0" collapsed="false">
      <c r="A11" s="40"/>
      <c r="B11" s="41"/>
      <c r="C11" s="41"/>
      <c r="D11" s="41"/>
      <c r="E11" s="41"/>
      <c r="F11" s="42"/>
      <c r="G11" s="41"/>
      <c r="H11" s="41"/>
      <c r="I11" s="41"/>
      <c r="J11" s="43"/>
      <c r="K11" s="44"/>
      <c r="L11" s="45"/>
      <c r="M11" s="41"/>
      <c r="N11" s="41"/>
      <c r="O11" s="41"/>
      <c r="P11" s="41"/>
      <c r="Q11" s="46"/>
      <c r="R11" s="47" t="s">
        <v>21</v>
      </c>
      <c r="S11" s="48" t="n">
        <v>0.012</v>
      </c>
      <c r="T11" s="49"/>
      <c r="U11" s="41"/>
      <c r="V11" s="50"/>
      <c r="W11" s="51"/>
      <c r="X11" s="41"/>
      <c r="Y11" s="52"/>
      <c r="Z11" s="53"/>
      <c r="AA11" s="54"/>
    </row>
    <row r="12" s="22" customFormat="true" ht="42" hidden="false" customHeight="true" outlineLevel="0" collapsed="false">
      <c r="A12" s="55" t="s">
        <v>22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6" t="s">
        <v>23</v>
      </c>
      <c r="N12" s="56"/>
      <c r="O12" s="56"/>
      <c r="P12" s="56"/>
      <c r="Q12" s="56"/>
      <c r="R12" s="56"/>
      <c r="S12" s="57" t="s">
        <v>24</v>
      </c>
      <c r="T12" s="57"/>
      <c r="U12" s="58" t="s">
        <v>25</v>
      </c>
      <c r="V12" s="58"/>
      <c r="W12" s="59" t="s">
        <v>26</v>
      </c>
      <c r="X12" s="59"/>
      <c r="Y12" s="60" t="s">
        <v>27</v>
      </c>
      <c r="Z12" s="60"/>
      <c r="AA12" s="60"/>
    </row>
    <row r="13" s="75" customFormat="true" ht="189" hidden="false" customHeight="true" outlineLevel="0" collapsed="false">
      <c r="A13" s="61" t="s">
        <v>28</v>
      </c>
      <c r="B13" s="61"/>
      <c r="C13" s="61"/>
      <c r="D13" s="62" t="s">
        <v>29</v>
      </c>
      <c r="E13" s="63" t="s">
        <v>30</v>
      </c>
      <c r="F13" s="63" t="s">
        <v>31</v>
      </c>
      <c r="G13" s="62" t="s">
        <v>32</v>
      </c>
      <c r="H13" s="62" t="s">
        <v>33</v>
      </c>
      <c r="I13" s="62" t="s">
        <v>34</v>
      </c>
      <c r="J13" s="63" t="s">
        <v>35</v>
      </c>
      <c r="K13" s="64" t="s">
        <v>36</v>
      </c>
      <c r="L13" s="65" t="s">
        <v>37</v>
      </c>
      <c r="M13" s="66" t="s">
        <v>38</v>
      </c>
      <c r="N13" s="67" t="s">
        <v>39</v>
      </c>
      <c r="O13" s="68" t="s">
        <v>40</v>
      </c>
      <c r="P13" s="69" t="s">
        <v>41</v>
      </c>
      <c r="Q13" s="70" t="s">
        <v>42</v>
      </c>
      <c r="R13" s="71" t="s">
        <v>43</v>
      </c>
      <c r="S13" s="69" t="s">
        <v>44</v>
      </c>
      <c r="T13" s="69" t="s">
        <v>45</v>
      </c>
      <c r="U13" s="69" t="s">
        <v>44</v>
      </c>
      <c r="V13" s="72" t="s">
        <v>45</v>
      </c>
      <c r="W13" s="69" t="s">
        <v>44</v>
      </c>
      <c r="X13" s="69" t="s">
        <v>45</v>
      </c>
      <c r="Y13" s="69" t="s">
        <v>46</v>
      </c>
      <c r="Z13" s="70" t="s">
        <v>47</v>
      </c>
      <c r="AA13" s="73" t="s">
        <v>48</v>
      </c>
      <c r="AB13" s="74" t="s">
        <v>49</v>
      </c>
    </row>
    <row r="14" s="77" customFormat="true" ht="20.25" hidden="false" customHeight="true" outlineLevel="0" collapsed="false">
      <c r="A14" s="76"/>
      <c r="C14" s="78"/>
      <c r="D14" s="78" t="s">
        <v>50</v>
      </c>
      <c r="E14" s="78" t="s">
        <v>51</v>
      </c>
      <c r="F14" s="78" t="s">
        <v>52</v>
      </c>
      <c r="G14" s="78" t="s">
        <v>53</v>
      </c>
      <c r="H14" s="78" t="s">
        <v>12</v>
      </c>
      <c r="I14" s="78" t="s">
        <v>54</v>
      </c>
      <c r="J14" s="78" t="s">
        <v>55</v>
      </c>
      <c r="K14" s="79" t="s">
        <v>56</v>
      </c>
      <c r="L14" s="80" t="s">
        <v>57</v>
      </c>
      <c r="M14" s="81" t="s">
        <v>58</v>
      </c>
      <c r="N14" s="78" t="s">
        <v>59</v>
      </c>
      <c r="O14" s="82" t="s">
        <v>60</v>
      </c>
      <c r="P14" s="78" t="s">
        <v>61</v>
      </c>
      <c r="Q14" s="78" t="s">
        <v>62</v>
      </c>
      <c r="R14" s="83" t="s">
        <v>63</v>
      </c>
      <c r="S14" s="78"/>
      <c r="T14" s="78"/>
      <c r="U14" s="78"/>
      <c r="V14" s="84"/>
      <c r="W14" s="85"/>
      <c r="X14" s="82"/>
      <c r="Y14" s="82"/>
      <c r="Z14" s="86"/>
      <c r="AA14" s="87"/>
    </row>
    <row r="15" s="101" customFormat="true" ht="18" hidden="false" customHeight="true" outlineLevel="0" collapsed="false">
      <c r="A15" s="88"/>
      <c r="B15" s="89"/>
      <c r="C15" s="90"/>
      <c r="D15" s="90" t="s">
        <v>64</v>
      </c>
      <c r="E15" s="90" t="s">
        <v>65</v>
      </c>
      <c r="F15" s="90"/>
      <c r="G15" s="90" t="s">
        <v>65</v>
      </c>
      <c r="H15" s="90" t="s">
        <v>65</v>
      </c>
      <c r="I15" s="90" t="s">
        <v>65</v>
      </c>
      <c r="J15" s="90"/>
      <c r="K15" s="91" t="s">
        <v>66</v>
      </c>
      <c r="L15" s="92" t="s">
        <v>67</v>
      </c>
      <c r="M15" s="93" t="s">
        <v>68</v>
      </c>
      <c r="N15" s="90" t="s">
        <v>69</v>
      </c>
      <c r="O15" s="94" t="s">
        <v>70</v>
      </c>
      <c r="P15" s="90" t="s">
        <v>71</v>
      </c>
      <c r="Q15" s="90" t="s">
        <v>64</v>
      </c>
      <c r="R15" s="95" t="s">
        <v>67</v>
      </c>
      <c r="S15" s="90" t="s">
        <v>71</v>
      </c>
      <c r="T15" s="90" t="s">
        <v>71</v>
      </c>
      <c r="U15" s="90" t="s">
        <v>71</v>
      </c>
      <c r="V15" s="96" t="s">
        <v>71</v>
      </c>
      <c r="W15" s="97" t="s">
        <v>71</v>
      </c>
      <c r="X15" s="98" t="s">
        <v>71</v>
      </c>
      <c r="Y15" s="99" t="s">
        <v>72</v>
      </c>
      <c r="Z15" s="94" t="s">
        <v>71</v>
      </c>
      <c r="AA15" s="100" t="s">
        <v>72</v>
      </c>
    </row>
    <row r="16" customFormat="false" ht="22.5" hidden="false" customHeight="true" outlineLevel="0" collapsed="false">
      <c r="A16" s="102"/>
      <c r="B16" s="103"/>
      <c r="C16" s="104"/>
      <c r="D16" s="105"/>
      <c r="E16" s="105"/>
      <c r="F16" s="105"/>
      <c r="G16" s="105"/>
      <c r="H16" s="105"/>
      <c r="I16" s="105"/>
      <c r="J16" s="105"/>
      <c r="K16" s="106"/>
      <c r="L16" s="107"/>
      <c r="M16" s="108"/>
      <c r="N16" s="105"/>
      <c r="O16" s="109"/>
      <c r="P16" s="105"/>
      <c r="Q16" s="105"/>
      <c r="R16" s="110"/>
      <c r="S16" s="111"/>
      <c r="T16" s="104"/>
      <c r="U16" s="105"/>
      <c r="V16" s="112"/>
      <c r="X16" s="113"/>
      <c r="Z16" s="113"/>
      <c r="AA16" s="25"/>
      <c r="AC16" s="114"/>
    </row>
    <row r="17" customFormat="false" ht="22.5" hidden="false" customHeight="true" outlineLevel="0" collapsed="false">
      <c r="A17" s="102"/>
      <c r="B17" s="103"/>
      <c r="C17" s="104"/>
      <c r="D17" s="105"/>
      <c r="E17" s="105"/>
      <c r="F17" s="105"/>
      <c r="G17" s="105"/>
      <c r="H17" s="105"/>
      <c r="I17" s="105"/>
      <c r="J17" s="105"/>
      <c r="K17" s="106"/>
      <c r="L17" s="107"/>
      <c r="M17" s="108"/>
      <c r="N17" s="105"/>
      <c r="O17" s="109"/>
      <c r="P17" s="105"/>
      <c r="Q17" s="105"/>
      <c r="R17" s="110"/>
      <c r="S17" s="111"/>
      <c r="T17" s="104"/>
      <c r="U17" s="105"/>
      <c r="V17" s="112"/>
      <c r="W17" s="115"/>
      <c r="X17" s="106"/>
      <c r="Y17" s="106"/>
      <c r="Z17" s="106"/>
      <c r="AA17" s="116"/>
    </row>
    <row r="18" customFormat="false" ht="22.5" hidden="false" customHeight="true" outlineLevel="0" collapsed="false">
      <c r="A18" s="117" t="s">
        <v>73</v>
      </c>
      <c r="B18" s="118" t="s">
        <v>74</v>
      </c>
      <c r="C18" s="119" t="s">
        <v>75</v>
      </c>
      <c r="D18" s="120" t="n">
        <f aca="false">'Temps de concentration'!B7</f>
        <v>3.12847555302353</v>
      </c>
      <c r="E18" s="121" t="n">
        <f aca="false">'Temps de concentration'!B6</f>
        <v>0.155054</v>
      </c>
      <c r="F18" s="111" t="n">
        <v>0.95</v>
      </c>
      <c r="G18" s="121" t="n">
        <f aca="false">+E18*F18</f>
        <v>0.1473013</v>
      </c>
      <c r="H18" s="121" t="n">
        <f aca="false">+E18</f>
        <v>0.155054</v>
      </c>
      <c r="I18" s="121" t="n">
        <f aca="false">+G18</f>
        <v>0.1473013</v>
      </c>
      <c r="J18" s="111" t="n">
        <f aca="false">+I18/H18</f>
        <v>0.95</v>
      </c>
      <c r="K18" s="111" t="n">
        <f aca="false">(($R$5*($S$2=1/2)+$R$6*($S$2=1/5)+$R$7*($S$2=1/10)+$R$8*($S$2=1/25)+$R$9*($S$2=1/50)+$R$10*($S$2=1/100))/(D18+($S$5*($S$2=1/2)+$S$6*($S$2=1/5)+$S$7*($S$2=1/10)+$S$8*($S$2=1/25)+$S$9*($S$2=1/50)+$S$10*($S$2=1/100)))^($T$5*($S$2=1/2)+$T$6*($S$2=1/5)+$T$7*($S$2=1/10)+$T$8*($S$2=1/25)+$T$9*($S$2=1/50)+$T$10*($S$2=1/100)))</f>
        <v>137.105158926972</v>
      </c>
      <c r="L18" s="122" t="n">
        <f aca="false">0.00275*H18*J18*K18</f>
        <v>0.0555383624032864</v>
      </c>
      <c r="M18" s="123" t="n">
        <v>0.005</v>
      </c>
      <c r="N18" s="124" t="n">
        <v>300</v>
      </c>
      <c r="O18" s="125" t="n">
        <f aca="false">+((N18/4000)^(2/3)*SQRT(M18))/$S$11</f>
        <v>1.04795973981748</v>
      </c>
      <c r="P18" s="120" t="n">
        <v>11</v>
      </c>
      <c r="Q18" s="111" t="n">
        <f aca="false">+P18/(O18*60)</f>
        <v>0.174943107418672</v>
      </c>
      <c r="R18" s="122" t="n">
        <f aca="false">+O18*(PI()*(N18/1000)^2/4)</f>
        <v>0.0740759089470404</v>
      </c>
      <c r="S18" s="111"/>
      <c r="T18" s="111"/>
      <c r="U18" s="106"/>
      <c r="V18" s="126"/>
      <c r="W18" s="115"/>
      <c r="X18" s="106"/>
      <c r="Y18" s="106"/>
      <c r="Z18" s="106"/>
      <c r="AA18" s="127"/>
      <c r="AB18" s="128" t="n">
        <f aca="false">+R18&gt;L18</f>
        <v>1</v>
      </c>
    </row>
    <row r="19" customFormat="false" ht="22.5" hidden="false" customHeight="true" outlineLevel="0" collapsed="false">
      <c r="A19" s="117" t="s">
        <v>75</v>
      </c>
      <c r="B19" s="118" t="s">
        <v>74</v>
      </c>
      <c r="C19" s="119" t="s">
        <v>76</v>
      </c>
      <c r="D19" s="120" t="n">
        <f aca="false">'Temps de concentration'!C7</f>
        <v>2.56256557249595</v>
      </c>
      <c r="E19" s="121" t="n">
        <f aca="false">'Temps de concentration'!C6</f>
        <v>0.139023</v>
      </c>
      <c r="F19" s="111" t="n">
        <v>0.95</v>
      </c>
      <c r="G19" s="121" t="n">
        <f aca="false">+E19*F19</f>
        <v>0.13207185</v>
      </c>
      <c r="H19" s="121" t="n">
        <f aca="false">+E19</f>
        <v>0.139023</v>
      </c>
      <c r="I19" s="121" t="n">
        <f aca="false">+G19</f>
        <v>0.13207185</v>
      </c>
      <c r="J19" s="111" t="n">
        <f aca="false">+I19/H19</f>
        <v>0.95</v>
      </c>
      <c r="K19" s="111" t="n">
        <f aca="false">(($R$5*($S$2=1/2)+$R$6*($S$2=1/5)+$R$7*($S$2=1/10)+$R$8*($S$2=1/25)+$R$9*($S$2=1/50)+$R$10*($S$2=1/100))/(D19+($S$5*($S$2=1/2)+$S$6*($S$2=1/5)+$S$7*($S$2=1/10)+$S$8*($S$2=1/25)+$S$9*($S$2=1/50)+$S$10*($S$2=1/100)))^($T$5*($S$2=1/2)+$T$6*($S$2=1/5)+$T$7*($S$2=1/10)+$T$8*($S$2=1/25)+$T$9*($S$2=1/50)+$T$10*($S$2=1/100)))</f>
        <v>145.450464454207</v>
      </c>
      <c r="L19" s="122" t="n">
        <f aca="false">(0.00275*H19*J19*K19)</f>
        <v>0.0528272577905226</v>
      </c>
      <c r="M19" s="123" t="n">
        <v>0.002</v>
      </c>
      <c r="N19" s="105" t="n">
        <v>0</v>
      </c>
      <c r="O19" s="125" t="n">
        <f aca="false">+((N19/4000)^(2/3)*SQRT(M19))/$S$11</f>
        <v>0</v>
      </c>
      <c r="P19" s="120" t="n">
        <v>40</v>
      </c>
      <c r="Q19" s="111" t="e">
        <f aca="false">+P19/(O19*60)</f>
        <v>#DIV/0!</v>
      </c>
      <c r="R19" s="122" t="n">
        <f aca="false">+O19*(PI()*(N19/1000)^2/4)</f>
        <v>0</v>
      </c>
      <c r="S19" s="111"/>
      <c r="T19" s="111"/>
      <c r="U19" s="106"/>
      <c r="V19" s="126"/>
      <c r="W19" s="115"/>
      <c r="X19" s="106"/>
      <c r="Y19" s="106"/>
      <c r="Z19" s="106"/>
      <c r="AA19" s="127"/>
      <c r="AB19" s="128" t="n">
        <f aca="false">+R19&gt;L19</f>
        <v>0</v>
      </c>
    </row>
    <row r="20" customFormat="false" ht="22.5" hidden="false" customHeight="true" outlineLevel="0" collapsed="false">
      <c r="A20" s="117" t="s">
        <v>76</v>
      </c>
      <c r="B20" s="118" t="s">
        <v>74</v>
      </c>
      <c r="C20" s="119" t="s">
        <v>77</v>
      </c>
      <c r="D20" s="120" t="n">
        <f aca="false">'Temps de concentration'!D7</f>
        <v>2.69246001520705</v>
      </c>
      <c r="E20" s="121" t="n">
        <f aca="false">'Temps de concentration'!D6</f>
        <v>0</v>
      </c>
      <c r="F20" s="111" t="n">
        <v>0.95</v>
      </c>
      <c r="G20" s="121" t="n">
        <f aca="false">+E20*F20</f>
        <v>0</v>
      </c>
      <c r="H20" s="121" t="n">
        <f aca="false">+E20</f>
        <v>0</v>
      </c>
      <c r="I20" s="121" t="n">
        <f aca="false">+G20</f>
        <v>0</v>
      </c>
      <c r="J20" s="111" t="e">
        <f aca="false">+I20/H20</f>
        <v>#DIV/0!</v>
      </c>
      <c r="K20" s="111" t="n">
        <f aca="false">(($R$5*($S$2=1/2)+$R$6*($S$2=1/5)+$R$7*($S$2=1/10)+$R$8*($S$2=1/25)+$R$9*($S$2=1/50)+$R$10*($S$2=1/100))/(D20+($S$5*($S$2=1/2)+$S$6*($S$2=1/5)+$S$7*($S$2=1/10)+$S$8*($S$2=1/25)+$S$9*($S$2=1/50)+$S$10*($S$2=1/100)))^($T$5*($S$2=1/2)+$T$6*($S$2=1/5)+$T$7*($S$2=1/10)+$T$8*($S$2=1/25)+$T$9*($S$2=1/50)+$T$10*($S$2=1/100)))</f>
        <v>143.425266677393</v>
      </c>
      <c r="L20" s="122" t="e">
        <f aca="false">0.00275*H20*J20*K20</f>
        <v>#DIV/0!</v>
      </c>
      <c r="M20" s="123" t="n">
        <v>0.002</v>
      </c>
      <c r="N20" s="105" t="n">
        <v>0</v>
      </c>
      <c r="O20" s="125" t="n">
        <f aca="false">+((N20/4000)^(2/3)*SQRT(M20))/$S$11</f>
        <v>0</v>
      </c>
      <c r="P20" s="120" t="n">
        <v>11.3</v>
      </c>
      <c r="Q20" s="111" t="e">
        <f aca="false">+P20/(O20*60)</f>
        <v>#DIV/0!</v>
      </c>
      <c r="R20" s="122" t="n">
        <f aca="false">+O20*(PI()*(N20/1000)^2/4)</f>
        <v>0</v>
      </c>
      <c r="S20" s="111"/>
      <c r="T20" s="111"/>
      <c r="U20" s="106"/>
      <c r="V20" s="126"/>
      <c r="W20" s="115"/>
      <c r="X20" s="106"/>
      <c r="Y20" s="106"/>
      <c r="Z20" s="106"/>
      <c r="AA20" s="127"/>
      <c r="AB20" s="128" t="e">
        <f aca="false">+R20&gt;L20</f>
        <v>#DIV/0!</v>
      </c>
    </row>
    <row r="21" customFormat="false" ht="22.5" hidden="false" customHeight="true" outlineLevel="0" collapsed="false">
      <c r="A21" s="117" t="s">
        <v>78</v>
      </c>
      <c r="B21" s="118" t="s">
        <v>74</v>
      </c>
      <c r="C21" s="119" t="s">
        <v>77</v>
      </c>
      <c r="D21" s="120" t="e">
        <f aca="false">'Temps de concentration'!E7</f>
        <v>#DIV/0!</v>
      </c>
      <c r="E21" s="121" t="n">
        <f aca="false">'Temps de concentration'!E6</f>
        <v>0</v>
      </c>
      <c r="F21" s="111" t="n">
        <v>0.95</v>
      </c>
      <c r="G21" s="121" t="n">
        <f aca="false">+E21*F21</f>
        <v>0</v>
      </c>
      <c r="H21" s="121" t="n">
        <f aca="false">+E21</f>
        <v>0</v>
      </c>
      <c r="I21" s="121" t="n">
        <f aca="false">+G21</f>
        <v>0</v>
      </c>
      <c r="J21" s="111" t="e">
        <f aca="false">+I21/H21</f>
        <v>#DIV/0!</v>
      </c>
      <c r="K21" s="111" t="e">
        <f aca="false">(($R$5*($S$2=1/2)+$R$6*($S$2=1/5)+$R$7*($S$2=1/10)+$R$8*($S$2=1/25)+$R$9*($S$2=1/50)+$R$10*($S$2=1/100))/(D21+($S$5*($S$2=1/2)+$S$6*($S$2=1/5)+$S$7*($S$2=1/10)+$S$8*($S$2=1/25)+$S$9*($S$2=1/50)+$S$10*($S$2=1/100)))^($T$5*($S$2=1/2)+$T$6*($S$2=1/5)+$T$7*($S$2=1/10)+$T$8*($S$2=1/25)+$T$9*($S$2=1/50)+$T$10*($S$2=1/100)))</f>
        <v>#DIV/0!</v>
      </c>
      <c r="L21" s="122" t="e">
        <f aca="false">0.00275*H21*J21*K21</f>
        <v>#DIV/0!</v>
      </c>
      <c r="M21" s="123" t="n">
        <v>0.002</v>
      </c>
      <c r="N21" s="105" t="n">
        <v>0</v>
      </c>
      <c r="O21" s="125" t="n">
        <f aca="false">+((N21/4000)^(2/3)*SQRT(M21))/$S$11</f>
        <v>0</v>
      </c>
      <c r="P21" s="120" t="n">
        <v>39.4</v>
      </c>
      <c r="Q21" s="111" t="e">
        <f aca="false">+P21/(O21*60)</f>
        <v>#DIV/0!</v>
      </c>
      <c r="R21" s="122" t="n">
        <f aca="false">+O21*(PI()*(N21/1000)^2/4)</f>
        <v>0</v>
      </c>
      <c r="S21" s="111"/>
      <c r="T21" s="111"/>
      <c r="U21" s="106"/>
      <c r="V21" s="126"/>
      <c r="W21" s="115"/>
      <c r="X21" s="106"/>
      <c r="Y21" s="106"/>
      <c r="Z21" s="106"/>
      <c r="AA21" s="127"/>
      <c r="AB21" s="128" t="e">
        <f aca="false">+R21&gt;L21</f>
        <v>#DIV/0!</v>
      </c>
    </row>
    <row r="22" customFormat="false" ht="22.5" hidden="false" customHeight="true" outlineLevel="0" collapsed="false">
      <c r="A22" s="117" t="s">
        <v>79</v>
      </c>
      <c r="B22" s="118" t="s">
        <v>74</v>
      </c>
      <c r="C22" s="119" t="s">
        <v>77</v>
      </c>
      <c r="D22" s="120" t="e">
        <f aca="false">'Temps de concentration'!F7</f>
        <v>#DIV/0!</v>
      </c>
      <c r="E22" s="121" t="n">
        <f aca="false">'Temps de concentration'!F6</f>
        <v>0</v>
      </c>
      <c r="F22" s="111" t="n">
        <v>0.95</v>
      </c>
      <c r="G22" s="121" t="n">
        <f aca="false">+E22*F22</f>
        <v>0</v>
      </c>
      <c r="H22" s="121" t="n">
        <f aca="false">+E22</f>
        <v>0</v>
      </c>
      <c r="I22" s="121" t="n">
        <f aca="false">+G22</f>
        <v>0</v>
      </c>
      <c r="J22" s="111" t="e">
        <f aca="false">+I22/H22</f>
        <v>#DIV/0!</v>
      </c>
      <c r="K22" s="111" t="e">
        <f aca="false">(($R$5*($S$2=1/2)+$R$6*($S$2=1/5)+$R$7*($S$2=1/10)+$R$8*($S$2=1/25)+$R$9*($S$2=1/50)+$R$10*($S$2=1/100))/(D22+($S$5*($S$2=1/2)+$S$6*($S$2=1/5)+$S$7*($S$2=1/10)+$S$8*($S$2=1/25)+$S$9*($S$2=1/50)+$S$10*($S$2=1/100)))^($T$5*($S$2=1/2)+$T$6*($S$2=1/5)+$T$7*($S$2=1/10)+$T$8*($S$2=1/25)+$T$9*($S$2=1/50)+$T$10*($S$2=1/100)))</f>
        <v>#DIV/0!</v>
      </c>
      <c r="L22" s="122" t="e">
        <f aca="false">0.00275*H22*J22*K22</f>
        <v>#DIV/0!</v>
      </c>
      <c r="M22" s="123" t="n">
        <v>0.002</v>
      </c>
      <c r="N22" s="105" t="n">
        <v>0</v>
      </c>
      <c r="O22" s="125" t="n">
        <f aca="false">+((N22/4000)^(2/3)*SQRT(M22))/$S$11</f>
        <v>0</v>
      </c>
      <c r="P22" s="120" t="n">
        <v>11.9</v>
      </c>
      <c r="Q22" s="111" t="e">
        <f aca="false">+P22/(O22*60)</f>
        <v>#DIV/0!</v>
      </c>
      <c r="R22" s="122" t="n">
        <f aca="false">+O22*(PI()*(N22/1000)^2/4)</f>
        <v>0</v>
      </c>
      <c r="S22" s="111"/>
      <c r="T22" s="111"/>
      <c r="U22" s="106"/>
      <c r="V22" s="126"/>
      <c r="W22" s="115"/>
      <c r="X22" s="106"/>
      <c r="Y22" s="106"/>
      <c r="Z22" s="106"/>
      <c r="AA22" s="127"/>
      <c r="AB22" s="128" t="e">
        <f aca="false">+R22&gt;L22</f>
        <v>#DIV/0!</v>
      </c>
    </row>
    <row r="23" customFormat="false" ht="22.5" hidden="false" customHeight="true" outlineLevel="0" collapsed="false">
      <c r="A23" s="117" t="s">
        <v>80</v>
      </c>
      <c r="B23" s="118" t="s">
        <v>74</v>
      </c>
      <c r="C23" s="119" t="s">
        <v>77</v>
      </c>
      <c r="D23" s="120" t="e">
        <f aca="false">'Temps de concentration'!G7</f>
        <v>#DIV/0!</v>
      </c>
      <c r="E23" s="121" t="n">
        <f aca="false">'Temps de concentration'!G6</f>
        <v>0</v>
      </c>
      <c r="F23" s="111" t="n">
        <v>0.95</v>
      </c>
      <c r="G23" s="121" t="n">
        <f aca="false">+E23*F23</f>
        <v>0</v>
      </c>
      <c r="H23" s="121" t="n">
        <f aca="false">+E23</f>
        <v>0</v>
      </c>
      <c r="I23" s="121" t="n">
        <f aca="false">+G23</f>
        <v>0</v>
      </c>
      <c r="J23" s="111" t="e">
        <f aca="false">+I23/H23</f>
        <v>#DIV/0!</v>
      </c>
      <c r="K23" s="111" t="e">
        <f aca="false">(($R$5*($S$2=1/2)+$R$6*($S$2=1/5)+$R$7*($S$2=1/10)+$R$8*($S$2=1/25)+$R$9*($S$2=1/50)+$R$10*($S$2=1/100))/(D23+($S$5*($S$2=1/2)+$S$6*($S$2=1/5)+$S$7*($S$2=1/10)+$S$8*($S$2=1/25)+$S$9*($S$2=1/50)+$S$10*($S$2=1/100)))^($T$5*($S$2=1/2)+$T$6*($S$2=1/5)+$T$7*($S$2=1/10)+$T$8*($S$2=1/25)+$T$9*($S$2=1/50)+$T$10*($S$2=1/100)))</f>
        <v>#DIV/0!</v>
      </c>
      <c r="L23" s="122" t="e">
        <f aca="false">0.00275*H23*J23*K23</f>
        <v>#DIV/0!</v>
      </c>
      <c r="M23" s="123" t="n">
        <v>0.002</v>
      </c>
      <c r="N23" s="105" t="n">
        <v>0</v>
      </c>
      <c r="O23" s="125" t="n">
        <f aca="false">+((N23/4000)^(2/3)*SQRT(M23))/$S$11</f>
        <v>0</v>
      </c>
      <c r="P23" s="120" t="n">
        <v>38.9</v>
      </c>
      <c r="Q23" s="111" t="e">
        <f aca="false">+P23/(O23*60)</f>
        <v>#DIV/0!</v>
      </c>
      <c r="R23" s="122" t="n">
        <f aca="false">+O23*(PI()*(N23/1000)^2/4)</f>
        <v>0</v>
      </c>
      <c r="S23" s="111"/>
      <c r="T23" s="111"/>
      <c r="U23" s="106"/>
      <c r="V23" s="126"/>
      <c r="W23" s="115"/>
      <c r="X23" s="106"/>
      <c r="Y23" s="106"/>
      <c r="Z23" s="106"/>
      <c r="AA23" s="127"/>
      <c r="AB23" s="128" t="e">
        <f aca="false">+R23&gt;L23</f>
        <v>#DIV/0!</v>
      </c>
    </row>
    <row r="24" customFormat="false" ht="22.5" hidden="false" customHeight="true" outlineLevel="0" collapsed="false">
      <c r="A24" s="117" t="s">
        <v>81</v>
      </c>
      <c r="B24" s="118" t="s">
        <v>74</v>
      </c>
      <c r="C24" s="119" t="s">
        <v>77</v>
      </c>
      <c r="D24" s="120" t="n">
        <f aca="false">'Temps de concentration'!H7</f>
        <v>2.65388190340017</v>
      </c>
      <c r="E24" s="121" t="n">
        <f aca="false">'Temps de concentration'!H6</f>
        <v>0</v>
      </c>
      <c r="F24" s="111" t="n">
        <v>0.95</v>
      </c>
      <c r="G24" s="121" t="n">
        <f aca="false">+E24*F24</f>
        <v>0</v>
      </c>
      <c r="H24" s="121" t="n">
        <f aca="false">+E24</f>
        <v>0</v>
      </c>
      <c r="I24" s="121" t="n">
        <f aca="false">+G24</f>
        <v>0</v>
      </c>
      <c r="J24" s="111" t="e">
        <f aca="false">+I24/H24</f>
        <v>#DIV/0!</v>
      </c>
      <c r="K24" s="111" t="n">
        <f aca="false">(($R$5*($S$2=1/2)+$R$6*($S$2=1/5)+$R$7*($S$2=1/10)+$R$8*($S$2=1/25)+$R$9*($S$2=1/50)+$R$10*($S$2=1/100))/(D24+($S$5*($S$2=1/2)+$S$6*($S$2=1/5)+$S$7*($S$2=1/10)+$S$8*($S$2=1/25)+$S$9*($S$2=1/50)+$S$10*($S$2=1/100)))^($T$5*($S$2=1/2)+$T$6*($S$2=1/5)+$T$7*($S$2=1/10)+$T$8*($S$2=1/25)+$T$9*($S$2=1/50)+$T$10*($S$2=1/100)))</f>
        <v>144.019464652018</v>
      </c>
      <c r="L24" s="122" t="e">
        <f aca="false">0.00275*H24*J24*K24</f>
        <v>#DIV/0!</v>
      </c>
      <c r="M24" s="123" t="n">
        <v>0.002</v>
      </c>
      <c r="N24" s="105" t="n">
        <v>0</v>
      </c>
      <c r="O24" s="125" t="n">
        <f aca="false">+((N24/4000)^(2/3)*SQRT(M24))/$S$11</f>
        <v>0</v>
      </c>
      <c r="P24" s="120" t="n">
        <v>39.4</v>
      </c>
      <c r="Q24" s="111" t="e">
        <f aca="false">+P24/(O24*60)</f>
        <v>#DIV/0!</v>
      </c>
      <c r="R24" s="122" t="n">
        <f aca="false">+O24*(PI()*(N24/1000)^2/4)</f>
        <v>0</v>
      </c>
      <c r="S24" s="111"/>
      <c r="T24" s="111"/>
      <c r="U24" s="106"/>
      <c r="V24" s="126"/>
      <c r="W24" s="115"/>
      <c r="X24" s="106"/>
      <c r="Y24" s="106"/>
      <c r="Z24" s="106"/>
      <c r="AA24" s="127"/>
      <c r="AB24" s="128" t="e">
        <f aca="false">+R24&gt;L24</f>
        <v>#DIV/0!</v>
      </c>
    </row>
    <row r="25" customFormat="false" ht="22.5" hidden="false" customHeight="true" outlineLevel="0" collapsed="false">
      <c r="A25" s="117" t="s">
        <v>82</v>
      </c>
      <c r="B25" s="118" t="s">
        <v>74</v>
      </c>
      <c r="C25" s="119" t="s">
        <v>77</v>
      </c>
      <c r="D25" s="120" t="e">
        <f aca="false">'Temps de concentration'!I7</f>
        <v>#DIV/0!</v>
      </c>
      <c r="E25" s="121" t="n">
        <f aca="false">'Temps de concentration'!I6</f>
        <v>0</v>
      </c>
      <c r="F25" s="111" t="n">
        <v>0.95</v>
      </c>
      <c r="G25" s="121" t="n">
        <f aca="false">+E25*F25</f>
        <v>0</v>
      </c>
      <c r="H25" s="121" t="n">
        <f aca="false">+E25</f>
        <v>0</v>
      </c>
      <c r="I25" s="121" t="n">
        <f aca="false">+G25</f>
        <v>0</v>
      </c>
      <c r="J25" s="111" t="e">
        <f aca="false">+I25/H25</f>
        <v>#DIV/0!</v>
      </c>
      <c r="K25" s="111" t="e">
        <f aca="false">(($R$5*($S$2=1/2)+$R$6*($S$2=1/5)+$R$7*($S$2=1/10)+$R$8*($S$2=1/25)+$R$9*($S$2=1/50)+$R$10*($S$2=1/100))/(D25+($S$5*($S$2=1/2)+$S$6*($S$2=1/5)+$S$7*($S$2=1/10)+$S$8*($S$2=1/25)+$S$9*($S$2=1/50)+$S$10*($S$2=1/100)))^($T$5*($S$2=1/2)+$T$6*($S$2=1/5)+$T$7*($S$2=1/10)+$T$8*($S$2=1/25)+$T$9*($S$2=1/50)+$T$10*($S$2=1/100)))</f>
        <v>#DIV/0!</v>
      </c>
      <c r="L25" s="122" t="e">
        <f aca="false">0.00275*H25*J25*K25</f>
        <v>#DIV/0!</v>
      </c>
      <c r="M25" s="123" t="n">
        <v>0.002</v>
      </c>
      <c r="N25" s="105" t="n">
        <v>0</v>
      </c>
      <c r="O25" s="125" t="n">
        <f aca="false">+((N25/4000)^(2/3)*SQRT(M25))/$S$11</f>
        <v>0</v>
      </c>
      <c r="P25" s="120" t="n">
        <v>13</v>
      </c>
      <c r="Q25" s="111" t="e">
        <f aca="false">+P25/(O25*60)</f>
        <v>#DIV/0!</v>
      </c>
      <c r="R25" s="122" t="n">
        <f aca="false">+O25*(PI()*(N25/1000)^2/4)</f>
        <v>0</v>
      </c>
      <c r="S25" s="111"/>
      <c r="T25" s="111"/>
      <c r="U25" s="106"/>
      <c r="V25" s="126"/>
      <c r="W25" s="115"/>
      <c r="X25" s="106"/>
      <c r="Y25" s="106"/>
      <c r="Z25" s="106"/>
      <c r="AA25" s="127"/>
      <c r="AB25" s="128" t="e">
        <f aca="false">+R25&gt;L25</f>
        <v>#DIV/0!</v>
      </c>
    </row>
    <row r="26" customFormat="false" ht="22.5" hidden="false" customHeight="true" outlineLevel="0" collapsed="false">
      <c r="A26" s="117"/>
      <c r="B26" s="118"/>
      <c r="C26" s="119"/>
      <c r="D26" s="120"/>
      <c r="E26" s="121"/>
      <c r="F26" s="111"/>
      <c r="G26" s="121"/>
      <c r="H26" s="121"/>
      <c r="I26" s="121"/>
      <c r="J26" s="111"/>
      <c r="K26" s="111"/>
      <c r="L26" s="122"/>
      <c r="M26" s="123"/>
      <c r="N26" s="105"/>
      <c r="O26" s="125"/>
      <c r="P26" s="120"/>
      <c r="Q26" s="111"/>
      <c r="R26" s="122"/>
      <c r="S26" s="111"/>
      <c r="T26" s="111"/>
      <c r="U26" s="111"/>
      <c r="V26" s="126"/>
      <c r="W26" s="115"/>
      <c r="X26" s="106"/>
      <c r="Y26" s="106"/>
      <c r="Z26" s="106"/>
      <c r="AA26" s="127"/>
      <c r="AB26" s="128"/>
    </row>
    <row r="27" customFormat="false" ht="22.5" hidden="false" customHeight="true" outlineLevel="0" collapsed="false">
      <c r="A27" s="117" t="s">
        <v>75</v>
      </c>
      <c r="B27" s="118" t="s">
        <v>74</v>
      </c>
      <c r="C27" s="119" t="s">
        <v>76</v>
      </c>
      <c r="D27" s="120" t="n">
        <f aca="false">D18+D19</f>
        <v>5.69104112551949</v>
      </c>
      <c r="E27" s="121" t="n">
        <f aca="false">E19+E20</f>
        <v>0.139023</v>
      </c>
      <c r="F27" s="111" t="n">
        <v>0.95</v>
      </c>
      <c r="G27" s="121" t="n">
        <f aca="false">+E27*F27</f>
        <v>0.13207185</v>
      </c>
      <c r="H27" s="121" t="n">
        <f aca="false">E27+E18</f>
        <v>0.294077</v>
      </c>
      <c r="I27" s="121" t="n">
        <f aca="false">I18+I19+I20</f>
        <v>0.27937315</v>
      </c>
      <c r="J27" s="111" t="n">
        <f aca="false">+I27/H27</f>
        <v>0.95</v>
      </c>
      <c r="K27" s="111" t="n">
        <f aca="false">(($R$5*($S$2=1/2)+$R$6*($S$2=1/5)+$R$7*($S$2=1/10)+$R$8*($S$2=1/25)+$R$9*($S$2=1/50)+$R$10*($S$2=1/100))/(D27+($S$5*($S$2=1/2)+$S$6*($S$2=1/5)+$S$7*($S$2=1/10)+$S$8*($S$2=1/25)+$S$9*($S$2=1/50)+$S$10*($S$2=1/100)))^($T$5*($S$2=1/2)+$T$6*($S$2=1/5)+$T$7*($S$2=1/10)+$T$8*($S$2=1/25)+$T$9*($S$2=1/50)+$T$10*($S$2=1/100)))</f>
        <v>110.289314599468</v>
      </c>
      <c r="L27" s="122" t="n">
        <f aca="false">0.00275*H27*J27*K27</f>
        <v>0.0847326513852345</v>
      </c>
      <c r="M27" s="123" t="n">
        <v>0.005</v>
      </c>
      <c r="N27" s="105" t="n">
        <v>450</v>
      </c>
      <c r="O27" s="125" t="n">
        <f aca="false">+((N27/4000)^(2/3)*SQRT(M27))/$S$11</f>
        <v>1.37321573480203</v>
      </c>
      <c r="P27" s="120" t="n">
        <v>67</v>
      </c>
      <c r="Q27" s="111" t="n">
        <f aca="false">+P27/(O27*60)</f>
        <v>0.81317642841287</v>
      </c>
      <c r="R27" s="122" t="n">
        <f aca="false">+O27*(PI()*(N27/1000)^2/4)</f>
        <v>0.218400526002553</v>
      </c>
      <c r="S27" s="111"/>
      <c r="T27" s="111"/>
      <c r="U27" s="106"/>
      <c r="V27" s="126"/>
      <c r="W27" s="115"/>
      <c r="X27" s="106"/>
      <c r="Y27" s="106"/>
      <c r="Z27" s="106"/>
      <c r="AA27" s="127"/>
      <c r="AB27" s="128" t="n">
        <f aca="false">+R27&gt;L27</f>
        <v>1</v>
      </c>
    </row>
    <row r="28" customFormat="false" ht="22.5" hidden="false" customHeight="true" outlineLevel="0" collapsed="false">
      <c r="A28" s="117" t="s">
        <v>83</v>
      </c>
      <c r="B28" s="118" t="s">
        <v>74</v>
      </c>
      <c r="C28" s="119" t="s">
        <v>84</v>
      </c>
      <c r="D28" s="120" t="n">
        <f aca="false">D18+Q18+Q27</f>
        <v>4.11659508885508</v>
      </c>
      <c r="E28" s="121" t="n">
        <f aca="false">E21+E22+E23+E24</f>
        <v>0</v>
      </c>
      <c r="F28" s="111" t="n">
        <v>0.95</v>
      </c>
      <c r="G28" s="121" t="n">
        <f aca="false">+E28*F28</f>
        <v>0</v>
      </c>
      <c r="H28" s="121" t="n">
        <f aca="false">H27+E28</f>
        <v>0.294077</v>
      </c>
      <c r="I28" s="121" t="n">
        <f aca="false">I27+I21+I22+I23+I24</f>
        <v>0.27937315</v>
      </c>
      <c r="J28" s="111" t="n">
        <f aca="false">+I28/H28</f>
        <v>0.95</v>
      </c>
      <c r="K28" s="111" t="n">
        <f aca="false">(($R$5*($S$2=1/2)+$R$6*($S$2=1/5)+$R$7*($S$2=1/10)+$R$8*($S$2=1/25)+$R$9*($S$2=1/50)+$R$10*($S$2=1/100))/(D28+($S$5*($S$2=1/2)+$S$6*($S$2=1/5)+$S$7*($S$2=1/10)+$S$8*($S$2=1/25)+$S$9*($S$2=1/50)+$S$10*($S$2=1/100)))^($T$5*($S$2=1/2)+$T$6*($S$2=1/5)+$T$7*($S$2=1/10)+$T$8*($S$2=1/25)+$T$9*($S$2=1/50)+$T$10*($S$2=1/100)))</f>
        <v>125.016084446934</v>
      </c>
      <c r="L28" s="122" t="n">
        <f aca="false">0.00275*H28*J28*K28</f>
        <v>0.0960468776096663</v>
      </c>
      <c r="M28" s="123" t="n">
        <v>0.005</v>
      </c>
      <c r="N28" s="105" t="n">
        <v>600</v>
      </c>
      <c r="O28" s="125" t="n">
        <f aca="false">+((N28/4000)^(2/3)*SQRT(M28))/$S$11</f>
        <v>1.66353239340659</v>
      </c>
      <c r="P28" s="120" t="n">
        <v>74</v>
      </c>
      <c r="Q28" s="111" t="n">
        <f aca="false">+P28/(O28*60)</f>
        <v>0.741394239283618</v>
      </c>
      <c r="R28" s="122" t="n">
        <f aca="false">+O28*(PI()*(N28/1000)^2/4)</f>
        <v>0.47035270315213</v>
      </c>
      <c r="S28" s="111"/>
      <c r="T28" s="111"/>
      <c r="U28" s="106"/>
      <c r="V28" s="126"/>
      <c r="W28" s="115"/>
      <c r="X28" s="106"/>
      <c r="Y28" s="106"/>
      <c r="Z28" s="106"/>
      <c r="AA28" s="127"/>
      <c r="AB28" s="128" t="n">
        <f aca="false">+R28&gt;L28</f>
        <v>1</v>
      </c>
    </row>
    <row r="29" customFormat="false" ht="22.5" hidden="false" customHeight="true" outlineLevel="0" collapsed="false">
      <c r="A29" s="117" t="s">
        <v>84</v>
      </c>
      <c r="B29" s="118" t="s">
        <v>74</v>
      </c>
      <c r="C29" s="119" t="s">
        <v>85</v>
      </c>
      <c r="D29" s="120" t="n">
        <f aca="false">D18+Q18+Q27+Q28</f>
        <v>4.8579893281387</v>
      </c>
      <c r="E29" s="121" t="n">
        <f aca="false">E25</f>
        <v>0</v>
      </c>
      <c r="F29" s="111" t="n">
        <v>0.95</v>
      </c>
      <c r="G29" s="121" t="n">
        <f aca="false">+E29*F29</f>
        <v>0</v>
      </c>
      <c r="H29" s="121" t="n">
        <f aca="false">H28+E29</f>
        <v>0.294077</v>
      </c>
      <c r="I29" s="121" t="n">
        <f aca="false">I28+I25</f>
        <v>0.27937315</v>
      </c>
      <c r="J29" s="111" t="n">
        <f aca="false">+I29/H29</f>
        <v>0.95</v>
      </c>
      <c r="K29" s="111" t="n">
        <f aca="false">(($R$5*($S$2=1/2)+$R$6*($S$2=1/5)+$R$7*($S$2=1/10)+$R$8*($S$2=1/25)+$R$9*($S$2=1/50)+$R$10*($S$2=1/100))/(D29+($S$5*($S$2=1/2)+$S$6*($S$2=1/5)+$S$7*($S$2=1/10)+$S$8*($S$2=1/25)+$S$9*($S$2=1/50)+$S$10*($S$2=1/100)))^($T$5*($S$2=1/2)+$T$6*($S$2=1/5)+$T$7*($S$2=1/10)+$T$8*($S$2=1/25)+$T$9*($S$2=1/50)+$T$10*($S$2=1/100)))</f>
        <v>117.513300750369</v>
      </c>
      <c r="L29" s="122" t="n">
        <f aca="false">0.00275*H29*J29*K29</f>
        <v>0.0902826677432017</v>
      </c>
      <c r="M29" s="123" t="n">
        <v>0.005</v>
      </c>
      <c r="N29" s="105" t="n">
        <v>600</v>
      </c>
      <c r="O29" s="125" t="n">
        <f aca="false">+((N29/4000)^(2/3)*SQRT(M29))/$S$11</f>
        <v>1.66353239340659</v>
      </c>
      <c r="P29" s="120" t="n">
        <v>74</v>
      </c>
      <c r="Q29" s="111" t="n">
        <f aca="false">+P29/(O29*60)</f>
        <v>0.741394239283618</v>
      </c>
      <c r="R29" s="122" t="n">
        <f aca="false">+O29*(PI()*(N29/1000)^2/4)</f>
        <v>0.47035270315213</v>
      </c>
      <c r="S29" s="111"/>
      <c r="T29" s="111"/>
      <c r="U29" s="106"/>
      <c r="V29" s="126"/>
      <c r="W29" s="115"/>
      <c r="X29" s="106"/>
      <c r="Y29" s="106"/>
      <c r="Z29" s="106"/>
      <c r="AA29" s="127"/>
      <c r="AB29" s="128" t="n">
        <f aca="false">+R29&gt;L29</f>
        <v>1</v>
      </c>
    </row>
    <row r="30" customFormat="false" ht="22.5" hidden="false" customHeight="true" outlineLevel="0" collapsed="false">
      <c r="A30" s="117" t="s">
        <v>84</v>
      </c>
      <c r="B30" s="118" t="s">
        <v>74</v>
      </c>
      <c r="C30" s="119" t="s">
        <v>85</v>
      </c>
      <c r="D30" s="120" t="n">
        <f aca="false">D18+Q18+Q27+Q28</f>
        <v>4.8579893281387</v>
      </c>
      <c r="E30" s="121" t="n">
        <f aca="false">E29</f>
        <v>0</v>
      </c>
      <c r="F30" s="111" t="n">
        <v>0.95</v>
      </c>
      <c r="G30" s="121" t="n">
        <f aca="false">+E30*F30</f>
        <v>0</v>
      </c>
      <c r="H30" s="121" t="n">
        <f aca="false">H29+E30</f>
        <v>0.294077</v>
      </c>
      <c r="I30" s="121" t="n">
        <f aca="false">I29+I26</f>
        <v>0.27937315</v>
      </c>
      <c r="J30" s="111" t="n">
        <f aca="false">+I30/H30</f>
        <v>0.95</v>
      </c>
      <c r="K30" s="111" t="n">
        <f aca="false">(($R$5*($S$2=1/2)+$R$6*($S$2=1/5)+$R$7*($S$2=1/10)+$R$8*($S$2=1/25)+$R$9*($S$2=1/50)+$R$10*($S$2=1/100))/(D30+($S$5*($S$2=1/2)+$S$6*($S$2=1/5)+$S$7*($S$2=1/10)+$S$8*($S$2=1/25)+$S$9*($S$2=1/50)+$S$10*($S$2=1/100)))^($T$5*($S$2=1/2)+$T$6*($S$2=1/5)+$T$7*($S$2=1/10)+$T$8*($S$2=1/25)+$T$9*($S$2=1/50)+$T$10*($S$2=1/100)))</f>
        <v>117.513300750369</v>
      </c>
      <c r="L30" s="122" t="n">
        <f aca="false">(0.00275*H30*J30*K30)-(10.8/1000)</f>
        <v>0.0794826677432017</v>
      </c>
      <c r="M30" s="123" t="n">
        <v>0.005</v>
      </c>
      <c r="N30" s="105" t="n">
        <v>600</v>
      </c>
      <c r="O30" s="125" t="n">
        <f aca="false">+((N30/4000)^(2/3)*SQRT(M30))/$S$11</f>
        <v>1.66353239340659</v>
      </c>
      <c r="P30" s="120" t="n">
        <v>74</v>
      </c>
      <c r="Q30" s="111" t="n">
        <f aca="false">+P30/(O30*60)</f>
        <v>0.741394239283618</v>
      </c>
      <c r="R30" s="122" t="n">
        <f aca="false">+O30*(PI()*(N30/1000)^2/4)</f>
        <v>0.47035270315213</v>
      </c>
      <c r="S30" s="111"/>
      <c r="T30" s="111"/>
      <c r="U30" s="106"/>
      <c r="V30" s="126"/>
      <c r="W30" s="115"/>
      <c r="X30" s="106"/>
      <c r="Y30" s="106"/>
      <c r="Z30" s="106"/>
      <c r="AA30" s="127"/>
      <c r="AB30" s="128" t="n">
        <f aca="false">+R30&gt;L30</f>
        <v>1</v>
      </c>
    </row>
    <row r="31" customFormat="false" ht="22.5" hidden="false" customHeight="true" outlineLevel="0" collapsed="false">
      <c r="A31" s="117"/>
      <c r="B31" s="118"/>
      <c r="C31" s="119"/>
      <c r="D31" s="120"/>
      <c r="E31" s="121"/>
      <c r="F31" s="111"/>
      <c r="G31" s="121"/>
      <c r="H31" s="121"/>
      <c r="I31" s="121"/>
      <c r="J31" s="111"/>
      <c r="K31" s="111"/>
      <c r="L31" s="122"/>
      <c r="M31" s="123"/>
      <c r="N31" s="105"/>
      <c r="O31" s="125"/>
      <c r="P31" s="120"/>
      <c r="Q31" s="111"/>
      <c r="R31" s="122"/>
      <c r="S31" s="111"/>
      <c r="T31" s="111"/>
      <c r="U31" s="106"/>
      <c r="V31" s="126"/>
      <c r="W31" s="115"/>
      <c r="X31" s="106"/>
      <c r="Y31" s="106"/>
      <c r="Z31" s="106"/>
      <c r="AA31" s="127"/>
      <c r="AB31" s="128"/>
    </row>
    <row r="32" customFormat="false" ht="22.5" hidden="false" customHeight="true" outlineLevel="0" collapsed="false">
      <c r="A32" s="117" t="s">
        <v>86</v>
      </c>
      <c r="B32" s="118" t="s">
        <v>74</v>
      </c>
      <c r="C32" s="119" t="s">
        <v>85</v>
      </c>
      <c r="D32" s="120" t="e">
        <f aca="false">'Temps de concentration'!K7</f>
        <v>#DIV/0!</v>
      </c>
      <c r="E32" s="121" t="n">
        <f aca="false">'Temps de concentration'!K6</f>
        <v>0.294077</v>
      </c>
      <c r="F32" s="111" t="n">
        <v>0.95</v>
      </c>
      <c r="G32" s="121" t="n">
        <f aca="false">+E32*F32</f>
        <v>0.27937315</v>
      </c>
      <c r="H32" s="121" t="n">
        <f aca="false">E32</f>
        <v>0.294077</v>
      </c>
      <c r="I32" s="121" t="n">
        <f aca="false">G32</f>
        <v>0.27937315</v>
      </c>
      <c r="J32" s="111" t="n">
        <f aca="false">+I32/H32</f>
        <v>0.95</v>
      </c>
      <c r="K32" s="111" t="e">
        <f aca="false">(($R$5*($S$2=1/2)+$R$6*($S$2=1/5)+$R$7*($S$2=1/10)+$R$8*($S$2=1/25)+$R$9*($S$2=1/50)+$R$10*($S$2=1/100))/(D32+($S$5*($S$2=1/2)+$S$6*($S$2=1/5)+$S$7*($S$2=1/10)+$S$8*($S$2=1/25)+$S$9*($S$2=1/50)+$S$10*($S$2=1/100)))^($T$5*($S$2=1/2)+$T$6*($S$2=1/5)+$T$7*($S$2=1/10)+$T$8*($S$2=1/25)+$T$9*($S$2=1/50)+$T$10*($S$2=1/100)))</f>
        <v>#DIV/0!</v>
      </c>
      <c r="L32" s="122" t="e">
        <f aca="false">0.00275*H32*J32*K32</f>
        <v>#DIV/0!</v>
      </c>
      <c r="M32" s="123" t="n">
        <v>0.002</v>
      </c>
      <c r="N32" s="105" t="n">
        <v>750</v>
      </c>
      <c r="O32" s="125" t="n">
        <f aca="false">+((N32/4000)^(2/3)*SQRT(M32))/$S$11</f>
        <v>1.22086581435389</v>
      </c>
      <c r="P32" s="120" t="n">
        <v>74</v>
      </c>
      <c r="Q32" s="111" t="n">
        <f aca="false">+P32/(O32*60)</f>
        <v>1.01021203053838</v>
      </c>
      <c r="R32" s="122" t="n">
        <f aca="false">+O32*(PI()*(N32/1000)^2/4)</f>
        <v>0.539361994695904</v>
      </c>
      <c r="S32" s="111"/>
      <c r="T32" s="111"/>
      <c r="U32" s="106"/>
      <c r="V32" s="126"/>
      <c r="W32" s="115"/>
      <c r="X32" s="106"/>
      <c r="Y32" s="106"/>
      <c r="Z32" s="106"/>
      <c r="AA32" s="127"/>
      <c r="AB32" s="128" t="e">
        <f aca="false">+R32&gt;L32</f>
        <v>#DIV/0!</v>
      </c>
    </row>
    <row r="33" customFormat="false" ht="22.5" hidden="false" customHeight="true" outlineLevel="0" collapsed="false">
      <c r="A33" s="117"/>
      <c r="B33" s="118"/>
      <c r="C33" s="119"/>
      <c r="D33" s="120"/>
      <c r="E33" s="129"/>
      <c r="F33" s="111"/>
      <c r="G33" s="129"/>
      <c r="H33" s="129"/>
      <c r="I33" s="129"/>
      <c r="J33" s="111"/>
      <c r="K33" s="106"/>
      <c r="L33" s="122"/>
      <c r="M33" s="130"/>
      <c r="N33" s="105"/>
      <c r="O33" s="125"/>
      <c r="P33" s="120"/>
      <c r="Q33" s="111"/>
      <c r="R33" s="122"/>
      <c r="S33" s="111"/>
      <c r="T33" s="111"/>
      <c r="U33" s="111"/>
      <c r="V33" s="126"/>
      <c r="W33" s="115"/>
      <c r="X33" s="106"/>
      <c r="Y33" s="106"/>
      <c r="Z33" s="106"/>
      <c r="AA33" s="127"/>
      <c r="AC33" s="128"/>
    </row>
    <row r="34" customFormat="false" ht="22.5" hidden="false" customHeight="true" outlineLevel="0" collapsed="false">
      <c r="A34" s="131"/>
      <c r="B34" s="132"/>
      <c r="C34" s="133"/>
      <c r="D34" s="134"/>
      <c r="E34" s="135"/>
      <c r="F34" s="91"/>
      <c r="G34" s="135"/>
      <c r="H34" s="135"/>
      <c r="I34" s="135"/>
      <c r="J34" s="91"/>
      <c r="K34" s="136"/>
      <c r="L34" s="137"/>
      <c r="M34" s="138"/>
      <c r="N34" s="90"/>
      <c r="O34" s="98"/>
      <c r="P34" s="134"/>
      <c r="Q34" s="91"/>
      <c r="R34" s="137"/>
      <c r="S34" s="91"/>
      <c r="T34" s="91"/>
      <c r="U34" s="91"/>
      <c r="V34" s="139"/>
      <c r="W34" s="140"/>
      <c r="X34" s="136"/>
      <c r="Y34" s="136"/>
      <c r="Z34" s="136"/>
      <c r="AA34" s="141"/>
      <c r="AC34" s="128"/>
    </row>
    <row r="81" customFormat="false" ht="15" hidden="false" customHeight="false" outlineLevel="0" collapsed="false">
      <c r="F81" s="1" t="s">
        <v>87</v>
      </c>
    </row>
    <row r="173" customFormat="false" ht="15" hidden="false" customHeight="false" outlineLevel="0" collapsed="false">
      <c r="F173" s="1" t="s">
        <v>88</v>
      </c>
    </row>
  </sheetData>
  <mergeCells count="14">
    <mergeCell ref="A1:AA1"/>
    <mergeCell ref="F2:G2"/>
    <mergeCell ref="M2:P3"/>
    <mergeCell ref="F3:G3"/>
    <mergeCell ref="Q3:T3"/>
    <mergeCell ref="H4:I4"/>
    <mergeCell ref="M4:P4"/>
    <mergeCell ref="A12:L12"/>
    <mergeCell ref="M12:R12"/>
    <mergeCell ref="S12:T12"/>
    <mergeCell ref="U12:V12"/>
    <mergeCell ref="W12:X12"/>
    <mergeCell ref="Y12:AA12"/>
    <mergeCell ref="A13:C13"/>
  </mergeCells>
  <conditionalFormatting sqref="AB1:AB1048576">
    <cfRule type="containsText" priority="2" operator="containsText" aboveAverage="0" equalAverage="0" bottom="0" percent="0" rank="0" text="FAUX" dxfId="0">
      <formula>NOT(ISERROR(SEARCH("FAUX",AB1)))</formula>
    </cfRule>
  </conditionalFormatting>
  <printOptions headings="false" gridLines="false" gridLinesSet="true" horizontalCentered="false" verticalCentered="false"/>
  <pageMargins left="0.315277777777778" right="0.236111111111111" top="0.551388888888889" bottom="0.432638888888889" header="0.511811023622047" footer="0.236111111111111"/>
  <pageSetup paperSize="1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>&amp;R&amp;"Arial,Regular"&amp;10&amp;Z&amp;F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B10" activeCellId="0" sqref="B10"/>
    </sheetView>
  </sheetViews>
  <sheetFormatPr defaultColWidth="9.00390625" defaultRowHeight="15" customHeight="true" zeroHeight="false" outlineLevelRow="0" outlineLevelCol="0"/>
  <cols>
    <col collapsed="false" customWidth="true" hidden="false" outlineLevel="0" max="1" min="1" style="0" width="19.1"/>
    <col collapsed="false" customWidth="false" hidden="false" outlineLevel="0" max="21" min="21" style="142" width="9"/>
  </cols>
  <sheetData>
    <row r="1" customFormat="false" ht="15" hidden="false" customHeight="false" outlineLevel="0" collapsed="false">
      <c r="K1" s="143" t="s">
        <v>89</v>
      </c>
    </row>
    <row r="2" customFormat="false" ht="15" hidden="false" customHeight="false" outlineLevel="0" collapsed="false">
      <c r="K2" s="143" t="s">
        <v>90</v>
      </c>
    </row>
    <row r="4" customFormat="false" ht="15" hidden="false" customHeight="false" outlineLevel="0" collapsed="false">
      <c r="A4" s="144" t="s">
        <v>91</v>
      </c>
      <c r="B4" s="145" t="s">
        <v>92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6"/>
      <c r="O4" s="146"/>
      <c r="P4" s="146"/>
      <c r="Q4" s="146"/>
      <c r="R4" s="146"/>
      <c r="S4" s="146"/>
      <c r="T4" s="146"/>
    </row>
    <row r="5" customFormat="false" ht="15" hidden="false" customHeight="false" outlineLevel="0" collapsed="false">
      <c r="A5" s="144"/>
      <c r="B5" s="147" t="s">
        <v>73</v>
      </c>
      <c r="C5" s="148" t="s">
        <v>75</v>
      </c>
      <c r="D5" s="148" t="s">
        <v>76</v>
      </c>
      <c r="E5" s="148" t="s">
        <v>78</v>
      </c>
      <c r="F5" s="148" t="s">
        <v>93</v>
      </c>
      <c r="G5" s="148" t="s">
        <v>80</v>
      </c>
      <c r="H5" s="148" t="s">
        <v>94</v>
      </c>
      <c r="I5" s="148" t="s">
        <v>82</v>
      </c>
      <c r="J5" s="148"/>
      <c r="K5" s="148" t="s">
        <v>95</v>
      </c>
      <c r="L5" s="148"/>
      <c r="M5" s="149"/>
      <c r="N5" s="150"/>
      <c r="O5" s="146"/>
      <c r="P5" s="146"/>
      <c r="Q5" s="150"/>
      <c r="R5" s="146"/>
      <c r="S5" s="146"/>
      <c r="T5" s="146"/>
      <c r="U5" s="146"/>
    </row>
    <row r="6" customFormat="false" ht="15" hidden="false" customHeight="false" outlineLevel="0" collapsed="false">
      <c r="A6" s="151" t="s">
        <v>96</v>
      </c>
      <c r="B6" s="152" t="n">
        <f aca="false">1550.54/10000</f>
        <v>0.155054</v>
      </c>
      <c r="C6" s="153" t="n">
        <f aca="false">1390.23/10000</f>
        <v>0.139023</v>
      </c>
      <c r="D6" s="153" t="n">
        <v>0</v>
      </c>
      <c r="E6" s="153" t="n">
        <v>0</v>
      </c>
      <c r="F6" s="153" t="n">
        <v>0</v>
      </c>
      <c r="G6" s="153" t="n">
        <v>0</v>
      </c>
      <c r="H6" s="153" t="n">
        <v>0</v>
      </c>
      <c r="I6" s="153" t="n">
        <v>0</v>
      </c>
      <c r="J6" s="153"/>
      <c r="K6" s="153" t="n">
        <f aca="false">SUM(B6:I6)</f>
        <v>0.294077</v>
      </c>
      <c r="L6" s="154"/>
      <c r="M6" s="155"/>
      <c r="N6" s="146"/>
      <c r="O6" s="146"/>
      <c r="P6" s="146"/>
      <c r="Q6" s="146"/>
      <c r="R6" s="146"/>
      <c r="S6" s="146"/>
      <c r="T6" s="146"/>
      <c r="U6" s="146"/>
    </row>
    <row r="7" customFormat="false" ht="15" hidden="false" customHeight="false" outlineLevel="0" collapsed="false">
      <c r="A7" s="151" t="s">
        <v>97</v>
      </c>
      <c r="B7" s="156" t="n">
        <f aca="false">((2.187*B10*B11)/(B12)^0.5)^0.467</f>
        <v>3.12847555302354</v>
      </c>
      <c r="C7" s="157" t="n">
        <f aca="false">((2.187*C10*C11)/(C12)^0.5)^0.467</f>
        <v>2.56256557249595</v>
      </c>
      <c r="D7" s="157" t="n">
        <f aca="false">((2.187*D10*D11)/(D12)^0.5)^0.467</f>
        <v>2.69246001520705</v>
      </c>
      <c r="E7" s="157" t="e">
        <f aca="false">((2.187*E10*E11)/(E12)^0.5)^0.467</f>
        <v>#DIV/0!</v>
      </c>
      <c r="F7" s="157" t="e">
        <f aca="false">((2.187*F10*F11)/(F12)^0.5)^0.467</f>
        <v>#DIV/0!</v>
      </c>
      <c r="G7" s="157" t="e">
        <f aca="false">((2.187*G10*G11)/(G12)^0.5)^0.467</f>
        <v>#DIV/0!</v>
      </c>
      <c r="H7" s="157" t="n">
        <f aca="false">((2.187*H10*H11)/(H12)^0.5)^0.467</f>
        <v>2.65388190340017</v>
      </c>
      <c r="I7" s="157" t="e">
        <f aca="false">((2.187*I10*I11)/(I12)^0.5)^0.467</f>
        <v>#DIV/0!</v>
      </c>
      <c r="J7" s="157"/>
      <c r="K7" s="157" t="e">
        <f aca="false">((2.187*K10*K11)/(K12)^0.5)^0.467</f>
        <v>#DIV/0!</v>
      </c>
      <c r="L7" s="157"/>
      <c r="M7" s="158"/>
      <c r="N7" s="159"/>
      <c r="O7" s="159"/>
      <c r="P7" s="159"/>
      <c r="Q7" s="160"/>
      <c r="R7" s="160"/>
      <c r="S7" s="160"/>
      <c r="T7" s="160"/>
      <c r="U7" s="160"/>
      <c r="V7" s="161"/>
      <c r="W7" s="161"/>
      <c r="X7" s="161"/>
      <c r="Y7" s="161"/>
    </row>
    <row r="8" customFormat="false" ht="15" hidden="false" customHeight="false" outlineLevel="0" collapsed="false">
      <c r="A8" s="151" t="s">
        <v>98</v>
      </c>
      <c r="B8" s="162" t="n">
        <v>0.95</v>
      </c>
      <c r="C8" s="163" t="n">
        <v>0.95</v>
      </c>
      <c r="D8" s="163" t="n">
        <v>0.95</v>
      </c>
      <c r="E8" s="163" t="n">
        <v>0.95</v>
      </c>
      <c r="F8" s="163" t="n">
        <v>0.95</v>
      </c>
      <c r="G8" s="163" t="n">
        <v>0.95</v>
      </c>
      <c r="H8" s="163" t="n">
        <v>0.95</v>
      </c>
      <c r="I8" s="163" t="n">
        <v>0.95</v>
      </c>
      <c r="J8" s="163"/>
      <c r="K8" s="163" t="n">
        <v>0.95</v>
      </c>
      <c r="L8" s="163"/>
      <c r="M8" s="164"/>
      <c r="N8" s="146"/>
      <c r="O8" s="146"/>
      <c r="P8" s="146"/>
      <c r="Q8" s="146"/>
      <c r="R8" s="146"/>
      <c r="S8" s="146"/>
      <c r="T8" s="146"/>
      <c r="U8" s="146"/>
    </row>
    <row r="9" customFormat="false" ht="15" hidden="false" customHeight="false" outlineLevel="0" collapsed="false">
      <c r="A9" s="165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7"/>
      <c r="N9" s="146"/>
      <c r="O9" s="146"/>
      <c r="P9" s="146"/>
      <c r="Q9" s="146"/>
      <c r="R9" s="146"/>
      <c r="S9" s="146"/>
      <c r="T9" s="146"/>
      <c r="U9" s="146"/>
    </row>
    <row r="10" customFormat="false" ht="15" hidden="false" customHeight="false" outlineLevel="0" collapsed="false">
      <c r="A10" s="151" t="s">
        <v>99</v>
      </c>
      <c r="B10" s="168" t="n">
        <v>53</v>
      </c>
      <c r="C10" s="169" t="n">
        <v>42.153</v>
      </c>
      <c r="D10" s="169" t="n">
        <v>45.78</v>
      </c>
      <c r="E10" s="169" t="n">
        <v>0</v>
      </c>
      <c r="F10" s="169" t="n">
        <v>0</v>
      </c>
      <c r="G10" s="169" t="n">
        <v>0</v>
      </c>
      <c r="H10" s="169" t="n">
        <v>13.07</v>
      </c>
      <c r="I10" s="169" t="n">
        <v>0</v>
      </c>
      <c r="J10" s="169"/>
      <c r="K10" s="169" t="n">
        <v>0</v>
      </c>
      <c r="L10" s="169"/>
      <c r="M10" s="170"/>
      <c r="N10" s="159"/>
      <c r="O10" s="159"/>
      <c r="P10" s="159"/>
      <c r="Q10" s="159"/>
      <c r="R10" s="159"/>
      <c r="S10" s="159"/>
      <c r="T10" s="159"/>
      <c r="U10" s="146"/>
    </row>
    <row r="11" customFormat="false" ht="15" hidden="false" customHeight="false" outlineLevel="0" collapsed="false">
      <c r="A11" s="151" t="s">
        <v>100</v>
      </c>
      <c r="B11" s="171" t="n">
        <v>0.02</v>
      </c>
      <c r="C11" s="172" t="n">
        <v>0.02</v>
      </c>
      <c r="D11" s="172" t="n">
        <v>0.02</v>
      </c>
      <c r="E11" s="172" t="n">
        <v>0.02</v>
      </c>
      <c r="F11" s="172" t="n">
        <v>0.02</v>
      </c>
      <c r="G11" s="172" t="n">
        <v>0.02</v>
      </c>
      <c r="H11" s="172" t="n">
        <v>0.02</v>
      </c>
      <c r="I11" s="172" t="n">
        <v>0.02</v>
      </c>
      <c r="J11" s="172"/>
      <c r="K11" s="172" t="n">
        <v>0.02</v>
      </c>
      <c r="L11" s="172"/>
      <c r="M11" s="173"/>
      <c r="N11" s="146"/>
      <c r="O11" s="146"/>
      <c r="P11" s="146"/>
      <c r="Q11" s="146"/>
      <c r="R11" s="146"/>
      <c r="S11" s="146"/>
      <c r="T11" s="146"/>
      <c r="U11" s="146"/>
    </row>
    <row r="12" customFormat="false" ht="15" hidden="false" customHeight="false" outlineLevel="0" collapsed="false">
      <c r="A12" s="174" t="s">
        <v>101</v>
      </c>
      <c r="B12" s="175" t="n">
        <f aca="false">(29.674-27.52)/B10</f>
        <v>0.0406415094339623</v>
      </c>
      <c r="C12" s="176" t="n">
        <f aca="false">(29.767-27.22)/C10</f>
        <v>0.060422745712049</v>
      </c>
      <c r="D12" s="176" t="n">
        <f aca="false">(30.11-27.47)/D10</f>
        <v>0.0576671035386632</v>
      </c>
      <c r="E12" s="176" t="e">
        <f aca="false">(27.35-26.55)/E10</f>
        <v>#DIV/0!</v>
      </c>
      <c r="F12" s="176" t="e">
        <f aca="false">(26.94-26.6)/F10</f>
        <v>#DIV/0!</v>
      </c>
      <c r="G12" s="176" t="e">
        <f aca="false">(26.75-26.55)/G10</f>
        <v>#DIV/0!</v>
      </c>
      <c r="H12" s="176" t="n">
        <v>0.005</v>
      </c>
      <c r="I12" s="176" t="e">
        <f aca="false">(26.87-26.55)/I10</f>
        <v>#DIV/0!</v>
      </c>
      <c r="J12" s="177"/>
      <c r="K12" s="176" t="e">
        <f aca="false">(26.73-26.55)/K10</f>
        <v>#DIV/0!</v>
      </c>
      <c r="L12" s="163"/>
      <c r="M12" s="178"/>
      <c r="N12" s="179"/>
      <c r="O12" s="179"/>
      <c r="P12" s="179"/>
      <c r="Q12" s="179"/>
      <c r="R12" s="179"/>
      <c r="S12" s="179"/>
      <c r="T12" s="146"/>
      <c r="U12" s="146"/>
    </row>
  </sheetData>
  <mergeCells count="2">
    <mergeCell ref="A4:A5"/>
    <mergeCell ref="B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ce488d4-4798-4f0d-9c2b-2e043158d31d">5MR5YPSXXXFM-1520399372-1036097</_dlc_DocId>
    <_dlc_DocIdUrl xmlns="dce488d4-4798-4f0d-9c2b-2e043158d31d">
      <Url>https://marchandhoule365.sharepoint.com/sites/MHA/_layouts/15/DocIdRedir.aspx?ID=5MR5YPSXXXFM-1520399372-1036097</Url>
      <Description>5MR5YPSXXXFM-1520399372-1036097</Description>
    </_dlc_DocIdUrl>
    <TaxCatchAll xmlns="dce488d4-4798-4f0d-9c2b-2e043158d31d" xsi:nil="true"/>
    <_Flow_SignoffStatus xmlns="fdb820a6-d282-49ef-b9f1-44b528fba047" xsi:nil="true"/>
    <lcf76f155ced4ddcb4097134ff3c332f xmlns="fdb820a6-d282-49ef-b9f1-44b528fba04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51D8A11080746B0E3E54BA2C9385D" ma:contentTypeVersion="1836" ma:contentTypeDescription="Crée un document." ma:contentTypeScope="" ma:versionID="64c8dece8a2baa4867109f3a64c41a4d">
  <xsd:schema xmlns:xsd="http://www.w3.org/2001/XMLSchema" xmlns:xs="http://www.w3.org/2001/XMLSchema" xmlns:p="http://schemas.microsoft.com/office/2006/metadata/properties" xmlns:ns2="dce488d4-4798-4f0d-9c2b-2e043158d31d" xmlns:ns3="fdb820a6-d282-49ef-b9f1-44b528fba047" targetNamespace="http://schemas.microsoft.com/office/2006/metadata/properties" ma:root="true" ma:fieldsID="2d69a72d71d5b2cb3899cae319b912bc" ns2:_="" ns3:_="">
    <xsd:import namespace="dce488d4-4798-4f0d-9c2b-2e043158d31d"/>
    <xsd:import namespace="fdb820a6-d282-49ef-b9f1-44b528fba04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488d4-4798-4f0d-9c2b-2e043158d31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4b699a1-79f4-4e96-9a67-559c42f1824e}" ma:internalName="TaxCatchAll" ma:showField="CatchAllData" ma:web="dce488d4-4798-4f0d-9c2b-2e043158d3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20a6-d282-49ef-b9f1-44b528fba0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alises d’images" ma:readOnly="false" ma:fieldId="{5cf76f15-5ced-4ddc-b409-7134ff3c332f}" ma:taxonomyMulti="true" ma:sspId="7542f300-5843-40d6-a326-6ddccf333b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7" nillable="true" ma:displayName="État de validation" ma:internalName="_x00c9_tat_x0020_de_x0020_valid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5140B-79CC-4DCC-B37E-683D556D4787}">
  <ds:schemaRefs>
    <ds:schemaRef ds:uri="http://schemas.microsoft.com/office/2006/metadata/properties"/>
    <ds:schemaRef ds:uri="http://schemas.microsoft.com/office/infopath/2007/PartnerControls"/>
    <ds:schemaRef ds:uri="dce488d4-4798-4f0d-9c2b-2e043158d31d"/>
    <ds:schemaRef ds:uri="fdb820a6-d282-49ef-b9f1-44b528fba047"/>
  </ds:schemaRefs>
</ds:datastoreItem>
</file>

<file path=customXml/itemProps2.xml><?xml version="1.0" encoding="utf-8"?>
<ds:datastoreItem xmlns:ds="http://schemas.openxmlformats.org/officeDocument/2006/customXml" ds:itemID="{685FF59C-126A-427E-BB60-53D8150F9C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AE907-5DF0-4258-8DE4-2702550E542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4CD8BCA-FD89-4BDD-897D-78A26210FC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e488d4-4798-4f0d-9c2b-2e043158d31d"/>
    <ds:schemaRef ds:uri="fdb820a6-d282-49ef-b9f1-44b528fba0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1996-06-18T17:29:14Z</dcterms:created>
  <dc:creator>Guy Trudeau</dc:creator>
  <dc:description/>
  <dc:language>en-CA</dc:language>
  <cp:lastModifiedBy/>
  <cp:lastPrinted>2010-12-21T21:08:36Z</cp:lastPrinted>
  <dcterms:modified xsi:type="dcterms:W3CDTF">2026-07-30T20:41:33Z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0x010100BB751D8A11080746B0E3E54BA2C9385D</vt:lpwstr>
  </property>
  <property fmtid="{D5CDD505-2E9C-101B-9397-08002B2CF9AE}" pid="3" name="_dlc_DocIdItemGuid">
    <vt:lpwstr>f8b319b9-1eef-4cfc-afa6-463db90afb96</vt:lpwstr>
  </property>
</Properties>
</file>