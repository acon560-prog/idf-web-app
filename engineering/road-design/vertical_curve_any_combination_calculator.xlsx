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icalCurveT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lt;1]0.000;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164" fontId="0" fillId="4" borderId="1" pivotButton="0" quotePrefix="0" xfId="0"/>
    <xf numFmtId="0" fontId="0" fillId="5" borderId="1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4" customWidth="1" min="5" max="5"/>
    <col width="22" customWidth="1" min="6" max="6"/>
    <col width="22" customWidth="1" min="7" max="7"/>
    <col width="14" customWidth="1" min="8" max="8"/>
  </cols>
  <sheetData>
    <row r="1">
      <c r="A1" s="1" t="inlineStr">
        <is>
          <t>Vertical Curve Calculator (any left/right lengths and slopes)</t>
        </is>
      </c>
    </row>
    <row r="2">
      <c r="A2" s="2" t="inlineStr">
        <is>
          <t>Method: cubic transition that exactly matches both tangent grades and elevations at PVC/PVT even when lengths are asymmetric.</t>
        </is>
      </c>
    </row>
    <row r="4">
      <c r="A4" s="3" t="inlineStr">
        <is>
          <t>INPUTS</t>
        </is>
      </c>
      <c r="E4" s="3" t="inlineStr">
        <is>
          <t>CALCULATED PARAMETERS</t>
        </is>
      </c>
    </row>
    <row r="5">
      <c r="A5" t="inlineStr">
        <is>
          <t>Left tangent length from PVI (L_left)</t>
        </is>
      </c>
      <c r="B5" s="4" t="n">
        <v>5</v>
      </c>
      <c r="C5" t="inlineStr">
        <is>
          <t>m</t>
        </is>
      </c>
      <c r="E5" t="inlineStr">
        <is>
          <t>Total curve length L = L_left + L_right</t>
        </is>
      </c>
      <c r="F5" s="5">
        <f>B5+B6</f>
        <v/>
      </c>
    </row>
    <row r="6">
      <c r="A6" t="inlineStr">
        <is>
          <t>Right tangent length from PVI (L_right)</t>
        </is>
      </c>
      <c r="B6" s="4" t="n">
        <v>9</v>
      </c>
      <c r="C6" t="inlineStr">
        <is>
          <t>m</t>
        </is>
      </c>
      <c r="E6" t="inlineStr">
        <is>
          <t>g1 (decimal)</t>
        </is>
      </c>
      <c r="F6" s="5">
        <f>B7/100</f>
        <v/>
      </c>
    </row>
    <row r="7">
      <c r="A7" t="inlineStr">
        <is>
          <t>Left grade g1</t>
        </is>
      </c>
      <c r="B7" s="4" t="n">
        <v>-1</v>
      </c>
      <c r="C7" t="inlineStr">
        <is>
          <t>%</t>
        </is>
      </c>
      <c r="E7" t="inlineStr">
        <is>
          <t>g2 (decimal)</t>
        </is>
      </c>
      <c r="F7" s="5">
        <f>B8/100</f>
        <v/>
      </c>
    </row>
    <row r="8">
      <c r="A8" t="inlineStr">
        <is>
          <t>Right grade g2</t>
        </is>
      </c>
      <c r="B8" s="4" t="n">
        <v>5</v>
      </c>
      <c r="C8" t="inlineStr">
        <is>
          <t>%</t>
        </is>
      </c>
      <c r="E8" t="inlineStr">
        <is>
          <t>Z_PVC relative to PVI</t>
        </is>
      </c>
      <c r="F8" s="5">
        <f>-F6*B5</f>
        <v/>
      </c>
    </row>
    <row r="9">
      <c r="A9" t="inlineStr">
        <is>
          <t>Station at PVI (optional)</t>
        </is>
      </c>
      <c r="B9" s="4" t="n">
        <v>0</v>
      </c>
      <c r="C9" t="inlineStr">
        <is>
          <t>m</t>
        </is>
      </c>
      <c r="E9" t="inlineStr">
        <is>
          <t>Z_PVT relative to PVI</t>
        </is>
      </c>
      <c r="F9" s="5">
        <f>F7*B6</f>
        <v/>
      </c>
    </row>
    <row r="10">
      <c r="A10" t="inlineStr">
        <is>
          <t>Elevation at PVI (optional)</t>
        </is>
      </c>
      <c r="B10" s="4" t="n">
        <v>100</v>
      </c>
      <c r="C10" t="inlineStr">
        <is>
          <t>m</t>
        </is>
      </c>
      <c r="E10" t="inlineStr">
        <is>
          <t>Δz = Z_PVT - Z_PVC - g1*L</t>
        </is>
      </c>
      <c r="F10" s="5">
        <f>F9-F8-F6*F5</f>
        <v/>
      </c>
    </row>
    <row r="11">
      <c r="A11" t="inlineStr">
        <is>
          <t>Output table increment step</t>
        </is>
      </c>
      <c r="B11" s="4" t="n">
        <v>1</v>
      </c>
      <c r="C11" t="inlineStr">
        <is>
          <t>m</t>
        </is>
      </c>
      <c r="E11" t="inlineStr">
        <is>
          <t>Δg = g2 - g1</t>
        </is>
      </c>
      <c r="F11" s="5">
        <f>F7-F6</f>
        <v/>
      </c>
    </row>
    <row r="12">
      <c r="B12" s="6" t="n"/>
      <c r="E12" t="inlineStr">
        <is>
          <t>Cubic coefficient a</t>
        </is>
      </c>
      <c r="F12" s="5">
        <f>IF(F5=0,"",(F11*F5-2*F10)/F5^3)</f>
        <v/>
      </c>
    </row>
    <row r="13">
      <c r="B13" s="6" t="n"/>
      <c r="E13" t="inlineStr">
        <is>
          <t>Cubic coefficient b</t>
        </is>
      </c>
      <c r="F13" s="5">
        <f>IF(F5=0,"",(3*F10-F11*F5)/F5^2)</f>
        <v/>
      </c>
    </row>
    <row r="14">
      <c r="B14" s="6" t="n"/>
      <c r="E14" t="inlineStr">
        <is>
          <t>Status</t>
        </is>
      </c>
      <c r="F14" s="5">
        <f>IF(OR(B5&lt;=0,B6&lt;=0,B11&lt;=0),"CHECK INPUTS: lengths and step must be &gt; 0","OK")</f>
        <v/>
      </c>
    </row>
    <row r="16">
      <c r="A16" t="inlineStr">
        <is>
          <t>Note:</t>
        </is>
      </c>
      <c r="B16" t="inlineStr">
        <is>
          <t>For relative profile only, use column F. For absolute elevations, use column G.</t>
        </is>
      </c>
    </row>
    <row r="17">
      <c r="A17" t="inlineStr">
        <is>
          <t>Optional check:</t>
        </is>
      </c>
      <c r="B17" t="inlineStr">
        <is>
          <t>If you need strict geometric compliance (K criteria), verify separately against your governing standard.</t>
        </is>
      </c>
    </row>
    <row r="18">
      <c r="A18" s="7" t="inlineStr">
        <is>
          <t>Point #</t>
        </is>
      </c>
      <c r="B18" s="7" t="inlineStr">
        <is>
          <t>s from PVI (m)</t>
        </is>
      </c>
      <c r="C18" s="7" t="inlineStr">
        <is>
          <t>x from PVC (m)</t>
        </is>
      </c>
      <c r="D18" s="7" t="inlineStr">
        <is>
          <t>Zone</t>
        </is>
      </c>
      <c r="E18" s="7" t="inlineStr">
        <is>
          <t>Grade (%)</t>
        </is>
      </c>
      <c r="F18" s="7" t="inlineStr">
        <is>
          <t>Z relative to PVI (m)</t>
        </is>
      </c>
      <c r="G18" s="7" t="inlineStr">
        <is>
          <t>Absolute Elevation (m)</t>
        </is>
      </c>
      <c r="H18" s="7" t="inlineStr">
        <is>
          <t>Station (m)</t>
        </is>
      </c>
    </row>
    <row r="19">
      <c r="A19" s="8" t="n">
        <v>1</v>
      </c>
      <c r="B19" s="8">
        <f>-$B$5</f>
        <v/>
      </c>
      <c r="C19" s="8">
        <f>IF(B19="","",B19+$B$5)</f>
        <v/>
      </c>
      <c r="D19" s="8">
        <f>IF(B19="","",IF(B19&lt;- $B$5,"Left tangent",IF(B19&lt;=$B$6,"Cubic curve","Right tangent")))</f>
        <v/>
      </c>
      <c r="E19" s="9">
        <f>IF(B19="","",IF(B19&lt;- $B$5,$B$7,IF(B19&lt;=$B$6,100*(3*$F$12*(B19+$B$5)^2+2*$F$13*(B19+$B$5)+$F$6),$B$8)))</f>
        <v/>
      </c>
      <c r="F19" s="10">
        <f>IF(B19="","",IF(B19&lt;- $B$5,$F$6*B19,IF(B19&lt;=$B$6,$F$12*(B19+$B$5)^3+$F$13*(B19+$B$5)^2+$F$6*(B19+$B$5)+$F$8,$F$9+$F$7*(B19-$B$6))))</f>
        <v/>
      </c>
      <c r="G19" s="10">
        <f>IF(F19="","",$B$10+F19)</f>
        <v/>
      </c>
      <c r="H19" s="10">
        <f>IF(B19="","",$B$9+B19)</f>
        <v/>
      </c>
    </row>
    <row r="20">
      <c r="A20" s="8">
        <f>IF(B20="","",A19+1)</f>
        <v/>
      </c>
      <c r="B20" s="8">
        <f>IF(B19="","",IF(B19+$B$11&lt;=$B$6+1E-9,B19+$B$11,""))</f>
        <v/>
      </c>
      <c r="C20" s="8">
        <f>IF(B20="","",B20+$B$5)</f>
        <v/>
      </c>
      <c r="D20" s="8">
        <f>IF(B20="","",IF(B20&lt;- $B$5,"Left tangent",IF(B20&lt;=$B$6,"Cubic curve","Right tangent")))</f>
        <v/>
      </c>
      <c r="E20" s="9">
        <f>IF(B20="","",IF(B20&lt;- $B$5,$B$7,IF(B20&lt;=$B$6,100*(3*$F$12*(B20+$B$5)^2+2*$F$13*(B20+$B$5)+$F$6),$B$8)))</f>
        <v/>
      </c>
      <c r="F20" s="10">
        <f>IF(B20="","",IF(B20&lt;- $B$5,$F$6*B20,IF(B20&lt;=$B$6,$F$12*(B20+$B$5)^3+$F$13*(B20+$B$5)^2+$F$6*(B20+$B$5)+$F$8,$F$9+$F$7*(B20-$B$6))))</f>
        <v/>
      </c>
      <c r="G20" s="10">
        <f>IF(F20="","",$B$10+F20)</f>
        <v/>
      </c>
      <c r="H20" s="10">
        <f>IF(B20="","",$B$9+B20)</f>
        <v/>
      </c>
    </row>
    <row r="21">
      <c r="A21" s="8">
        <f>IF(B21="","",A20+1)</f>
        <v/>
      </c>
      <c r="B21" s="8">
        <f>IF(B20="","",IF(B20+$B$11&lt;=$B$6+1E-9,B20+$B$11,""))</f>
        <v/>
      </c>
      <c r="C21" s="8">
        <f>IF(B21="","",B21+$B$5)</f>
        <v/>
      </c>
      <c r="D21" s="8">
        <f>IF(B21="","",IF(B21&lt;- $B$5,"Left tangent",IF(B21&lt;=$B$6,"Cubic curve","Right tangent")))</f>
        <v/>
      </c>
      <c r="E21" s="9">
        <f>IF(B21="","",IF(B21&lt;- $B$5,$B$7,IF(B21&lt;=$B$6,100*(3*$F$12*(B21+$B$5)^2+2*$F$13*(B21+$B$5)+$F$6),$B$8)))</f>
        <v/>
      </c>
      <c r="F21" s="10">
        <f>IF(B21="","",IF(B21&lt;- $B$5,$F$6*B21,IF(B21&lt;=$B$6,$F$12*(B21+$B$5)^3+$F$13*(B21+$B$5)^2+$F$6*(B21+$B$5)+$F$8,$F$9+$F$7*(B21-$B$6))))</f>
        <v/>
      </c>
      <c r="G21" s="10">
        <f>IF(F21="","",$B$10+F21)</f>
        <v/>
      </c>
      <c r="H21" s="10">
        <f>IF(B21="","",$B$9+B21)</f>
        <v/>
      </c>
    </row>
    <row r="22">
      <c r="A22" s="8">
        <f>IF(B22="","",A21+1)</f>
        <v/>
      </c>
      <c r="B22" s="8">
        <f>IF(B21="","",IF(B21+$B$11&lt;=$B$6+1E-9,B21+$B$11,""))</f>
        <v/>
      </c>
      <c r="C22" s="8">
        <f>IF(B22="","",B22+$B$5)</f>
        <v/>
      </c>
      <c r="D22" s="8">
        <f>IF(B22="","",IF(B22&lt;- $B$5,"Left tangent",IF(B22&lt;=$B$6,"Cubic curve","Right tangent")))</f>
        <v/>
      </c>
      <c r="E22" s="9">
        <f>IF(B22="","",IF(B22&lt;- $B$5,$B$7,IF(B22&lt;=$B$6,100*(3*$F$12*(B22+$B$5)^2+2*$F$13*(B22+$B$5)+$F$6),$B$8)))</f>
        <v/>
      </c>
      <c r="F22" s="10">
        <f>IF(B22="","",IF(B22&lt;- $B$5,$F$6*B22,IF(B22&lt;=$B$6,$F$12*(B22+$B$5)^3+$F$13*(B22+$B$5)^2+$F$6*(B22+$B$5)+$F$8,$F$9+$F$7*(B22-$B$6))))</f>
        <v/>
      </c>
      <c r="G22" s="10">
        <f>IF(F22="","",$B$10+F22)</f>
        <v/>
      </c>
      <c r="H22" s="10">
        <f>IF(B22="","",$B$9+B22)</f>
        <v/>
      </c>
    </row>
    <row r="23">
      <c r="A23" s="8">
        <f>IF(B23="","",A22+1)</f>
        <v/>
      </c>
      <c r="B23" s="8">
        <f>IF(B22="","",IF(B22+$B$11&lt;=$B$6+1E-9,B22+$B$11,""))</f>
        <v/>
      </c>
      <c r="C23" s="8">
        <f>IF(B23="","",B23+$B$5)</f>
        <v/>
      </c>
      <c r="D23" s="8">
        <f>IF(B23="","",IF(B23&lt;- $B$5,"Left tangent",IF(B23&lt;=$B$6,"Cubic curve","Right tangent")))</f>
        <v/>
      </c>
      <c r="E23" s="9">
        <f>IF(B23="","",IF(B23&lt;- $B$5,$B$7,IF(B23&lt;=$B$6,100*(3*$F$12*(B23+$B$5)^2+2*$F$13*(B23+$B$5)+$F$6),$B$8)))</f>
        <v/>
      </c>
      <c r="F23" s="10">
        <f>IF(B23="","",IF(B23&lt;- $B$5,$F$6*B23,IF(B23&lt;=$B$6,$F$12*(B23+$B$5)^3+$F$13*(B23+$B$5)^2+$F$6*(B23+$B$5)+$F$8,$F$9+$F$7*(B23-$B$6))))</f>
        <v/>
      </c>
      <c r="G23" s="10">
        <f>IF(F23="","",$B$10+F23)</f>
        <v/>
      </c>
      <c r="H23" s="10">
        <f>IF(B23="","",$B$9+B23)</f>
        <v/>
      </c>
    </row>
    <row r="24">
      <c r="A24" s="8">
        <f>IF(B24="","",A23+1)</f>
        <v/>
      </c>
      <c r="B24" s="8">
        <f>IF(B23="","",IF(B23+$B$11&lt;=$B$6+1E-9,B23+$B$11,""))</f>
        <v/>
      </c>
      <c r="C24" s="8">
        <f>IF(B24="","",B24+$B$5)</f>
        <v/>
      </c>
      <c r="D24" s="8">
        <f>IF(B24="","",IF(B24&lt;- $B$5,"Left tangent",IF(B24&lt;=$B$6,"Cubic curve","Right tangent")))</f>
        <v/>
      </c>
      <c r="E24" s="9">
        <f>IF(B24="","",IF(B24&lt;- $B$5,$B$7,IF(B24&lt;=$B$6,100*(3*$F$12*(B24+$B$5)^2+2*$F$13*(B24+$B$5)+$F$6),$B$8)))</f>
        <v/>
      </c>
      <c r="F24" s="10">
        <f>IF(B24="","",IF(B24&lt;- $B$5,$F$6*B24,IF(B24&lt;=$B$6,$F$12*(B24+$B$5)^3+$F$13*(B24+$B$5)^2+$F$6*(B24+$B$5)+$F$8,$F$9+$F$7*(B24-$B$6))))</f>
        <v/>
      </c>
      <c r="G24" s="10">
        <f>IF(F24="","",$B$10+F24)</f>
        <v/>
      </c>
      <c r="H24" s="10">
        <f>IF(B24="","",$B$9+B24)</f>
        <v/>
      </c>
    </row>
    <row r="25">
      <c r="A25" s="8">
        <f>IF(B25="","",A24+1)</f>
        <v/>
      </c>
      <c r="B25" s="8">
        <f>IF(B24="","",IF(B24+$B$11&lt;=$B$6+1E-9,B24+$B$11,""))</f>
        <v/>
      </c>
      <c r="C25" s="8">
        <f>IF(B25="","",B25+$B$5)</f>
        <v/>
      </c>
      <c r="D25" s="8">
        <f>IF(B25="","",IF(B25&lt;- $B$5,"Left tangent",IF(B25&lt;=$B$6,"Cubic curve","Right tangent")))</f>
        <v/>
      </c>
      <c r="E25" s="9">
        <f>IF(B25="","",IF(B25&lt;- $B$5,$B$7,IF(B25&lt;=$B$6,100*(3*$F$12*(B25+$B$5)^2+2*$F$13*(B25+$B$5)+$F$6),$B$8)))</f>
        <v/>
      </c>
      <c r="F25" s="10">
        <f>IF(B25="","",IF(B25&lt;- $B$5,$F$6*B25,IF(B25&lt;=$B$6,$F$12*(B25+$B$5)^3+$F$13*(B25+$B$5)^2+$F$6*(B25+$B$5)+$F$8,$F$9+$F$7*(B25-$B$6))))</f>
        <v/>
      </c>
      <c r="G25" s="10">
        <f>IF(F25="","",$B$10+F25)</f>
        <v/>
      </c>
      <c r="H25" s="10">
        <f>IF(B25="","",$B$9+B25)</f>
        <v/>
      </c>
    </row>
    <row r="26">
      <c r="A26" s="8">
        <f>IF(B26="","",A25+1)</f>
        <v/>
      </c>
      <c r="B26" s="8">
        <f>IF(B25="","",IF(B25+$B$11&lt;=$B$6+1E-9,B25+$B$11,""))</f>
        <v/>
      </c>
      <c r="C26" s="8">
        <f>IF(B26="","",B26+$B$5)</f>
        <v/>
      </c>
      <c r="D26" s="8">
        <f>IF(B26="","",IF(B26&lt;- $B$5,"Left tangent",IF(B26&lt;=$B$6,"Cubic curve","Right tangent")))</f>
        <v/>
      </c>
      <c r="E26" s="9">
        <f>IF(B26="","",IF(B26&lt;- $B$5,$B$7,IF(B26&lt;=$B$6,100*(3*$F$12*(B26+$B$5)^2+2*$F$13*(B26+$B$5)+$F$6),$B$8)))</f>
        <v/>
      </c>
      <c r="F26" s="10">
        <f>IF(B26="","",IF(B26&lt;- $B$5,$F$6*B26,IF(B26&lt;=$B$6,$F$12*(B26+$B$5)^3+$F$13*(B26+$B$5)^2+$F$6*(B26+$B$5)+$F$8,$F$9+$F$7*(B26-$B$6))))</f>
        <v/>
      </c>
      <c r="G26" s="10">
        <f>IF(F26="","",$B$10+F26)</f>
        <v/>
      </c>
      <c r="H26" s="10">
        <f>IF(B26="","",$B$9+B26)</f>
        <v/>
      </c>
    </row>
    <row r="27">
      <c r="A27" s="8">
        <f>IF(B27="","",A26+1)</f>
        <v/>
      </c>
      <c r="B27" s="8">
        <f>IF(B26="","",IF(B26+$B$11&lt;=$B$6+1E-9,B26+$B$11,""))</f>
        <v/>
      </c>
      <c r="C27" s="8">
        <f>IF(B27="","",B27+$B$5)</f>
        <v/>
      </c>
      <c r="D27" s="8">
        <f>IF(B27="","",IF(B27&lt;- $B$5,"Left tangent",IF(B27&lt;=$B$6,"Cubic curve","Right tangent")))</f>
        <v/>
      </c>
      <c r="E27" s="9">
        <f>IF(B27="","",IF(B27&lt;- $B$5,$B$7,IF(B27&lt;=$B$6,100*(3*$F$12*(B27+$B$5)^2+2*$F$13*(B27+$B$5)+$F$6),$B$8)))</f>
        <v/>
      </c>
      <c r="F27" s="10">
        <f>IF(B27="","",IF(B27&lt;- $B$5,$F$6*B27,IF(B27&lt;=$B$6,$F$12*(B27+$B$5)^3+$F$13*(B27+$B$5)^2+$F$6*(B27+$B$5)+$F$8,$F$9+$F$7*(B27-$B$6))))</f>
        <v/>
      </c>
      <c r="G27" s="10">
        <f>IF(F27="","",$B$10+F27)</f>
        <v/>
      </c>
      <c r="H27" s="10">
        <f>IF(B27="","",$B$9+B27)</f>
        <v/>
      </c>
    </row>
    <row r="28">
      <c r="A28" s="8">
        <f>IF(B28="","",A27+1)</f>
        <v/>
      </c>
      <c r="B28" s="8">
        <f>IF(B27="","",IF(B27+$B$11&lt;=$B$6+1E-9,B27+$B$11,""))</f>
        <v/>
      </c>
      <c r="C28" s="8">
        <f>IF(B28="","",B28+$B$5)</f>
        <v/>
      </c>
      <c r="D28" s="8">
        <f>IF(B28="","",IF(B28&lt;- $B$5,"Left tangent",IF(B28&lt;=$B$6,"Cubic curve","Right tangent")))</f>
        <v/>
      </c>
      <c r="E28" s="9">
        <f>IF(B28="","",IF(B28&lt;- $B$5,$B$7,IF(B28&lt;=$B$6,100*(3*$F$12*(B28+$B$5)^2+2*$F$13*(B28+$B$5)+$F$6),$B$8)))</f>
        <v/>
      </c>
      <c r="F28" s="10">
        <f>IF(B28="","",IF(B28&lt;- $B$5,$F$6*B28,IF(B28&lt;=$B$6,$F$12*(B28+$B$5)^3+$F$13*(B28+$B$5)^2+$F$6*(B28+$B$5)+$F$8,$F$9+$F$7*(B28-$B$6))))</f>
        <v/>
      </c>
      <c r="G28" s="10">
        <f>IF(F28="","",$B$10+F28)</f>
        <v/>
      </c>
      <c r="H28" s="10">
        <f>IF(B28="","",$B$9+B28)</f>
        <v/>
      </c>
    </row>
    <row r="29">
      <c r="A29" s="8">
        <f>IF(B29="","",A28+1)</f>
        <v/>
      </c>
      <c r="B29" s="8">
        <f>IF(B28="","",IF(B28+$B$11&lt;=$B$6+1E-9,B28+$B$11,""))</f>
        <v/>
      </c>
      <c r="C29" s="8">
        <f>IF(B29="","",B29+$B$5)</f>
        <v/>
      </c>
      <c r="D29" s="8">
        <f>IF(B29="","",IF(B29&lt;- $B$5,"Left tangent",IF(B29&lt;=$B$6,"Cubic curve","Right tangent")))</f>
        <v/>
      </c>
      <c r="E29" s="9">
        <f>IF(B29="","",IF(B29&lt;- $B$5,$B$7,IF(B29&lt;=$B$6,100*(3*$F$12*(B29+$B$5)^2+2*$F$13*(B29+$B$5)+$F$6),$B$8)))</f>
        <v/>
      </c>
      <c r="F29" s="10">
        <f>IF(B29="","",IF(B29&lt;- $B$5,$F$6*B29,IF(B29&lt;=$B$6,$F$12*(B29+$B$5)^3+$F$13*(B29+$B$5)^2+$F$6*(B29+$B$5)+$F$8,$F$9+$F$7*(B29-$B$6))))</f>
        <v/>
      </c>
      <c r="G29" s="10">
        <f>IF(F29="","",$B$10+F29)</f>
        <v/>
      </c>
      <c r="H29" s="10">
        <f>IF(B29="","",$B$9+B29)</f>
        <v/>
      </c>
    </row>
    <row r="30">
      <c r="A30" s="8">
        <f>IF(B30="","",A29+1)</f>
        <v/>
      </c>
      <c r="B30" s="8">
        <f>IF(B29="","",IF(B29+$B$11&lt;=$B$6+1E-9,B29+$B$11,""))</f>
        <v/>
      </c>
      <c r="C30" s="8">
        <f>IF(B30="","",B30+$B$5)</f>
        <v/>
      </c>
      <c r="D30" s="8">
        <f>IF(B30="","",IF(B30&lt;- $B$5,"Left tangent",IF(B30&lt;=$B$6,"Cubic curve","Right tangent")))</f>
        <v/>
      </c>
      <c r="E30" s="9">
        <f>IF(B30="","",IF(B30&lt;- $B$5,$B$7,IF(B30&lt;=$B$6,100*(3*$F$12*(B30+$B$5)^2+2*$F$13*(B30+$B$5)+$F$6),$B$8)))</f>
        <v/>
      </c>
      <c r="F30" s="10">
        <f>IF(B30="","",IF(B30&lt;- $B$5,$F$6*B30,IF(B30&lt;=$B$6,$F$12*(B30+$B$5)^3+$F$13*(B30+$B$5)^2+$F$6*(B30+$B$5)+$F$8,$F$9+$F$7*(B30-$B$6))))</f>
        <v/>
      </c>
      <c r="G30" s="10">
        <f>IF(F30="","",$B$10+F30)</f>
        <v/>
      </c>
      <c r="H30" s="10">
        <f>IF(B30="","",$B$9+B30)</f>
        <v/>
      </c>
    </row>
    <row r="31">
      <c r="A31" s="8">
        <f>IF(B31="","",A30+1)</f>
        <v/>
      </c>
      <c r="B31" s="8">
        <f>IF(B30="","",IF(B30+$B$11&lt;=$B$6+1E-9,B30+$B$11,""))</f>
        <v/>
      </c>
      <c r="C31" s="8">
        <f>IF(B31="","",B31+$B$5)</f>
        <v/>
      </c>
      <c r="D31" s="8">
        <f>IF(B31="","",IF(B31&lt;- $B$5,"Left tangent",IF(B31&lt;=$B$6,"Cubic curve","Right tangent")))</f>
        <v/>
      </c>
      <c r="E31" s="9">
        <f>IF(B31="","",IF(B31&lt;- $B$5,$B$7,IF(B31&lt;=$B$6,100*(3*$F$12*(B31+$B$5)^2+2*$F$13*(B31+$B$5)+$F$6),$B$8)))</f>
        <v/>
      </c>
      <c r="F31" s="10">
        <f>IF(B31="","",IF(B31&lt;- $B$5,$F$6*B31,IF(B31&lt;=$B$6,$F$12*(B31+$B$5)^3+$F$13*(B31+$B$5)^2+$F$6*(B31+$B$5)+$F$8,$F$9+$F$7*(B31-$B$6))))</f>
        <v/>
      </c>
      <c r="G31" s="10">
        <f>IF(F31="","",$B$10+F31)</f>
        <v/>
      </c>
      <c r="H31" s="10">
        <f>IF(B31="","",$B$9+B31)</f>
        <v/>
      </c>
    </row>
    <row r="32">
      <c r="A32" s="8">
        <f>IF(B32="","",A31+1)</f>
        <v/>
      </c>
      <c r="B32" s="8">
        <f>IF(B31="","",IF(B31+$B$11&lt;=$B$6+1E-9,B31+$B$11,""))</f>
        <v/>
      </c>
      <c r="C32" s="8">
        <f>IF(B32="","",B32+$B$5)</f>
        <v/>
      </c>
      <c r="D32" s="8">
        <f>IF(B32="","",IF(B32&lt;- $B$5,"Left tangent",IF(B32&lt;=$B$6,"Cubic curve","Right tangent")))</f>
        <v/>
      </c>
      <c r="E32" s="9">
        <f>IF(B32="","",IF(B32&lt;- $B$5,$B$7,IF(B32&lt;=$B$6,100*(3*$F$12*(B32+$B$5)^2+2*$F$13*(B32+$B$5)+$F$6),$B$8)))</f>
        <v/>
      </c>
      <c r="F32" s="10">
        <f>IF(B32="","",IF(B32&lt;- $B$5,$F$6*B32,IF(B32&lt;=$B$6,$F$12*(B32+$B$5)^3+$F$13*(B32+$B$5)^2+$F$6*(B32+$B$5)+$F$8,$F$9+$F$7*(B32-$B$6))))</f>
        <v/>
      </c>
      <c r="G32" s="10">
        <f>IF(F32="","",$B$10+F32)</f>
        <v/>
      </c>
      <c r="H32" s="10">
        <f>IF(B32="","",$B$9+B32)</f>
        <v/>
      </c>
    </row>
    <row r="33">
      <c r="A33" s="8">
        <f>IF(B33="","",A32+1)</f>
        <v/>
      </c>
      <c r="B33" s="8">
        <f>IF(B32="","",IF(B32+$B$11&lt;=$B$6+1E-9,B32+$B$11,""))</f>
        <v/>
      </c>
      <c r="C33" s="8">
        <f>IF(B33="","",B33+$B$5)</f>
        <v/>
      </c>
      <c r="D33" s="8">
        <f>IF(B33="","",IF(B33&lt;- $B$5,"Left tangent",IF(B33&lt;=$B$6,"Cubic curve","Right tangent")))</f>
        <v/>
      </c>
      <c r="E33" s="9">
        <f>IF(B33="","",IF(B33&lt;- $B$5,$B$7,IF(B33&lt;=$B$6,100*(3*$F$12*(B33+$B$5)^2+2*$F$13*(B33+$B$5)+$F$6),$B$8)))</f>
        <v/>
      </c>
      <c r="F33" s="10">
        <f>IF(B33="","",IF(B33&lt;- $B$5,$F$6*B33,IF(B33&lt;=$B$6,$F$12*(B33+$B$5)^3+$F$13*(B33+$B$5)^2+$F$6*(B33+$B$5)+$F$8,$F$9+$F$7*(B33-$B$6))))</f>
        <v/>
      </c>
      <c r="G33" s="10">
        <f>IF(F33="","",$B$10+F33)</f>
        <v/>
      </c>
      <c r="H33" s="10">
        <f>IF(B33="","",$B$9+B33)</f>
        <v/>
      </c>
    </row>
    <row r="34">
      <c r="A34" s="8">
        <f>IF(B34="","",A33+1)</f>
        <v/>
      </c>
      <c r="B34" s="8">
        <f>IF(B33="","",IF(B33+$B$11&lt;=$B$6+1E-9,B33+$B$11,""))</f>
        <v/>
      </c>
      <c r="C34" s="8">
        <f>IF(B34="","",B34+$B$5)</f>
        <v/>
      </c>
      <c r="D34" s="8">
        <f>IF(B34="","",IF(B34&lt;- $B$5,"Left tangent",IF(B34&lt;=$B$6,"Cubic curve","Right tangent")))</f>
        <v/>
      </c>
      <c r="E34" s="9">
        <f>IF(B34="","",IF(B34&lt;- $B$5,$B$7,IF(B34&lt;=$B$6,100*(3*$F$12*(B34+$B$5)^2+2*$F$13*(B34+$B$5)+$F$6),$B$8)))</f>
        <v/>
      </c>
      <c r="F34" s="10">
        <f>IF(B34="","",IF(B34&lt;- $B$5,$F$6*B34,IF(B34&lt;=$B$6,$F$12*(B34+$B$5)^3+$F$13*(B34+$B$5)^2+$F$6*(B34+$B$5)+$F$8,$F$9+$F$7*(B34-$B$6))))</f>
        <v/>
      </c>
      <c r="G34" s="10">
        <f>IF(F34="","",$B$10+F34)</f>
        <v/>
      </c>
      <c r="H34" s="10">
        <f>IF(B34="","",$B$9+B34)</f>
        <v/>
      </c>
    </row>
    <row r="35">
      <c r="A35" s="8">
        <f>IF(B35="","",A34+1)</f>
        <v/>
      </c>
      <c r="B35" s="8">
        <f>IF(B34="","",IF(B34+$B$11&lt;=$B$6+1E-9,B34+$B$11,""))</f>
        <v/>
      </c>
      <c r="C35" s="8">
        <f>IF(B35="","",B35+$B$5)</f>
        <v/>
      </c>
      <c r="D35" s="8">
        <f>IF(B35="","",IF(B35&lt;- $B$5,"Left tangent",IF(B35&lt;=$B$6,"Cubic curve","Right tangent")))</f>
        <v/>
      </c>
      <c r="E35" s="9">
        <f>IF(B35="","",IF(B35&lt;- $B$5,$B$7,IF(B35&lt;=$B$6,100*(3*$F$12*(B35+$B$5)^2+2*$F$13*(B35+$B$5)+$F$6),$B$8)))</f>
        <v/>
      </c>
      <c r="F35" s="10">
        <f>IF(B35="","",IF(B35&lt;- $B$5,$F$6*B35,IF(B35&lt;=$B$6,$F$12*(B35+$B$5)^3+$F$13*(B35+$B$5)^2+$F$6*(B35+$B$5)+$F$8,$F$9+$F$7*(B35-$B$6))))</f>
        <v/>
      </c>
      <c r="G35" s="10">
        <f>IF(F35="","",$B$10+F35)</f>
        <v/>
      </c>
      <c r="H35" s="10">
        <f>IF(B35="","",$B$9+B35)</f>
        <v/>
      </c>
    </row>
    <row r="36">
      <c r="A36" s="8">
        <f>IF(B36="","",A35+1)</f>
        <v/>
      </c>
      <c r="B36" s="8">
        <f>IF(B35="","",IF(B35+$B$11&lt;=$B$6+1E-9,B35+$B$11,""))</f>
        <v/>
      </c>
      <c r="C36" s="8">
        <f>IF(B36="","",B36+$B$5)</f>
        <v/>
      </c>
      <c r="D36" s="8">
        <f>IF(B36="","",IF(B36&lt;- $B$5,"Left tangent",IF(B36&lt;=$B$6,"Cubic curve","Right tangent")))</f>
        <v/>
      </c>
      <c r="E36" s="9">
        <f>IF(B36="","",IF(B36&lt;- $B$5,$B$7,IF(B36&lt;=$B$6,100*(3*$F$12*(B36+$B$5)^2+2*$F$13*(B36+$B$5)+$F$6),$B$8)))</f>
        <v/>
      </c>
      <c r="F36" s="10">
        <f>IF(B36="","",IF(B36&lt;- $B$5,$F$6*B36,IF(B36&lt;=$B$6,$F$12*(B36+$B$5)^3+$F$13*(B36+$B$5)^2+$F$6*(B36+$B$5)+$F$8,$F$9+$F$7*(B36-$B$6))))</f>
        <v/>
      </c>
      <c r="G36" s="10">
        <f>IF(F36="","",$B$10+F36)</f>
        <v/>
      </c>
      <c r="H36" s="10">
        <f>IF(B36="","",$B$9+B36)</f>
        <v/>
      </c>
    </row>
    <row r="37">
      <c r="A37" s="8">
        <f>IF(B37="","",A36+1)</f>
        <v/>
      </c>
      <c r="B37" s="8">
        <f>IF(B36="","",IF(B36+$B$11&lt;=$B$6+1E-9,B36+$B$11,""))</f>
        <v/>
      </c>
      <c r="C37" s="8">
        <f>IF(B37="","",B37+$B$5)</f>
        <v/>
      </c>
      <c r="D37" s="8">
        <f>IF(B37="","",IF(B37&lt;- $B$5,"Left tangent",IF(B37&lt;=$B$6,"Cubic curve","Right tangent")))</f>
        <v/>
      </c>
      <c r="E37" s="9">
        <f>IF(B37="","",IF(B37&lt;- $B$5,$B$7,IF(B37&lt;=$B$6,100*(3*$F$12*(B37+$B$5)^2+2*$F$13*(B37+$B$5)+$F$6),$B$8)))</f>
        <v/>
      </c>
      <c r="F37" s="10">
        <f>IF(B37="","",IF(B37&lt;- $B$5,$F$6*B37,IF(B37&lt;=$B$6,$F$12*(B37+$B$5)^3+$F$13*(B37+$B$5)^2+$F$6*(B37+$B$5)+$F$8,$F$9+$F$7*(B37-$B$6))))</f>
        <v/>
      </c>
      <c r="G37" s="10">
        <f>IF(F37="","",$B$10+F37)</f>
        <v/>
      </c>
      <c r="H37" s="10">
        <f>IF(B37="","",$B$9+B37)</f>
        <v/>
      </c>
    </row>
    <row r="38">
      <c r="A38" s="8">
        <f>IF(B38="","",A37+1)</f>
        <v/>
      </c>
      <c r="B38" s="8">
        <f>IF(B37="","",IF(B37+$B$11&lt;=$B$6+1E-9,B37+$B$11,""))</f>
        <v/>
      </c>
      <c r="C38" s="8">
        <f>IF(B38="","",B38+$B$5)</f>
        <v/>
      </c>
      <c r="D38" s="8">
        <f>IF(B38="","",IF(B38&lt;- $B$5,"Left tangent",IF(B38&lt;=$B$6,"Cubic curve","Right tangent")))</f>
        <v/>
      </c>
      <c r="E38" s="9">
        <f>IF(B38="","",IF(B38&lt;- $B$5,$B$7,IF(B38&lt;=$B$6,100*(3*$F$12*(B38+$B$5)^2+2*$F$13*(B38+$B$5)+$F$6),$B$8)))</f>
        <v/>
      </c>
      <c r="F38" s="10">
        <f>IF(B38="","",IF(B38&lt;- $B$5,$F$6*B38,IF(B38&lt;=$B$6,$F$12*(B38+$B$5)^3+$F$13*(B38+$B$5)^2+$F$6*(B38+$B$5)+$F$8,$F$9+$F$7*(B38-$B$6))))</f>
        <v/>
      </c>
      <c r="G38" s="10">
        <f>IF(F38="","",$B$10+F38)</f>
        <v/>
      </c>
      <c r="H38" s="10">
        <f>IF(B38="","",$B$9+B38)</f>
        <v/>
      </c>
    </row>
    <row r="39">
      <c r="A39" s="8">
        <f>IF(B39="","",A38+1)</f>
        <v/>
      </c>
      <c r="B39" s="8">
        <f>IF(B38="","",IF(B38+$B$11&lt;=$B$6+1E-9,B38+$B$11,""))</f>
        <v/>
      </c>
      <c r="C39" s="8">
        <f>IF(B39="","",B39+$B$5)</f>
        <v/>
      </c>
      <c r="D39" s="8">
        <f>IF(B39="","",IF(B39&lt;- $B$5,"Left tangent",IF(B39&lt;=$B$6,"Cubic curve","Right tangent")))</f>
        <v/>
      </c>
      <c r="E39" s="9">
        <f>IF(B39="","",IF(B39&lt;- $B$5,$B$7,IF(B39&lt;=$B$6,100*(3*$F$12*(B39+$B$5)^2+2*$F$13*(B39+$B$5)+$F$6),$B$8)))</f>
        <v/>
      </c>
      <c r="F39" s="10">
        <f>IF(B39="","",IF(B39&lt;- $B$5,$F$6*B39,IF(B39&lt;=$B$6,$F$12*(B39+$B$5)^3+$F$13*(B39+$B$5)^2+$F$6*(B39+$B$5)+$F$8,$F$9+$F$7*(B39-$B$6))))</f>
        <v/>
      </c>
      <c r="G39" s="10">
        <f>IF(F39="","",$B$10+F39)</f>
        <v/>
      </c>
      <c r="H39" s="10">
        <f>IF(B39="","",$B$9+B39)</f>
        <v/>
      </c>
    </row>
    <row r="40">
      <c r="A40" s="8">
        <f>IF(B40="","",A39+1)</f>
        <v/>
      </c>
      <c r="B40" s="8">
        <f>IF(B39="","",IF(B39+$B$11&lt;=$B$6+1E-9,B39+$B$11,""))</f>
        <v/>
      </c>
      <c r="C40" s="8">
        <f>IF(B40="","",B40+$B$5)</f>
        <v/>
      </c>
      <c r="D40" s="8">
        <f>IF(B40="","",IF(B40&lt;- $B$5,"Left tangent",IF(B40&lt;=$B$6,"Cubic curve","Right tangent")))</f>
        <v/>
      </c>
      <c r="E40" s="9">
        <f>IF(B40="","",IF(B40&lt;- $B$5,$B$7,IF(B40&lt;=$B$6,100*(3*$F$12*(B40+$B$5)^2+2*$F$13*(B40+$B$5)+$F$6),$B$8)))</f>
        <v/>
      </c>
      <c r="F40" s="10">
        <f>IF(B40="","",IF(B40&lt;- $B$5,$F$6*B40,IF(B40&lt;=$B$6,$F$12*(B40+$B$5)^3+$F$13*(B40+$B$5)^2+$F$6*(B40+$B$5)+$F$8,$F$9+$F$7*(B40-$B$6))))</f>
        <v/>
      </c>
      <c r="G40" s="10">
        <f>IF(F40="","",$B$10+F40)</f>
        <v/>
      </c>
      <c r="H40" s="10">
        <f>IF(B40="","",$B$9+B40)</f>
        <v/>
      </c>
    </row>
    <row r="41">
      <c r="A41" s="8">
        <f>IF(B41="","",A40+1)</f>
        <v/>
      </c>
      <c r="B41" s="8">
        <f>IF(B40="","",IF(B40+$B$11&lt;=$B$6+1E-9,B40+$B$11,""))</f>
        <v/>
      </c>
      <c r="C41" s="8">
        <f>IF(B41="","",B41+$B$5)</f>
        <v/>
      </c>
      <c r="D41" s="8">
        <f>IF(B41="","",IF(B41&lt;- $B$5,"Left tangent",IF(B41&lt;=$B$6,"Cubic curve","Right tangent")))</f>
        <v/>
      </c>
      <c r="E41" s="9">
        <f>IF(B41="","",IF(B41&lt;- $B$5,$B$7,IF(B41&lt;=$B$6,100*(3*$F$12*(B41+$B$5)^2+2*$F$13*(B41+$B$5)+$F$6),$B$8)))</f>
        <v/>
      </c>
      <c r="F41" s="10">
        <f>IF(B41="","",IF(B41&lt;- $B$5,$F$6*B41,IF(B41&lt;=$B$6,$F$12*(B41+$B$5)^3+$F$13*(B41+$B$5)^2+$F$6*(B41+$B$5)+$F$8,$F$9+$F$7*(B41-$B$6))))</f>
        <v/>
      </c>
      <c r="G41" s="10">
        <f>IF(F41="","",$B$10+F41)</f>
        <v/>
      </c>
      <c r="H41" s="10">
        <f>IF(B41="","",$B$9+B41)</f>
        <v/>
      </c>
    </row>
    <row r="42">
      <c r="A42" s="8">
        <f>IF(B42="","",A41+1)</f>
        <v/>
      </c>
      <c r="B42" s="8">
        <f>IF(B41="","",IF(B41+$B$11&lt;=$B$6+1E-9,B41+$B$11,""))</f>
        <v/>
      </c>
      <c r="C42" s="8">
        <f>IF(B42="","",B42+$B$5)</f>
        <v/>
      </c>
      <c r="D42" s="8">
        <f>IF(B42="","",IF(B42&lt;- $B$5,"Left tangent",IF(B42&lt;=$B$6,"Cubic curve","Right tangent")))</f>
        <v/>
      </c>
      <c r="E42" s="9">
        <f>IF(B42="","",IF(B42&lt;- $B$5,$B$7,IF(B42&lt;=$B$6,100*(3*$F$12*(B42+$B$5)^2+2*$F$13*(B42+$B$5)+$F$6),$B$8)))</f>
        <v/>
      </c>
      <c r="F42" s="10">
        <f>IF(B42="","",IF(B42&lt;- $B$5,$F$6*B42,IF(B42&lt;=$B$6,$F$12*(B42+$B$5)^3+$F$13*(B42+$B$5)^2+$F$6*(B42+$B$5)+$F$8,$F$9+$F$7*(B42-$B$6))))</f>
        <v/>
      </c>
      <c r="G42" s="10">
        <f>IF(F42="","",$B$10+F42)</f>
        <v/>
      </c>
      <c r="H42" s="10">
        <f>IF(B42="","",$B$9+B42)</f>
        <v/>
      </c>
    </row>
    <row r="43">
      <c r="A43" s="8">
        <f>IF(B43="","",A42+1)</f>
        <v/>
      </c>
      <c r="B43" s="8">
        <f>IF(B42="","",IF(B42+$B$11&lt;=$B$6+1E-9,B42+$B$11,""))</f>
        <v/>
      </c>
      <c r="C43" s="8">
        <f>IF(B43="","",B43+$B$5)</f>
        <v/>
      </c>
      <c r="D43" s="8">
        <f>IF(B43="","",IF(B43&lt;- $B$5,"Left tangent",IF(B43&lt;=$B$6,"Cubic curve","Right tangent")))</f>
        <v/>
      </c>
      <c r="E43" s="9">
        <f>IF(B43="","",IF(B43&lt;- $B$5,$B$7,IF(B43&lt;=$B$6,100*(3*$F$12*(B43+$B$5)^2+2*$F$13*(B43+$B$5)+$F$6),$B$8)))</f>
        <v/>
      </c>
      <c r="F43" s="10">
        <f>IF(B43="","",IF(B43&lt;- $B$5,$F$6*B43,IF(B43&lt;=$B$6,$F$12*(B43+$B$5)^3+$F$13*(B43+$B$5)^2+$F$6*(B43+$B$5)+$F$8,$F$9+$F$7*(B43-$B$6))))</f>
        <v/>
      </c>
      <c r="G43" s="10">
        <f>IF(F43="","",$B$10+F43)</f>
        <v/>
      </c>
      <c r="H43" s="10">
        <f>IF(B43="","",$B$9+B43)</f>
        <v/>
      </c>
    </row>
    <row r="44">
      <c r="A44" s="8">
        <f>IF(B44="","",A43+1)</f>
        <v/>
      </c>
      <c r="B44" s="8">
        <f>IF(B43="","",IF(B43+$B$11&lt;=$B$6+1E-9,B43+$B$11,""))</f>
        <v/>
      </c>
      <c r="C44" s="8">
        <f>IF(B44="","",B44+$B$5)</f>
        <v/>
      </c>
      <c r="D44" s="8">
        <f>IF(B44="","",IF(B44&lt;- $B$5,"Left tangent",IF(B44&lt;=$B$6,"Cubic curve","Right tangent")))</f>
        <v/>
      </c>
      <c r="E44" s="9">
        <f>IF(B44="","",IF(B44&lt;- $B$5,$B$7,IF(B44&lt;=$B$6,100*(3*$F$12*(B44+$B$5)^2+2*$F$13*(B44+$B$5)+$F$6),$B$8)))</f>
        <v/>
      </c>
      <c r="F44" s="10">
        <f>IF(B44="","",IF(B44&lt;- $B$5,$F$6*B44,IF(B44&lt;=$B$6,$F$12*(B44+$B$5)^3+$F$13*(B44+$B$5)^2+$F$6*(B44+$B$5)+$F$8,$F$9+$F$7*(B44-$B$6))))</f>
        <v/>
      </c>
      <c r="G44" s="10">
        <f>IF(F44="","",$B$10+F44)</f>
        <v/>
      </c>
      <c r="H44" s="10">
        <f>IF(B44="","",$B$9+B44)</f>
        <v/>
      </c>
    </row>
    <row r="45">
      <c r="A45" s="8">
        <f>IF(B45="","",A44+1)</f>
        <v/>
      </c>
      <c r="B45" s="8">
        <f>IF(B44="","",IF(B44+$B$11&lt;=$B$6+1E-9,B44+$B$11,""))</f>
        <v/>
      </c>
      <c r="C45" s="8">
        <f>IF(B45="","",B45+$B$5)</f>
        <v/>
      </c>
      <c r="D45" s="8">
        <f>IF(B45="","",IF(B45&lt;- $B$5,"Left tangent",IF(B45&lt;=$B$6,"Cubic curve","Right tangent")))</f>
        <v/>
      </c>
      <c r="E45" s="9">
        <f>IF(B45="","",IF(B45&lt;- $B$5,$B$7,IF(B45&lt;=$B$6,100*(3*$F$12*(B45+$B$5)^2+2*$F$13*(B45+$B$5)+$F$6),$B$8)))</f>
        <v/>
      </c>
      <c r="F45" s="10">
        <f>IF(B45="","",IF(B45&lt;- $B$5,$F$6*B45,IF(B45&lt;=$B$6,$F$12*(B45+$B$5)^3+$F$13*(B45+$B$5)^2+$F$6*(B45+$B$5)+$F$8,$F$9+$F$7*(B45-$B$6))))</f>
        <v/>
      </c>
      <c r="G45" s="10">
        <f>IF(F45="","",$B$10+F45)</f>
        <v/>
      </c>
      <c r="H45" s="10">
        <f>IF(B45="","",$B$9+B45)</f>
        <v/>
      </c>
    </row>
    <row r="46">
      <c r="A46" s="8">
        <f>IF(B46="","",A45+1)</f>
        <v/>
      </c>
      <c r="B46" s="8">
        <f>IF(B45="","",IF(B45+$B$11&lt;=$B$6+1E-9,B45+$B$11,""))</f>
        <v/>
      </c>
      <c r="C46" s="8">
        <f>IF(B46="","",B46+$B$5)</f>
        <v/>
      </c>
      <c r="D46" s="8">
        <f>IF(B46="","",IF(B46&lt;- $B$5,"Left tangent",IF(B46&lt;=$B$6,"Cubic curve","Right tangent")))</f>
        <v/>
      </c>
      <c r="E46" s="9">
        <f>IF(B46="","",IF(B46&lt;- $B$5,$B$7,IF(B46&lt;=$B$6,100*(3*$F$12*(B46+$B$5)^2+2*$F$13*(B46+$B$5)+$F$6),$B$8)))</f>
        <v/>
      </c>
      <c r="F46" s="10">
        <f>IF(B46="","",IF(B46&lt;- $B$5,$F$6*B46,IF(B46&lt;=$B$6,$F$12*(B46+$B$5)^3+$F$13*(B46+$B$5)^2+$F$6*(B46+$B$5)+$F$8,$F$9+$F$7*(B46-$B$6))))</f>
        <v/>
      </c>
      <c r="G46" s="10">
        <f>IF(F46="","",$B$10+F46)</f>
        <v/>
      </c>
      <c r="H46" s="10">
        <f>IF(B46="","",$B$9+B46)</f>
        <v/>
      </c>
    </row>
    <row r="47">
      <c r="A47" s="8">
        <f>IF(B47="","",A46+1)</f>
        <v/>
      </c>
      <c r="B47" s="8">
        <f>IF(B46="","",IF(B46+$B$11&lt;=$B$6+1E-9,B46+$B$11,""))</f>
        <v/>
      </c>
      <c r="C47" s="8">
        <f>IF(B47="","",B47+$B$5)</f>
        <v/>
      </c>
      <c r="D47" s="8">
        <f>IF(B47="","",IF(B47&lt;- $B$5,"Left tangent",IF(B47&lt;=$B$6,"Cubic curve","Right tangent")))</f>
        <v/>
      </c>
      <c r="E47" s="9">
        <f>IF(B47="","",IF(B47&lt;- $B$5,$B$7,IF(B47&lt;=$B$6,100*(3*$F$12*(B47+$B$5)^2+2*$F$13*(B47+$B$5)+$F$6),$B$8)))</f>
        <v/>
      </c>
      <c r="F47" s="10">
        <f>IF(B47="","",IF(B47&lt;- $B$5,$F$6*B47,IF(B47&lt;=$B$6,$F$12*(B47+$B$5)^3+$F$13*(B47+$B$5)^2+$F$6*(B47+$B$5)+$F$8,$F$9+$F$7*(B47-$B$6))))</f>
        <v/>
      </c>
      <c r="G47" s="10">
        <f>IF(F47="","",$B$10+F47)</f>
        <v/>
      </c>
      <c r="H47" s="10">
        <f>IF(B47="","",$B$9+B47)</f>
        <v/>
      </c>
    </row>
    <row r="48">
      <c r="A48" s="8">
        <f>IF(B48="","",A47+1)</f>
        <v/>
      </c>
      <c r="B48" s="8">
        <f>IF(B47="","",IF(B47+$B$11&lt;=$B$6+1E-9,B47+$B$11,""))</f>
        <v/>
      </c>
      <c r="C48" s="8">
        <f>IF(B48="","",B48+$B$5)</f>
        <v/>
      </c>
      <c r="D48" s="8">
        <f>IF(B48="","",IF(B48&lt;- $B$5,"Left tangent",IF(B48&lt;=$B$6,"Cubic curve","Right tangent")))</f>
        <v/>
      </c>
      <c r="E48" s="9">
        <f>IF(B48="","",IF(B48&lt;- $B$5,$B$7,IF(B48&lt;=$B$6,100*(3*$F$12*(B48+$B$5)^2+2*$F$13*(B48+$B$5)+$F$6),$B$8)))</f>
        <v/>
      </c>
      <c r="F48" s="10">
        <f>IF(B48="","",IF(B48&lt;- $B$5,$F$6*B48,IF(B48&lt;=$B$6,$F$12*(B48+$B$5)^3+$F$13*(B48+$B$5)^2+$F$6*(B48+$B$5)+$F$8,$F$9+$F$7*(B48-$B$6))))</f>
        <v/>
      </c>
      <c r="G48" s="10">
        <f>IF(F48="","",$B$10+F48)</f>
        <v/>
      </c>
      <c r="H48" s="10">
        <f>IF(B48="","",$B$9+B48)</f>
        <v/>
      </c>
    </row>
    <row r="49">
      <c r="A49" s="8">
        <f>IF(B49="","",A48+1)</f>
        <v/>
      </c>
      <c r="B49" s="8">
        <f>IF(B48="","",IF(B48+$B$11&lt;=$B$6+1E-9,B48+$B$11,""))</f>
        <v/>
      </c>
      <c r="C49" s="8">
        <f>IF(B49="","",B49+$B$5)</f>
        <v/>
      </c>
      <c r="D49" s="8">
        <f>IF(B49="","",IF(B49&lt;- $B$5,"Left tangent",IF(B49&lt;=$B$6,"Cubic curve","Right tangent")))</f>
        <v/>
      </c>
      <c r="E49" s="9">
        <f>IF(B49="","",IF(B49&lt;- $B$5,$B$7,IF(B49&lt;=$B$6,100*(3*$F$12*(B49+$B$5)^2+2*$F$13*(B49+$B$5)+$F$6),$B$8)))</f>
        <v/>
      </c>
      <c r="F49" s="10">
        <f>IF(B49="","",IF(B49&lt;- $B$5,$F$6*B49,IF(B49&lt;=$B$6,$F$12*(B49+$B$5)^3+$F$13*(B49+$B$5)^2+$F$6*(B49+$B$5)+$F$8,$F$9+$F$7*(B49-$B$6))))</f>
        <v/>
      </c>
      <c r="G49" s="10">
        <f>IF(F49="","",$B$10+F49)</f>
        <v/>
      </c>
      <c r="H49" s="10">
        <f>IF(B49="","",$B$9+B49)</f>
        <v/>
      </c>
    </row>
    <row r="50">
      <c r="A50" s="8">
        <f>IF(B50="","",A49+1)</f>
        <v/>
      </c>
      <c r="B50" s="8">
        <f>IF(B49="","",IF(B49+$B$11&lt;=$B$6+1E-9,B49+$B$11,""))</f>
        <v/>
      </c>
      <c r="C50" s="8">
        <f>IF(B50="","",B50+$B$5)</f>
        <v/>
      </c>
      <c r="D50" s="8">
        <f>IF(B50="","",IF(B50&lt;- $B$5,"Left tangent",IF(B50&lt;=$B$6,"Cubic curve","Right tangent")))</f>
        <v/>
      </c>
      <c r="E50" s="9">
        <f>IF(B50="","",IF(B50&lt;- $B$5,$B$7,IF(B50&lt;=$B$6,100*(3*$F$12*(B50+$B$5)^2+2*$F$13*(B50+$B$5)+$F$6),$B$8)))</f>
        <v/>
      </c>
      <c r="F50" s="10">
        <f>IF(B50="","",IF(B50&lt;- $B$5,$F$6*B50,IF(B50&lt;=$B$6,$F$12*(B50+$B$5)^3+$F$13*(B50+$B$5)^2+$F$6*(B50+$B$5)+$F$8,$F$9+$F$7*(B50-$B$6))))</f>
        <v/>
      </c>
      <c r="G50" s="10">
        <f>IF(F50="","",$B$10+F50)</f>
        <v/>
      </c>
      <c r="H50" s="10">
        <f>IF(B50="","",$B$9+B50)</f>
        <v/>
      </c>
    </row>
    <row r="51">
      <c r="A51" s="8">
        <f>IF(B51="","",A50+1)</f>
        <v/>
      </c>
      <c r="B51" s="8">
        <f>IF(B50="","",IF(B50+$B$11&lt;=$B$6+1E-9,B50+$B$11,""))</f>
        <v/>
      </c>
      <c r="C51" s="8">
        <f>IF(B51="","",B51+$B$5)</f>
        <v/>
      </c>
      <c r="D51" s="8">
        <f>IF(B51="","",IF(B51&lt;- $B$5,"Left tangent",IF(B51&lt;=$B$6,"Cubic curve","Right tangent")))</f>
        <v/>
      </c>
      <c r="E51" s="9">
        <f>IF(B51="","",IF(B51&lt;- $B$5,$B$7,IF(B51&lt;=$B$6,100*(3*$F$12*(B51+$B$5)^2+2*$F$13*(B51+$B$5)+$F$6),$B$8)))</f>
        <v/>
      </c>
      <c r="F51" s="10">
        <f>IF(B51="","",IF(B51&lt;- $B$5,$F$6*B51,IF(B51&lt;=$B$6,$F$12*(B51+$B$5)^3+$F$13*(B51+$B$5)^2+$F$6*(B51+$B$5)+$F$8,$F$9+$F$7*(B51-$B$6))))</f>
        <v/>
      </c>
      <c r="G51" s="10">
        <f>IF(F51="","",$B$10+F51)</f>
        <v/>
      </c>
      <c r="H51" s="10">
        <f>IF(B51="","",$B$9+B51)</f>
        <v/>
      </c>
    </row>
    <row r="52">
      <c r="A52" s="8">
        <f>IF(B52="","",A51+1)</f>
        <v/>
      </c>
      <c r="B52" s="8">
        <f>IF(B51="","",IF(B51+$B$11&lt;=$B$6+1E-9,B51+$B$11,""))</f>
        <v/>
      </c>
      <c r="C52" s="8">
        <f>IF(B52="","",B52+$B$5)</f>
        <v/>
      </c>
      <c r="D52" s="8">
        <f>IF(B52="","",IF(B52&lt;- $B$5,"Left tangent",IF(B52&lt;=$B$6,"Cubic curve","Right tangent")))</f>
        <v/>
      </c>
      <c r="E52" s="9">
        <f>IF(B52="","",IF(B52&lt;- $B$5,$B$7,IF(B52&lt;=$B$6,100*(3*$F$12*(B52+$B$5)^2+2*$F$13*(B52+$B$5)+$F$6),$B$8)))</f>
        <v/>
      </c>
      <c r="F52" s="10">
        <f>IF(B52="","",IF(B52&lt;- $B$5,$F$6*B52,IF(B52&lt;=$B$6,$F$12*(B52+$B$5)^3+$F$13*(B52+$B$5)^2+$F$6*(B52+$B$5)+$F$8,$F$9+$F$7*(B52-$B$6))))</f>
        <v/>
      </c>
      <c r="G52" s="10">
        <f>IF(F52="","",$B$10+F52)</f>
        <v/>
      </c>
      <c r="H52" s="10">
        <f>IF(B52="","",$B$9+B52)</f>
        <v/>
      </c>
    </row>
    <row r="53">
      <c r="A53" s="8">
        <f>IF(B53="","",A52+1)</f>
        <v/>
      </c>
      <c r="B53" s="8">
        <f>IF(B52="","",IF(B52+$B$11&lt;=$B$6+1E-9,B52+$B$11,""))</f>
        <v/>
      </c>
      <c r="C53" s="8">
        <f>IF(B53="","",B53+$B$5)</f>
        <v/>
      </c>
      <c r="D53" s="8">
        <f>IF(B53="","",IF(B53&lt;- $B$5,"Left tangent",IF(B53&lt;=$B$6,"Cubic curve","Right tangent")))</f>
        <v/>
      </c>
      <c r="E53" s="9">
        <f>IF(B53="","",IF(B53&lt;- $B$5,$B$7,IF(B53&lt;=$B$6,100*(3*$F$12*(B53+$B$5)^2+2*$F$13*(B53+$B$5)+$F$6),$B$8)))</f>
        <v/>
      </c>
      <c r="F53" s="10">
        <f>IF(B53="","",IF(B53&lt;- $B$5,$F$6*B53,IF(B53&lt;=$B$6,$F$12*(B53+$B$5)^3+$F$13*(B53+$B$5)^2+$F$6*(B53+$B$5)+$F$8,$F$9+$F$7*(B53-$B$6))))</f>
        <v/>
      </c>
      <c r="G53" s="10">
        <f>IF(F53="","",$B$10+F53)</f>
        <v/>
      </c>
      <c r="H53" s="10">
        <f>IF(B53="","",$B$9+B53)</f>
        <v/>
      </c>
    </row>
    <row r="54">
      <c r="A54" s="8">
        <f>IF(B54="","",A53+1)</f>
        <v/>
      </c>
      <c r="B54" s="8">
        <f>IF(B53="","",IF(B53+$B$11&lt;=$B$6+1E-9,B53+$B$11,""))</f>
        <v/>
      </c>
      <c r="C54" s="8">
        <f>IF(B54="","",B54+$B$5)</f>
        <v/>
      </c>
      <c r="D54" s="8">
        <f>IF(B54="","",IF(B54&lt;- $B$5,"Left tangent",IF(B54&lt;=$B$6,"Cubic curve","Right tangent")))</f>
        <v/>
      </c>
      <c r="E54" s="9">
        <f>IF(B54="","",IF(B54&lt;- $B$5,$B$7,IF(B54&lt;=$B$6,100*(3*$F$12*(B54+$B$5)^2+2*$F$13*(B54+$B$5)+$F$6),$B$8)))</f>
        <v/>
      </c>
      <c r="F54" s="10">
        <f>IF(B54="","",IF(B54&lt;- $B$5,$F$6*B54,IF(B54&lt;=$B$6,$F$12*(B54+$B$5)^3+$F$13*(B54+$B$5)^2+$F$6*(B54+$B$5)+$F$8,$F$9+$F$7*(B54-$B$6))))</f>
        <v/>
      </c>
      <c r="G54" s="10">
        <f>IF(F54="","",$B$10+F54)</f>
        <v/>
      </c>
      <c r="H54" s="10">
        <f>IF(B54="","",$B$9+B54)</f>
        <v/>
      </c>
    </row>
    <row r="55">
      <c r="A55" s="8">
        <f>IF(B55="","",A54+1)</f>
        <v/>
      </c>
      <c r="B55" s="8">
        <f>IF(B54="","",IF(B54+$B$11&lt;=$B$6+1E-9,B54+$B$11,""))</f>
        <v/>
      </c>
      <c r="C55" s="8">
        <f>IF(B55="","",B55+$B$5)</f>
        <v/>
      </c>
      <c r="D55" s="8">
        <f>IF(B55="","",IF(B55&lt;- $B$5,"Left tangent",IF(B55&lt;=$B$6,"Cubic curve","Right tangent")))</f>
        <v/>
      </c>
      <c r="E55" s="9">
        <f>IF(B55="","",IF(B55&lt;- $B$5,$B$7,IF(B55&lt;=$B$6,100*(3*$F$12*(B55+$B$5)^2+2*$F$13*(B55+$B$5)+$F$6),$B$8)))</f>
        <v/>
      </c>
      <c r="F55" s="10">
        <f>IF(B55="","",IF(B55&lt;- $B$5,$F$6*B55,IF(B55&lt;=$B$6,$F$12*(B55+$B$5)^3+$F$13*(B55+$B$5)^2+$F$6*(B55+$B$5)+$F$8,$F$9+$F$7*(B55-$B$6))))</f>
        <v/>
      </c>
      <c r="G55" s="10">
        <f>IF(F55="","",$B$10+F55)</f>
        <v/>
      </c>
      <c r="H55" s="10">
        <f>IF(B55="","",$B$9+B55)</f>
        <v/>
      </c>
    </row>
    <row r="56">
      <c r="A56" s="8">
        <f>IF(B56="","",A55+1)</f>
        <v/>
      </c>
      <c r="B56" s="8">
        <f>IF(B55="","",IF(B55+$B$11&lt;=$B$6+1E-9,B55+$B$11,""))</f>
        <v/>
      </c>
      <c r="C56" s="8">
        <f>IF(B56="","",B56+$B$5)</f>
        <v/>
      </c>
      <c r="D56" s="8">
        <f>IF(B56="","",IF(B56&lt;- $B$5,"Left tangent",IF(B56&lt;=$B$6,"Cubic curve","Right tangent")))</f>
        <v/>
      </c>
      <c r="E56" s="9">
        <f>IF(B56="","",IF(B56&lt;- $B$5,$B$7,IF(B56&lt;=$B$6,100*(3*$F$12*(B56+$B$5)^2+2*$F$13*(B56+$B$5)+$F$6),$B$8)))</f>
        <v/>
      </c>
      <c r="F56" s="10">
        <f>IF(B56="","",IF(B56&lt;- $B$5,$F$6*B56,IF(B56&lt;=$B$6,$F$12*(B56+$B$5)^3+$F$13*(B56+$B$5)^2+$F$6*(B56+$B$5)+$F$8,$F$9+$F$7*(B56-$B$6))))</f>
        <v/>
      </c>
      <c r="G56" s="10">
        <f>IF(F56="","",$B$10+F56)</f>
        <v/>
      </c>
      <c r="H56" s="10">
        <f>IF(B56="","",$B$9+B56)</f>
        <v/>
      </c>
    </row>
    <row r="57">
      <c r="A57" s="8">
        <f>IF(B57="","",A56+1)</f>
        <v/>
      </c>
      <c r="B57" s="8">
        <f>IF(B56="","",IF(B56+$B$11&lt;=$B$6+1E-9,B56+$B$11,""))</f>
        <v/>
      </c>
      <c r="C57" s="8">
        <f>IF(B57="","",B57+$B$5)</f>
        <v/>
      </c>
      <c r="D57" s="8">
        <f>IF(B57="","",IF(B57&lt;- $B$5,"Left tangent",IF(B57&lt;=$B$6,"Cubic curve","Right tangent")))</f>
        <v/>
      </c>
      <c r="E57" s="9">
        <f>IF(B57="","",IF(B57&lt;- $B$5,$B$7,IF(B57&lt;=$B$6,100*(3*$F$12*(B57+$B$5)^2+2*$F$13*(B57+$B$5)+$F$6),$B$8)))</f>
        <v/>
      </c>
      <c r="F57" s="10">
        <f>IF(B57="","",IF(B57&lt;- $B$5,$F$6*B57,IF(B57&lt;=$B$6,$F$12*(B57+$B$5)^3+$F$13*(B57+$B$5)^2+$F$6*(B57+$B$5)+$F$8,$F$9+$F$7*(B57-$B$6))))</f>
        <v/>
      </c>
      <c r="G57" s="10">
        <f>IF(F57="","",$B$10+F57)</f>
        <v/>
      </c>
      <c r="H57" s="10">
        <f>IF(B57="","",$B$9+B57)</f>
        <v/>
      </c>
    </row>
    <row r="58">
      <c r="A58" s="8">
        <f>IF(B58="","",A57+1)</f>
        <v/>
      </c>
      <c r="B58" s="8">
        <f>IF(B57="","",IF(B57+$B$11&lt;=$B$6+1E-9,B57+$B$11,""))</f>
        <v/>
      </c>
      <c r="C58" s="8">
        <f>IF(B58="","",B58+$B$5)</f>
        <v/>
      </c>
      <c r="D58" s="8">
        <f>IF(B58="","",IF(B58&lt;- $B$5,"Left tangent",IF(B58&lt;=$B$6,"Cubic curve","Right tangent")))</f>
        <v/>
      </c>
      <c r="E58" s="9">
        <f>IF(B58="","",IF(B58&lt;- $B$5,$B$7,IF(B58&lt;=$B$6,100*(3*$F$12*(B58+$B$5)^2+2*$F$13*(B58+$B$5)+$F$6),$B$8)))</f>
        <v/>
      </c>
      <c r="F58" s="10">
        <f>IF(B58="","",IF(B58&lt;- $B$5,$F$6*B58,IF(B58&lt;=$B$6,$F$12*(B58+$B$5)^3+$F$13*(B58+$B$5)^2+$F$6*(B58+$B$5)+$F$8,$F$9+$F$7*(B58-$B$6))))</f>
        <v/>
      </c>
      <c r="G58" s="10">
        <f>IF(F58="","",$B$10+F58)</f>
        <v/>
      </c>
      <c r="H58" s="10">
        <f>IF(B58="","",$B$9+B58)</f>
        <v/>
      </c>
    </row>
    <row r="59">
      <c r="A59" s="8">
        <f>IF(B59="","",A58+1)</f>
        <v/>
      </c>
      <c r="B59" s="8">
        <f>IF(B58="","",IF(B58+$B$11&lt;=$B$6+1E-9,B58+$B$11,""))</f>
        <v/>
      </c>
      <c r="C59" s="8">
        <f>IF(B59="","",B59+$B$5)</f>
        <v/>
      </c>
      <c r="D59" s="8">
        <f>IF(B59="","",IF(B59&lt;- $B$5,"Left tangent",IF(B59&lt;=$B$6,"Cubic curve","Right tangent")))</f>
        <v/>
      </c>
      <c r="E59" s="9">
        <f>IF(B59="","",IF(B59&lt;- $B$5,$B$7,IF(B59&lt;=$B$6,100*(3*$F$12*(B59+$B$5)^2+2*$F$13*(B59+$B$5)+$F$6),$B$8)))</f>
        <v/>
      </c>
      <c r="F59" s="10">
        <f>IF(B59="","",IF(B59&lt;- $B$5,$F$6*B59,IF(B59&lt;=$B$6,$F$12*(B59+$B$5)^3+$F$13*(B59+$B$5)^2+$F$6*(B59+$B$5)+$F$8,$F$9+$F$7*(B59-$B$6))))</f>
        <v/>
      </c>
      <c r="G59" s="10">
        <f>IF(F59="","",$B$10+F59)</f>
        <v/>
      </c>
      <c r="H59" s="10">
        <f>IF(B59="","",$B$9+B59)</f>
        <v/>
      </c>
    </row>
    <row r="60">
      <c r="A60" s="8">
        <f>IF(B60="","",A59+1)</f>
        <v/>
      </c>
      <c r="B60" s="8">
        <f>IF(B59="","",IF(B59+$B$11&lt;=$B$6+1E-9,B59+$B$11,""))</f>
        <v/>
      </c>
      <c r="C60" s="8">
        <f>IF(B60="","",B60+$B$5)</f>
        <v/>
      </c>
      <c r="D60" s="8">
        <f>IF(B60="","",IF(B60&lt;- $B$5,"Left tangent",IF(B60&lt;=$B$6,"Cubic curve","Right tangent")))</f>
        <v/>
      </c>
      <c r="E60" s="9">
        <f>IF(B60="","",IF(B60&lt;- $B$5,$B$7,IF(B60&lt;=$B$6,100*(3*$F$12*(B60+$B$5)^2+2*$F$13*(B60+$B$5)+$F$6),$B$8)))</f>
        <v/>
      </c>
      <c r="F60" s="10">
        <f>IF(B60="","",IF(B60&lt;- $B$5,$F$6*B60,IF(B60&lt;=$B$6,$F$12*(B60+$B$5)^3+$F$13*(B60+$B$5)^2+$F$6*(B60+$B$5)+$F$8,$F$9+$F$7*(B60-$B$6))))</f>
        <v/>
      </c>
      <c r="G60" s="10">
        <f>IF(F60="","",$B$10+F60)</f>
        <v/>
      </c>
      <c r="H60" s="10">
        <f>IF(B60="","",$B$9+B60)</f>
        <v/>
      </c>
    </row>
    <row r="61">
      <c r="A61" s="8">
        <f>IF(B61="","",A60+1)</f>
        <v/>
      </c>
      <c r="B61" s="8">
        <f>IF(B60="","",IF(B60+$B$11&lt;=$B$6+1E-9,B60+$B$11,""))</f>
        <v/>
      </c>
      <c r="C61" s="8">
        <f>IF(B61="","",B61+$B$5)</f>
        <v/>
      </c>
      <c r="D61" s="8">
        <f>IF(B61="","",IF(B61&lt;- $B$5,"Left tangent",IF(B61&lt;=$B$6,"Cubic curve","Right tangent")))</f>
        <v/>
      </c>
      <c r="E61" s="9">
        <f>IF(B61="","",IF(B61&lt;- $B$5,$B$7,IF(B61&lt;=$B$6,100*(3*$F$12*(B61+$B$5)^2+2*$F$13*(B61+$B$5)+$F$6),$B$8)))</f>
        <v/>
      </c>
      <c r="F61" s="10">
        <f>IF(B61="","",IF(B61&lt;- $B$5,$F$6*B61,IF(B61&lt;=$B$6,$F$12*(B61+$B$5)^3+$F$13*(B61+$B$5)^2+$F$6*(B61+$B$5)+$F$8,$F$9+$F$7*(B61-$B$6))))</f>
        <v/>
      </c>
      <c r="G61" s="10">
        <f>IF(F61="","",$B$10+F61)</f>
        <v/>
      </c>
      <c r="H61" s="10">
        <f>IF(B61="","",$B$9+B61)</f>
        <v/>
      </c>
    </row>
    <row r="62">
      <c r="A62" s="8">
        <f>IF(B62="","",A61+1)</f>
        <v/>
      </c>
      <c r="B62" s="8">
        <f>IF(B61="","",IF(B61+$B$11&lt;=$B$6+1E-9,B61+$B$11,""))</f>
        <v/>
      </c>
      <c r="C62" s="8">
        <f>IF(B62="","",B62+$B$5)</f>
        <v/>
      </c>
      <c r="D62" s="8">
        <f>IF(B62="","",IF(B62&lt;- $B$5,"Left tangent",IF(B62&lt;=$B$6,"Cubic curve","Right tangent")))</f>
        <v/>
      </c>
      <c r="E62" s="9">
        <f>IF(B62="","",IF(B62&lt;- $B$5,$B$7,IF(B62&lt;=$B$6,100*(3*$F$12*(B62+$B$5)^2+2*$F$13*(B62+$B$5)+$F$6),$B$8)))</f>
        <v/>
      </c>
      <c r="F62" s="10">
        <f>IF(B62="","",IF(B62&lt;- $B$5,$F$6*B62,IF(B62&lt;=$B$6,$F$12*(B62+$B$5)^3+$F$13*(B62+$B$5)^2+$F$6*(B62+$B$5)+$F$8,$F$9+$F$7*(B62-$B$6))))</f>
        <v/>
      </c>
      <c r="G62" s="10">
        <f>IF(F62="","",$B$10+F62)</f>
        <v/>
      </c>
      <c r="H62" s="10">
        <f>IF(B62="","",$B$9+B62)</f>
        <v/>
      </c>
    </row>
    <row r="63">
      <c r="A63" s="8">
        <f>IF(B63="","",A62+1)</f>
        <v/>
      </c>
      <c r="B63" s="8">
        <f>IF(B62="","",IF(B62+$B$11&lt;=$B$6+1E-9,B62+$B$11,""))</f>
        <v/>
      </c>
      <c r="C63" s="8">
        <f>IF(B63="","",B63+$B$5)</f>
        <v/>
      </c>
      <c r="D63" s="8">
        <f>IF(B63="","",IF(B63&lt;- $B$5,"Left tangent",IF(B63&lt;=$B$6,"Cubic curve","Right tangent")))</f>
        <v/>
      </c>
      <c r="E63" s="9">
        <f>IF(B63="","",IF(B63&lt;- $B$5,$B$7,IF(B63&lt;=$B$6,100*(3*$F$12*(B63+$B$5)^2+2*$F$13*(B63+$B$5)+$F$6),$B$8)))</f>
        <v/>
      </c>
      <c r="F63" s="10">
        <f>IF(B63="","",IF(B63&lt;- $B$5,$F$6*B63,IF(B63&lt;=$B$6,$F$12*(B63+$B$5)^3+$F$13*(B63+$B$5)^2+$F$6*(B63+$B$5)+$F$8,$F$9+$F$7*(B63-$B$6))))</f>
        <v/>
      </c>
      <c r="G63" s="10">
        <f>IF(F63="","",$B$10+F63)</f>
        <v/>
      </c>
      <c r="H63" s="10">
        <f>IF(B63="","",$B$9+B63)</f>
        <v/>
      </c>
    </row>
    <row r="64">
      <c r="A64" s="8">
        <f>IF(B64="","",A63+1)</f>
        <v/>
      </c>
      <c r="B64" s="8">
        <f>IF(B63="","",IF(B63+$B$11&lt;=$B$6+1E-9,B63+$B$11,""))</f>
        <v/>
      </c>
      <c r="C64" s="8">
        <f>IF(B64="","",B64+$B$5)</f>
        <v/>
      </c>
      <c r="D64" s="8">
        <f>IF(B64="","",IF(B64&lt;- $B$5,"Left tangent",IF(B64&lt;=$B$6,"Cubic curve","Right tangent")))</f>
        <v/>
      </c>
      <c r="E64" s="9">
        <f>IF(B64="","",IF(B64&lt;- $B$5,$B$7,IF(B64&lt;=$B$6,100*(3*$F$12*(B64+$B$5)^2+2*$F$13*(B64+$B$5)+$F$6),$B$8)))</f>
        <v/>
      </c>
      <c r="F64" s="10">
        <f>IF(B64="","",IF(B64&lt;- $B$5,$F$6*B64,IF(B64&lt;=$B$6,$F$12*(B64+$B$5)^3+$F$13*(B64+$B$5)^2+$F$6*(B64+$B$5)+$F$8,$F$9+$F$7*(B64-$B$6))))</f>
        <v/>
      </c>
      <c r="G64" s="10">
        <f>IF(F64="","",$B$10+F64)</f>
        <v/>
      </c>
      <c r="H64" s="10">
        <f>IF(B64="","",$B$9+B64)</f>
        <v/>
      </c>
    </row>
    <row r="65">
      <c r="A65" s="8">
        <f>IF(B65="","",A64+1)</f>
        <v/>
      </c>
      <c r="B65" s="8">
        <f>IF(B64="","",IF(B64+$B$11&lt;=$B$6+1E-9,B64+$B$11,""))</f>
        <v/>
      </c>
      <c r="C65" s="8">
        <f>IF(B65="","",B65+$B$5)</f>
        <v/>
      </c>
      <c r="D65" s="8">
        <f>IF(B65="","",IF(B65&lt;- $B$5,"Left tangent",IF(B65&lt;=$B$6,"Cubic curve","Right tangent")))</f>
        <v/>
      </c>
      <c r="E65" s="9">
        <f>IF(B65="","",IF(B65&lt;- $B$5,$B$7,IF(B65&lt;=$B$6,100*(3*$F$12*(B65+$B$5)^2+2*$F$13*(B65+$B$5)+$F$6),$B$8)))</f>
        <v/>
      </c>
      <c r="F65" s="10">
        <f>IF(B65="","",IF(B65&lt;- $B$5,$F$6*B65,IF(B65&lt;=$B$6,$F$12*(B65+$B$5)^3+$F$13*(B65+$B$5)^2+$F$6*(B65+$B$5)+$F$8,$F$9+$F$7*(B65-$B$6))))</f>
        <v/>
      </c>
      <c r="G65" s="10">
        <f>IF(F65="","",$B$10+F65)</f>
        <v/>
      </c>
      <c r="H65" s="10">
        <f>IF(B65="","",$B$9+B65)</f>
        <v/>
      </c>
    </row>
    <row r="66">
      <c r="A66" s="8">
        <f>IF(B66="","",A65+1)</f>
        <v/>
      </c>
      <c r="B66" s="8">
        <f>IF(B65="","",IF(B65+$B$11&lt;=$B$6+1E-9,B65+$B$11,""))</f>
        <v/>
      </c>
      <c r="C66" s="8">
        <f>IF(B66="","",B66+$B$5)</f>
        <v/>
      </c>
      <c r="D66" s="8">
        <f>IF(B66="","",IF(B66&lt;- $B$5,"Left tangent",IF(B66&lt;=$B$6,"Cubic curve","Right tangent")))</f>
        <v/>
      </c>
      <c r="E66" s="9">
        <f>IF(B66="","",IF(B66&lt;- $B$5,$B$7,IF(B66&lt;=$B$6,100*(3*$F$12*(B66+$B$5)^2+2*$F$13*(B66+$B$5)+$F$6),$B$8)))</f>
        <v/>
      </c>
      <c r="F66" s="10">
        <f>IF(B66="","",IF(B66&lt;- $B$5,$F$6*B66,IF(B66&lt;=$B$6,$F$12*(B66+$B$5)^3+$F$13*(B66+$B$5)^2+$F$6*(B66+$B$5)+$F$8,$F$9+$F$7*(B66-$B$6))))</f>
        <v/>
      </c>
      <c r="G66" s="10">
        <f>IF(F66="","",$B$10+F66)</f>
        <v/>
      </c>
      <c r="H66" s="10">
        <f>IF(B66="","",$B$9+B66)</f>
        <v/>
      </c>
    </row>
    <row r="67">
      <c r="A67" s="8">
        <f>IF(B67="","",A66+1)</f>
        <v/>
      </c>
      <c r="B67" s="8">
        <f>IF(B66="","",IF(B66+$B$11&lt;=$B$6+1E-9,B66+$B$11,""))</f>
        <v/>
      </c>
      <c r="C67" s="8">
        <f>IF(B67="","",B67+$B$5)</f>
        <v/>
      </c>
      <c r="D67" s="8">
        <f>IF(B67="","",IF(B67&lt;- $B$5,"Left tangent",IF(B67&lt;=$B$6,"Cubic curve","Right tangent")))</f>
        <v/>
      </c>
      <c r="E67" s="9">
        <f>IF(B67="","",IF(B67&lt;- $B$5,$B$7,IF(B67&lt;=$B$6,100*(3*$F$12*(B67+$B$5)^2+2*$F$13*(B67+$B$5)+$F$6),$B$8)))</f>
        <v/>
      </c>
      <c r="F67" s="10">
        <f>IF(B67="","",IF(B67&lt;- $B$5,$F$6*B67,IF(B67&lt;=$B$6,$F$12*(B67+$B$5)^3+$F$13*(B67+$B$5)^2+$F$6*(B67+$B$5)+$F$8,$F$9+$F$7*(B67-$B$6))))</f>
        <v/>
      </c>
      <c r="G67" s="10">
        <f>IF(F67="","",$B$10+F67)</f>
        <v/>
      </c>
      <c r="H67" s="10">
        <f>IF(B67="","",$B$9+B67)</f>
        <v/>
      </c>
    </row>
    <row r="68">
      <c r="A68" s="8">
        <f>IF(B68="","",A67+1)</f>
        <v/>
      </c>
      <c r="B68" s="8">
        <f>IF(B67="","",IF(B67+$B$11&lt;=$B$6+1E-9,B67+$B$11,""))</f>
        <v/>
      </c>
      <c r="C68" s="8">
        <f>IF(B68="","",B68+$B$5)</f>
        <v/>
      </c>
      <c r="D68" s="8">
        <f>IF(B68="","",IF(B68&lt;- $B$5,"Left tangent",IF(B68&lt;=$B$6,"Cubic curve","Right tangent")))</f>
        <v/>
      </c>
      <c r="E68" s="9">
        <f>IF(B68="","",IF(B68&lt;- $B$5,$B$7,IF(B68&lt;=$B$6,100*(3*$F$12*(B68+$B$5)^2+2*$F$13*(B68+$B$5)+$F$6),$B$8)))</f>
        <v/>
      </c>
      <c r="F68" s="10">
        <f>IF(B68="","",IF(B68&lt;- $B$5,$F$6*B68,IF(B68&lt;=$B$6,$F$12*(B68+$B$5)^3+$F$13*(B68+$B$5)^2+$F$6*(B68+$B$5)+$F$8,$F$9+$F$7*(B68-$B$6))))</f>
        <v/>
      </c>
      <c r="G68" s="10">
        <f>IF(F68="","",$B$10+F68)</f>
        <v/>
      </c>
      <c r="H68" s="10">
        <f>IF(B68="","",$B$9+B68)</f>
        <v/>
      </c>
    </row>
    <row r="69">
      <c r="A69" s="8">
        <f>IF(B69="","",A68+1)</f>
        <v/>
      </c>
      <c r="B69" s="8">
        <f>IF(B68="","",IF(B68+$B$11&lt;=$B$6+1E-9,B68+$B$11,""))</f>
        <v/>
      </c>
      <c r="C69" s="8">
        <f>IF(B69="","",B69+$B$5)</f>
        <v/>
      </c>
      <c r="D69" s="8">
        <f>IF(B69="","",IF(B69&lt;- $B$5,"Left tangent",IF(B69&lt;=$B$6,"Cubic curve","Right tangent")))</f>
        <v/>
      </c>
      <c r="E69" s="9">
        <f>IF(B69="","",IF(B69&lt;- $B$5,$B$7,IF(B69&lt;=$B$6,100*(3*$F$12*(B69+$B$5)^2+2*$F$13*(B69+$B$5)+$F$6),$B$8)))</f>
        <v/>
      </c>
      <c r="F69" s="10">
        <f>IF(B69="","",IF(B69&lt;- $B$5,$F$6*B69,IF(B69&lt;=$B$6,$F$12*(B69+$B$5)^3+$F$13*(B69+$B$5)^2+$F$6*(B69+$B$5)+$F$8,$F$9+$F$7*(B69-$B$6))))</f>
        <v/>
      </c>
      <c r="G69" s="10">
        <f>IF(F69="","",$B$10+F69)</f>
        <v/>
      </c>
      <c r="H69" s="10">
        <f>IF(B69="","",$B$9+B69)</f>
        <v/>
      </c>
    </row>
    <row r="70">
      <c r="A70" s="8">
        <f>IF(B70="","",A69+1)</f>
        <v/>
      </c>
      <c r="B70" s="8">
        <f>IF(B69="","",IF(B69+$B$11&lt;=$B$6+1E-9,B69+$B$11,""))</f>
        <v/>
      </c>
      <c r="C70" s="8">
        <f>IF(B70="","",B70+$B$5)</f>
        <v/>
      </c>
      <c r="D70" s="8">
        <f>IF(B70="","",IF(B70&lt;- $B$5,"Left tangent",IF(B70&lt;=$B$6,"Cubic curve","Right tangent")))</f>
        <v/>
      </c>
      <c r="E70" s="9">
        <f>IF(B70="","",IF(B70&lt;- $B$5,$B$7,IF(B70&lt;=$B$6,100*(3*$F$12*(B70+$B$5)^2+2*$F$13*(B70+$B$5)+$F$6),$B$8)))</f>
        <v/>
      </c>
      <c r="F70" s="10">
        <f>IF(B70="","",IF(B70&lt;- $B$5,$F$6*B70,IF(B70&lt;=$B$6,$F$12*(B70+$B$5)^3+$F$13*(B70+$B$5)^2+$F$6*(B70+$B$5)+$F$8,$F$9+$F$7*(B70-$B$6))))</f>
        <v/>
      </c>
      <c r="G70" s="10">
        <f>IF(F70="","",$B$10+F70)</f>
        <v/>
      </c>
      <c r="H70" s="10">
        <f>IF(B70="","",$B$9+B70)</f>
        <v/>
      </c>
    </row>
    <row r="71">
      <c r="A71" s="8">
        <f>IF(B71="","",A70+1)</f>
        <v/>
      </c>
      <c r="B71" s="8">
        <f>IF(B70="","",IF(B70+$B$11&lt;=$B$6+1E-9,B70+$B$11,""))</f>
        <v/>
      </c>
      <c r="C71" s="8">
        <f>IF(B71="","",B71+$B$5)</f>
        <v/>
      </c>
      <c r="D71" s="8">
        <f>IF(B71="","",IF(B71&lt;- $B$5,"Left tangent",IF(B71&lt;=$B$6,"Cubic curve","Right tangent")))</f>
        <v/>
      </c>
      <c r="E71" s="9">
        <f>IF(B71="","",IF(B71&lt;- $B$5,$B$7,IF(B71&lt;=$B$6,100*(3*$F$12*(B71+$B$5)^2+2*$F$13*(B71+$B$5)+$F$6),$B$8)))</f>
        <v/>
      </c>
      <c r="F71" s="10">
        <f>IF(B71="","",IF(B71&lt;- $B$5,$F$6*B71,IF(B71&lt;=$B$6,$F$12*(B71+$B$5)^3+$F$13*(B71+$B$5)^2+$F$6*(B71+$B$5)+$F$8,$F$9+$F$7*(B71-$B$6))))</f>
        <v/>
      </c>
      <c r="G71" s="10">
        <f>IF(F71="","",$B$10+F71)</f>
        <v/>
      </c>
      <c r="H71" s="10">
        <f>IF(B71="","",$B$9+B71)</f>
        <v/>
      </c>
    </row>
    <row r="72">
      <c r="A72" s="8">
        <f>IF(B72="","",A71+1)</f>
        <v/>
      </c>
      <c r="B72" s="8">
        <f>IF(B71="","",IF(B71+$B$11&lt;=$B$6+1E-9,B71+$B$11,""))</f>
        <v/>
      </c>
      <c r="C72" s="8">
        <f>IF(B72="","",B72+$B$5)</f>
        <v/>
      </c>
      <c r="D72" s="8">
        <f>IF(B72="","",IF(B72&lt;- $B$5,"Left tangent",IF(B72&lt;=$B$6,"Cubic curve","Right tangent")))</f>
        <v/>
      </c>
      <c r="E72" s="9">
        <f>IF(B72="","",IF(B72&lt;- $B$5,$B$7,IF(B72&lt;=$B$6,100*(3*$F$12*(B72+$B$5)^2+2*$F$13*(B72+$B$5)+$F$6),$B$8)))</f>
        <v/>
      </c>
      <c r="F72" s="10">
        <f>IF(B72="","",IF(B72&lt;- $B$5,$F$6*B72,IF(B72&lt;=$B$6,$F$12*(B72+$B$5)^3+$F$13*(B72+$B$5)^2+$F$6*(B72+$B$5)+$F$8,$F$9+$F$7*(B72-$B$6))))</f>
        <v/>
      </c>
      <c r="G72" s="10">
        <f>IF(F72="","",$B$10+F72)</f>
        <v/>
      </c>
      <c r="H72" s="10">
        <f>IF(B72="","",$B$9+B72)</f>
        <v/>
      </c>
    </row>
    <row r="73">
      <c r="A73" s="8">
        <f>IF(B73="","",A72+1)</f>
        <v/>
      </c>
      <c r="B73" s="8">
        <f>IF(B72="","",IF(B72+$B$11&lt;=$B$6+1E-9,B72+$B$11,""))</f>
        <v/>
      </c>
      <c r="C73" s="8">
        <f>IF(B73="","",B73+$B$5)</f>
        <v/>
      </c>
      <c r="D73" s="8">
        <f>IF(B73="","",IF(B73&lt;- $B$5,"Left tangent",IF(B73&lt;=$B$6,"Cubic curve","Right tangent")))</f>
        <v/>
      </c>
      <c r="E73" s="9">
        <f>IF(B73="","",IF(B73&lt;- $B$5,$B$7,IF(B73&lt;=$B$6,100*(3*$F$12*(B73+$B$5)^2+2*$F$13*(B73+$B$5)+$F$6),$B$8)))</f>
        <v/>
      </c>
      <c r="F73" s="10">
        <f>IF(B73="","",IF(B73&lt;- $B$5,$F$6*B73,IF(B73&lt;=$B$6,$F$12*(B73+$B$5)^3+$F$13*(B73+$B$5)^2+$F$6*(B73+$B$5)+$F$8,$F$9+$F$7*(B73-$B$6))))</f>
        <v/>
      </c>
      <c r="G73" s="10">
        <f>IF(F73="","",$B$10+F73)</f>
        <v/>
      </c>
      <c r="H73" s="10">
        <f>IF(B73="","",$B$9+B73)</f>
        <v/>
      </c>
    </row>
    <row r="74">
      <c r="A74" s="8">
        <f>IF(B74="","",A73+1)</f>
        <v/>
      </c>
      <c r="B74" s="8">
        <f>IF(B73="","",IF(B73+$B$11&lt;=$B$6+1E-9,B73+$B$11,""))</f>
        <v/>
      </c>
      <c r="C74" s="8">
        <f>IF(B74="","",B74+$B$5)</f>
        <v/>
      </c>
      <c r="D74" s="8">
        <f>IF(B74="","",IF(B74&lt;- $B$5,"Left tangent",IF(B74&lt;=$B$6,"Cubic curve","Right tangent")))</f>
        <v/>
      </c>
      <c r="E74" s="9">
        <f>IF(B74="","",IF(B74&lt;- $B$5,$B$7,IF(B74&lt;=$B$6,100*(3*$F$12*(B74+$B$5)^2+2*$F$13*(B74+$B$5)+$F$6),$B$8)))</f>
        <v/>
      </c>
      <c r="F74" s="10">
        <f>IF(B74="","",IF(B74&lt;- $B$5,$F$6*B74,IF(B74&lt;=$B$6,$F$12*(B74+$B$5)^3+$F$13*(B74+$B$5)^2+$F$6*(B74+$B$5)+$F$8,$F$9+$F$7*(B74-$B$6))))</f>
        <v/>
      </c>
      <c r="G74" s="10">
        <f>IF(F74="","",$B$10+F74)</f>
        <v/>
      </c>
      <c r="H74" s="10">
        <f>IF(B74="","",$B$9+B74)</f>
        <v/>
      </c>
    </row>
    <row r="75">
      <c r="A75" s="8">
        <f>IF(B75="","",A74+1)</f>
        <v/>
      </c>
      <c r="B75" s="8">
        <f>IF(B74="","",IF(B74+$B$11&lt;=$B$6+1E-9,B74+$B$11,""))</f>
        <v/>
      </c>
      <c r="C75" s="8">
        <f>IF(B75="","",B75+$B$5)</f>
        <v/>
      </c>
      <c r="D75" s="8">
        <f>IF(B75="","",IF(B75&lt;- $B$5,"Left tangent",IF(B75&lt;=$B$6,"Cubic curve","Right tangent")))</f>
        <v/>
      </c>
      <c r="E75" s="9">
        <f>IF(B75="","",IF(B75&lt;- $B$5,$B$7,IF(B75&lt;=$B$6,100*(3*$F$12*(B75+$B$5)^2+2*$F$13*(B75+$B$5)+$F$6),$B$8)))</f>
        <v/>
      </c>
      <c r="F75" s="10">
        <f>IF(B75="","",IF(B75&lt;- $B$5,$F$6*B75,IF(B75&lt;=$B$6,$F$12*(B75+$B$5)^3+$F$13*(B75+$B$5)^2+$F$6*(B75+$B$5)+$F$8,$F$9+$F$7*(B75-$B$6))))</f>
        <v/>
      </c>
      <c r="G75" s="10">
        <f>IF(F75="","",$B$10+F75)</f>
        <v/>
      </c>
      <c r="H75" s="10">
        <f>IF(B75="","",$B$9+B75)</f>
        <v/>
      </c>
    </row>
    <row r="76">
      <c r="A76" s="8">
        <f>IF(B76="","",A75+1)</f>
        <v/>
      </c>
      <c r="B76" s="8">
        <f>IF(B75="","",IF(B75+$B$11&lt;=$B$6+1E-9,B75+$B$11,""))</f>
        <v/>
      </c>
      <c r="C76" s="8">
        <f>IF(B76="","",B76+$B$5)</f>
        <v/>
      </c>
      <c r="D76" s="8">
        <f>IF(B76="","",IF(B76&lt;- $B$5,"Left tangent",IF(B76&lt;=$B$6,"Cubic curve","Right tangent")))</f>
        <v/>
      </c>
      <c r="E76" s="9">
        <f>IF(B76="","",IF(B76&lt;- $B$5,$B$7,IF(B76&lt;=$B$6,100*(3*$F$12*(B76+$B$5)^2+2*$F$13*(B76+$B$5)+$F$6),$B$8)))</f>
        <v/>
      </c>
      <c r="F76" s="10">
        <f>IF(B76="","",IF(B76&lt;- $B$5,$F$6*B76,IF(B76&lt;=$B$6,$F$12*(B76+$B$5)^3+$F$13*(B76+$B$5)^2+$F$6*(B76+$B$5)+$F$8,$F$9+$F$7*(B76-$B$6))))</f>
        <v/>
      </c>
      <c r="G76" s="10">
        <f>IF(F76="","",$B$10+F76)</f>
        <v/>
      </c>
      <c r="H76" s="10">
        <f>IF(B76="","",$B$9+B76)</f>
        <v/>
      </c>
    </row>
    <row r="77">
      <c r="A77" s="8">
        <f>IF(B77="","",A76+1)</f>
        <v/>
      </c>
      <c r="B77" s="8">
        <f>IF(B76="","",IF(B76+$B$11&lt;=$B$6+1E-9,B76+$B$11,""))</f>
        <v/>
      </c>
      <c r="C77" s="8">
        <f>IF(B77="","",B77+$B$5)</f>
        <v/>
      </c>
      <c r="D77" s="8">
        <f>IF(B77="","",IF(B77&lt;- $B$5,"Left tangent",IF(B77&lt;=$B$6,"Cubic curve","Right tangent")))</f>
        <v/>
      </c>
      <c r="E77" s="9">
        <f>IF(B77="","",IF(B77&lt;- $B$5,$B$7,IF(B77&lt;=$B$6,100*(3*$F$12*(B77+$B$5)^2+2*$F$13*(B77+$B$5)+$F$6),$B$8)))</f>
        <v/>
      </c>
      <c r="F77" s="10">
        <f>IF(B77="","",IF(B77&lt;- $B$5,$F$6*B77,IF(B77&lt;=$B$6,$F$12*(B77+$B$5)^3+$F$13*(B77+$B$5)^2+$F$6*(B77+$B$5)+$F$8,$F$9+$F$7*(B77-$B$6))))</f>
        <v/>
      </c>
      <c r="G77" s="10">
        <f>IF(F77="","",$B$10+F77)</f>
        <v/>
      </c>
      <c r="H77" s="10">
        <f>IF(B77="","",$B$9+B77)</f>
        <v/>
      </c>
    </row>
    <row r="78">
      <c r="A78" s="8">
        <f>IF(B78="","",A77+1)</f>
        <v/>
      </c>
      <c r="B78" s="8">
        <f>IF(B77="","",IF(B77+$B$11&lt;=$B$6+1E-9,B77+$B$11,""))</f>
        <v/>
      </c>
      <c r="C78" s="8">
        <f>IF(B78="","",B78+$B$5)</f>
        <v/>
      </c>
      <c r="D78" s="8">
        <f>IF(B78="","",IF(B78&lt;- $B$5,"Left tangent",IF(B78&lt;=$B$6,"Cubic curve","Right tangent")))</f>
        <v/>
      </c>
      <c r="E78" s="9">
        <f>IF(B78="","",IF(B78&lt;- $B$5,$B$7,IF(B78&lt;=$B$6,100*(3*$F$12*(B78+$B$5)^2+2*$F$13*(B78+$B$5)+$F$6),$B$8)))</f>
        <v/>
      </c>
      <c r="F78" s="10">
        <f>IF(B78="","",IF(B78&lt;- $B$5,$F$6*B78,IF(B78&lt;=$B$6,$F$12*(B78+$B$5)^3+$F$13*(B78+$B$5)^2+$F$6*(B78+$B$5)+$F$8,$F$9+$F$7*(B78-$B$6))))</f>
        <v/>
      </c>
      <c r="G78" s="10">
        <f>IF(F78="","",$B$10+F78)</f>
        <v/>
      </c>
      <c r="H78" s="10">
        <f>IF(B78="","",$B$9+B78)</f>
        <v/>
      </c>
    </row>
    <row r="79">
      <c r="A79" s="8">
        <f>IF(B79="","",A78+1)</f>
        <v/>
      </c>
      <c r="B79" s="8">
        <f>IF(B78="","",IF(B78+$B$11&lt;=$B$6+1E-9,B78+$B$11,""))</f>
        <v/>
      </c>
      <c r="C79" s="8">
        <f>IF(B79="","",B79+$B$5)</f>
        <v/>
      </c>
      <c r="D79" s="8">
        <f>IF(B79="","",IF(B79&lt;- $B$5,"Left tangent",IF(B79&lt;=$B$6,"Cubic curve","Right tangent")))</f>
        <v/>
      </c>
      <c r="E79" s="9">
        <f>IF(B79="","",IF(B79&lt;- $B$5,$B$7,IF(B79&lt;=$B$6,100*(3*$F$12*(B79+$B$5)^2+2*$F$13*(B79+$B$5)+$F$6),$B$8)))</f>
        <v/>
      </c>
      <c r="F79" s="10">
        <f>IF(B79="","",IF(B79&lt;- $B$5,$F$6*B79,IF(B79&lt;=$B$6,$F$12*(B79+$B$5)^3+$F$13*(B79+$B$5)^2+$F$6*(B79+$B$5)+$F$8,$F$9+$F$7*(B79-$B$6))))</f>
        <v/>
      </c>
      <c r="G79" s="10">
        <f>IF(F79="","",$B$10+F79)</f>
        <v/>
      </c>
      <c r="H79" s="10">
        <f>IF(B79="","",$B$9+B79)</f>
        <v/>
      </c>
    </row>
    <row r="80">
      <c r="A80" s="8">
        <f>IF(B80="","",A79+1)</f>
        <v/>
      </c>
      <c r="B80" s="8">
        <f>IF(B79="","",IF(B79+$B$11&lt;=$B$6+1E-9,B79+$B$11,""))</f>
        <v/>
      </c>
      <c r="C80" s="8">
        <f>IF(B80="","",B80+$B$5)</f>
        <v/>
      </c>
      <c r="D80" s="8">
        <f>IF(B80="","",IF(B80&lt;- $B$5,"Left tangent",IF(B80&lt;=$B$6,"Cubic curve","Right tangent")))</f>
        <v/>
      </c>
      <c r="E80" s="9">
        <f>IF(B80="","",IF(B80&lt;- $B$5,$B$7,IF(B80&lt;=$B$6,100*(3*$F$12*(B80+$B$5)^2+2*$F$13*(B80+$B$5)+$F$6),$B$8)))</f>
        <v/>
      </c>
      <c r="F80" s="10">
        <f>IF(B80="","",IF(B80&lt;- $B$5,$F$6*B80,IF(B80&lt;=$B$6,$F$12*(B80+$B$5)^3+$F$13*(B80+$B$5)^2+$F$6*(B80+$B$5)+$F$8,$F$9+$F$7*(B80-$B$6))))</f>
        <v/>
      </c>
      <c r="G80" s="10">
        <f>IF(F80="","",$B$10+F80)</f>
        <v/>
      </c>
      <c r="H80" s="10">
        <f>IF(B80="","",$B$9+B80)</f>
        <v/>
      </c>
    </row>
    <row r="81">
      <c r="A81" s="8">
        <f>IF(B81="","",A80+1)</f>
        <v/>
      </c>
      <c r="B81" s="8">
        <f>IF(B80="","",IF(B80+$B$11&lt;=$B$6+1E-9,B80+$B$11,""))</f>
        <v/>
      </c>
      <c r="C81" s="8">
        <f>IF(B81="","",B81+$B$5)</f>
        <v/>
      </c>
      <c r="D81" s="8">
        <f>IF(B81="","",IF(B81&lt;- $B$5,"Left tangent",IF(B81&lt;=$B$6,"Cubic curve","Right tangent")))</f>
        <v/>
      </c>
      <c r="E81" s="9">
        <f>IF(B81="","",IF(B81&lt;- $B$5,$B$7,IF(B81&lt;=$B$6,100*(3*$F$12*(B81+$B$5)^2+2*$F$13*(B81+$B$5)+$F$6),$B$8)))</f>
        <v/>
      </c>
      <c r="F81" s="10">
        <f>IF(B81="","",IF(B81&lt;- $B$5,$F$6*B81,IF(B81&lt;=$B$6,$F$12*(B81+$B$5)^3+$F$13*(B81+$B$5)^2+$F$6*(B81+$B$5)+$F$8,$F$9+$F$7*(B81-$B$6))))</f>
        <v/>
      </c>
      <c r="G81" s="10">
        <f>IF(F81="","",$B$10+F81)</f>
        <v/>
      </c>
      <c r="H81" s="10">
        <f>IF(B81="","",$B$9+B81)</f>
        <v/>
      </c>
    </row>
    <row r="82">
      <c r="A82" s="8">
        <f>IF(B82="","",A81+1)</f>
        <v/>
      </c>
      <c r="B82" s="8">
        <f>IF(B81="","",IF(B81+$B$11&lt;=$B$6+1E-9,B81+$B$11,""))</f>
        <v/>
      </c>
      <c r="C82" s="8">
        <f>IF(B82="","",B82+$B$5)</f>
        <v/>
      </c>
      <c r="D82" s="8">
        <f>IF(B82="","",IF(B82&lt;- $B$5,"Left tangent",IF(B82&lt;=$B$6,"Cubic curve","Right tangent")))</f>
        <v/>
      </c>
      <c r="E82" s="9">
        <f>IF(B82="","",IF(B82&lt;- $B$5,$B$7,IF(B82&lt;=$B$6,100*(3*$F$12*(B82+$B$5)^2+2*$F$13*(B82+$B$5)+$F$6),$B$8)))</f>
        <v/>
      </c>
      <c r="F82" s="10">
        <f>IF(B82="","",IF(B82&lt;- $B$5,$F$6*B82,IF(B82&lt;=$B$6,$F$12*(B82+$B$5)^3+$F$13*(B82+$B$5)^2+$F$6*(B82+$B$5)+$F$8,$F$9+$F$7*(B82-$B$6))))</f>
        <v/>
      </c>
      <c r="G82" s="10">
        <f>IF(F82="","",$B$10+F82)</f>
        <v/>
      </c>
      <c r="H82" s="10">
        <f>IF(B82="","",$B$9+B82)</f>
        <v/>
      </c>
    </row>
    <row r="83">
      <c r="A83" s="8">
        <f>IF(B83="","",A82+1)</f>
        <v/>
      </c>
      <c r="B83" s="8">
        <f>IF(B82="","",IF(B82+$B$11&lt;=$B$6+1E-9,B82+$B$11,""))</f>
        <v/>
      </c>
      <c r="C83" s="8">
        <f>IF(B83="","",B83+$B$5)</f>
        <v/>
      </c>
      <c r="D83" s="8">
        <f>IF(B83="","",IF(B83&lt;- $B$5,"Left tangent",IF(B83&lt;=$B$6,"Cubic curve","Right tangent")))</f>
        <v/>
      </c>
      <c r="E83" s="9">
        <f>IF(B83="","",IF(B83&lt;- $B$5,$B$7,IF(B83&lt;=$B$6,100*(3*$F$12*(B83+$B$5)^2+2*$F$13*(B83+$B$5)+$F$6),$B$8)))</f>
        <v/>
      </c>
      <c r="F83" s="10">
        <f>IF(B83="","",IF(B83&lt;- $B$5,$F$6*B83,IF(B83&lt;=$B$6,$F$12*(B83+$B$5)^3+$F$13*(B83+$B$5)^2+$F$6*(B83+$B$5)+$F$8,$F$9+$F$7*(B83-$B$6))))</f>
        <v/>
      </c>
      <c r="G83" s="10">
        <f>IF(F83="","",$B$10+F83)</f>
        <v/>
      </c>
      <c r="H83" s="10">
        <f>IF(B83="","",$B$9+B83)</f>
        <v/>
      </c>
    </row>
    <row r="84">
      <c r="A84" s="8">
        <f>IF(B84="","",A83+1)</f>
        <v/>
      </c>
      <c r="B84" s="8">
        <f>IF(B83="","",IF(B83+$B$11&lt;=$B$6+1E-9,B83+$B$11,""))</f>
        <v/>
      </c>
      <c r="C84" s="8">
        <f>IF(B84="","",B84+$B$5)</f>
        <v/>
      </c>
      <c r="D84" s="8">
        <f>IF(B84="","",IF(B84&lt;- $B$5,"Left tangent",IF(B84&lt;=$B$6,"Cubic curve","Right tangent")))</f>
        <v/>
      </c>
      <c r="E84" s="9">
        <f>IF(B84="","",IF(B84&lt;- $B$5,$B$7,IF(B84&lt;=$B$6,100*(3*$F$12*(B84+$B$5)^2+2*$F$13*(B84+$B$5)+$F$6),$B$8)))</f>
        <v/>
      </c>
      <c r="F84" s="10">
        <f>IF(B84="","",IF(B84&lt;- $B$5,$F$6*B84,IF(B84&lt;=$B$6,$F$12*(B84+$B$5)^3+$F$13*(B84+$B$5)^2+$F$6*(B84+$B$5)+$F$8,$F$9+$F$7*(B84-$B$6))))</f>
        <v/>
      </c>
      <c r="G84" s="10">
        <f>IF(F84="","",$B$10+F84)</f>
        <v/>
      </c>
      <c r="H84" s="10">
        <f>IF(B84="","",$B$9+B84)</f>
        <v/>
      </c>
    </row>
    <row r="85">
      <c r="A85" s="8">
        <f>IF(B85="","",A84+1)</f>
        <v/>
      </c>
      <c r="B85" s="8">
        <f>IF(B84="","",IF(B84+$B$11&lt;=$B$6+1E-9,B84+$B$11,""))</f>
        <v/>
      </c>
      <c r="C85" s="8">
        <f>IF(B85="","",B85+$B$5)</f>
        <v/>
      </c>
      <c r="D85" s="8">
        <f>IF(B85="","",IF(B85&lt;- $B$5,"Left tangent",IF(B85&lt;=$B$6,"Cubic curve","Right tangent")))</f>
        <v/>
      </c>
      <c r="E85" s="9">
        <f>IF(B85="","",IF(B85&lt;- $B$5,$B$7,IF(B85&lt;=$B$6,100*(3*$F$12*(B85+$B$5)^2+2*$F$13*(B85+$B$5)+$F$6),$B$8)))</f>
        <v/>
      </c>
      <c r="F85" s="10">
        <f>IF(B85="","",IF(B85&lt;- $B$5,$F$6*B85,IF(B85&lt;=$B$6,$F$12*(B85+$B$5)^3+$F$13*(B85+$B$5)^2+$F$6*(B85+$B$5)+$F$8,$F$9+$F$7*(B85-$B$6))))</f>
        <v/>
      </c>
      <c r="G85" s="10">
        <f>IF(F85="","",$B$10+F85)</f>
        <v/>
      </c>
      <c r="H85" s="10">
        <f>IF(B85="","",$B$9+B85)</f>
        <v/>
      </c>
    </row>
    <row r="86">
      <c r="A86" s="8">
        <f>IF(B86="","",A85+1)</f>
        <v/>
      </c>
      <c r="B86" s="8">
        <f>IF(B85="","",IF(B85+$B$11&lt;=$B$6+1E-9,B85+$B$11,""))</f>
        <v/>
      </c>
      <c r="C86" s="8">
        <f>IF(B86="","",B86+$B$5)</f>
        <v/>
      </c>
      <c r="D86" s="8">
        <f>IF(B86="","",IF(B86&lt;- $B$5,"Left tangent",IF(B86&lt;=$B$6,"Cubic curve","Right tangent")))</f>
        <v/>
      </c>
      <c r="E86" s="9">
        <f>IF(B86="","",IF(B86&lt;- $B$5,$B$7,IF(B86&lt;=$B$6,100*(3*$F$12*(B86+$B$5)^2+2*$F$13*(B86+$B$5)+$F$6),$B$8)))</f>
        <v/>
      </c>
      <c r="F86" s="10">
        <f>IF(B86="","",IF(B86&lt;- $B$5,$F$6*B86,IF(B86&lt;=$B$6,$F$12*(B86+$B$5)^3+$F$13*(B86+$B$5)^2+$F$6*(B86+$B$5)+$F$8,$F$9+$F$7*(B86-$B$6))))</f>
        <v/>
      </c>
      <c r="G86" s="10">
        <f>IF(F86="","",$B$10+F86)</f>
        <v/>
      </c>
      <c r="H86" s="10">
        <f>IF(B86="","",$B$9+B86)</f>
        <v/>
      </c>
    </row>
    <row r="87">
      <c r="A87" s="8">
        <f>IF(B87="","",A86+1)</f>
        <v/>
      </c>
      <c r="B87" s="8">
        <f>IF(B86="","",IF(B86+$B$11&lt;=$B$6+1E-9,B86+$B$11,""))</f>
        <v/>
      </c>
      <c r="C87" s="8">
        <f>IF(B87="","",B87+$B$5)</f>
        <v/>
      </c>
      <c r="D87" s="8">
        <f>IF(B87="","",IF(B87&lt;- $B$5,"Left tangent",IF(B87&lt;=$B$6,"Cubic curve","Right tangent")))</f>
        <v/>
      </c>
      <c r="E87" s="9">
        <f>IF(B87="","",IF(B87&lt;- $B$5,$B$7,IF(B87&lt;=$B$6,100*(3*$F$12*(B87+$B$5)^2+2*$F$13*(B87+$B$5)+$F$6),$B$8)))</f>
        <v/>
      </c>
      <c r="F87" s="10">
        <f>IF(B87="","",IF(B87&lt;- $B$5,$F$6*B87,IF(B87&lt;=$B$6,$F$12*(B87+$B$5)^3+$F$13*(B87+$B$5)^2+$F$6*(B87+$B$5)+$F$8,$F$9+$F$7*(B87-$B$6))))</f>
        <v/>
      </c>
      <c r="G87" s="10">
        <f>IF(F87="","",$B$10+F87)</f>
        <v/>
      </c>
      <c r="H87" s="10">
        <f>IF(B87="","",$B$9+B87)</f>
        <v/>
      </c>
    </row>
    <row r="88">
      <c r="A88" s="8">
        <f>IF(B88="","",A87+1)</f>
        <v/>
      </c>
      <c r="B88" s="8">
        <f>IF(B87="","",IF(B87+$B$11&lt;=$B$6+1E-9,B87+$B$11,""))</f>
        <v/>
      </c>
      <c r="C88" s="8">
        <f>IF(B88="","",B88+$B$5)</f>
        <v/>
      </c>
      <c r="D88" s="8">
        <f>IF(B88="","",IF(B88&lt;- $B$5,"Left tangent",IF(B88&lt;=$B$6,"Cubic curve","Right tangent")))</f>
        <v/>
      </c>
      <c r="E88" s="9">
        <f>IF(B88="","",IF(B88&lt;- $B$5,$B$7,IF(B88&lt;=$B$6,100*(3*$F$12*(B88+$B$5)^2+2*$F$13*(B88+$B$5)+$F$6),$B$8)))</f>
        <v/>
      </c>
      <c r="F88" s="10">
        <f>IF(B88="","",IF(B88&lt;- $B$5,$F$6*B88,IF(B88&lt;=$B$6,$F$12*(B88+$B$5)^3+$F$13*(B88+$B$5)^2+$F$6*(B88+$B$5)+$F$8,$F$9+$F$7*(B88-$B$6))))</f>
        <v/>
      </c>
      <c r="G88" s="10">
        <f>IF(F88="","",$B$10+F88)</f>
        <v/>
      </c>
      <c r="H88" s="10">
        <f>IF(B88="","",$B$9+B88)</f>
        <v/>
      </c>
    </row>
    <row r="89">
      <c r="A89" s="8">
        <f>IF(B89="","",A88+1)</f>
        <v/>
      </c>
      <c r="B89" s="8">
        <f>IF(B88="","",IF(B88+$B$11&lt;=$B$6+1E-9,B88+$B$11,""))</f>
        <v/>
      </c>
      <c r="C89" s="8">
        <f>IF(B89="","",B89+$B$5)</f>
        <v/>
      </c>
      <c r="D89" s="8">
        <f>IF(B89="","",IF(B89&lt;- $B$5,"Left tangent",IF(B89&lt;=$B$6,"Cubic curve","Right tangent")))</f>
        <v/>
      </c>
      <c r="E89" s="9">
        <f>IF(B89="","",IF(B89&lt;- $B$5,$B$7,IF(B89&lt;=$B$6,100*(3*$F$12*(B89+$B$5)^2+2*$F$13*(B89+$B$5)+$F$6),$B$8)))</f>
        <v/>
      </c>
      <c r="F89" s="10">
        <f>IF(B89="","",IF(B89&lt;- $B$5,$F$6*B89,IF(B89&lt;=$B$6,$F$12*(B89+$B$5)^3+$F$13*(B89+$B$5)^2+$F$6*(B89+$B$5)+$F$8,$F$9+$F$7*(B89-$B$6))))</f>
        <v/>
      </c>
      <c r="G89" s="10">
        <f>IF(F89="","",$B$10+F89)</f>
        <v/>
      </c>
      <c r="H89" s="10">
        <f>IF(B89="","",$B$9+B89)</f>
        <v/>
      </c>
    </row>
    <row r="90">
      <c r="A90" s="8">
        <f>IF(B90="","",A89+1)</f>
        <v/>
      </c>
      <c r="B90" s="8">
        <f>IF(B89="","",IF(B89+$B$11&lt;=$B$6+1E-9,B89+$B$11,""))</f>
        <v/>
      </c>
      <c r="C90" s="8">
        <f>IF(B90="","",B90+$B$5)</f>
        <v/>
      </c>
      <c r="D90" s="8">
        <f>IF(B90="","",IF(B90&lt;- $B$5,"Left tangent",IF(B90&lt;=$B$6,"Cubic curve","Right tangent")))</f>
        <v/>
      </c>
      <c r="E90" s="9">
        <f>IF(B90="","",IF(B90&lt;- $B$5,$B$7,IF(B90&lt;=$B$6,100*(3*$F$12*(B90+$B$5)^2+2*$F$13*(B90+$B$5)+$F$6),$B$8)))</f>
        <v/>
      </c>
      <c r="F90" s="10">
        <f>IF(B90="","",IF(B90&lt;- $B$5,$F$6*B90,IF(B90&lt;=$B$6,$F$12*(B90+$B$5)^3+$F$13*(B90+$B$5)^2+$F$6*(B90+$B$5)+$F$8,$F$9+$F$7*(B90-$B$6))))</f>
        <v/>
      </c>
      <c r="G90" s="10">
        <f>IF(F90="","",$B$10+F90)</f>
        <v/>
      </c>
      <c r="H90" s="10">
        <f>IF(B90="","",$B$9+B90)</f>
        <v/>
      </c>
    </row>
    <row r="91">
      <c r="A91" s="8">
        <f>IF(B91="","",A90+1)</f>
        <v/>
      </c>
      <c r="B91" s="8">
        <f>IF(B90="","",IF(B90+$B$11&lt;=$B$6+1E-9,B90+$B$11,""))</f>
        <v/>
      </c>
      <c r="C91" s="8">
        <f>IF(B91="","",B91+$B$5)</f>
        <v/>
      </c>
      <c r="D91" s="8">
        <f>IF(B91="","",IF(B91&lt;- $B$5,"Left tangent",IF(B91&lt;=$B$6,"Cubic curve","Right tangent")))</f>
        <v/>
      </c>
      <c r="E91" s="9">
        <f>IF(B91="","",IF(B91&lt;- $B$5,$B$7,IF(B91&lt;=$B$6,100*(3*$F$12*(B91+$B$5)^2+2*$F$13*(B91+$B$5)+$F$6),$B$8)))</f>
        <v/>
      </c>
      <c r="F91" s="10">
        <f>IF(B91="","",IF(B91&lt;- $B$5,$F$6*B91,IF(B91&lt;=$B$6,$F$12*(B91+$B$5)^3+$F$13*(B91+$B$5)^2+$F$6*(B91+$B$5)+$F$8,$F$9+$F$7*(B91-$B$6))))</f>
        <v/>
      </c>
      <c r="G91" s="10">
        <f>IF(F91="","",$B$10+F91)</f>
        <v/>
      </c>
      <c r="H91" s="10">
        <f>IF(B91="","",$B$9+B91)</f>
        <v/>
      </c>
    </row>
    <row r="92">
      <c r="A92" s="8">
        <f>IF(B92="","",A91+1)</f>
        <v/>
      </c>
      <c r="B92" s="8">
        <f>IF(B91="","",IF(B91+$B$11&lt;=$B$6+1E-9,B91+$B$11,""))</f>
        <v/>
      </c>
      <c r="C92" s="8">
        <f>IF(B92="","",B92+$B$5)</f>
        <v/>
      </c>
      <c r="D92" s="8">
        <f>IF(B92="","",IF(B92&lt;- $B$5,"Left tangent",IF(B92&lt;=$B$6,"Cubic curve","Right tangent")))</f>
        <v/>
      </c>
      <c r="E92" s="9">
        <f>IF(B92="","",IF(B92&lt;- $B$5,$B$7,IF(B92&lt;=$B$6,100*(3*$F$12*(B92+$B$5)^2+2*$F$13*(B92+$B$5)+$F$6),$B$8)))</f>
        <v/>
      </c>
      <c r="F92" s="10">
        <f>IF(B92="","",IF(B92&lt;- $B$5,$F$6*B92,IF(B92&lt;=$B$6,$F$12*(B92+$B$5)^3+$F$13*(B92+$B$5)^2+$F$6*(B92+$B$5)+$F$8,$F$9+$F$7*(B92-$B$6))))</f>
        <v/>
      </c>
      <c r="G92" s="10">
        <f>IF(F92="","",$B$10+F92)</f>
        <v/>
      </c>
      <c r="H92" s="10">
        <f>IF(B92="","",$B$9+B92)</f>
        <v/>
      </c>
    </row>
    <row r="93">
      <c r="A93" s="8">
        <f>IF(B93="","",A92+1)</f>
        <v/>
      </c>
      <c r="B93" s="8">
        <f>IF(B92="","",IF(B92+$B$11&lt;=$B$6+1E-9,B92+$B$11,""))</f>
        <v/>
      </c>
      <c r="C93" s="8">
        <f>IF(B93="","",B93+$B$5)</f>
        <v/>
      </c>
      <c r="D93" s="8">
        <f>IF(B93="","",IF(B93&lt;- $B$5,"Left tangent",IF(B93&lt;=$B$6,"Cubic curve","Right tangent")))</f>
        <v/>
      </c>
      <c r="E93" s="9">
        <f>IF(B93="","",IF(B93&lt;- $B$5,$B$7,IF(B93&lt;=$B$6,100*(3*$F$12*(B93+$B$5)^2+2*$F$13*(B93+$B$5)+$F$6),$B$8)))</f>
        <v/>
      </c>
      <c r="F93" s="10">
        <f>IF(B93="","",IF(B93&lt;- $B$5,$F$6*B93,IF(B93&lt;=$B$6,$F$12*(B93+$B$5)^3+$F$13*(B93+$B$5)^2+$F$6*(B93+$B$5)+$F$8,$F$9+$F$7*(B93-$B$6))))</f>
        <v/>
      </c>
      <c r="G93" s="10">
        <f>IF(F93="","",$B$10+F93)</f>
        <v/>
      </c>
      <c r="H93" s="10">
        <f>IF(B93="","",$B$9+B93)</f>
        <v/>
      </c>
    </row>
    <row r="94">
      <c r="A94" s="8">
        <f>IF(B94="","",A93+1)</f>
        <v/>
      </c>
      <c r="B94" s="8">
        <f>IF(B93="","",IF(B93+$B$11&lt;=$B$6+1E-9,B93+$B$11,""))</f>
        <v/>
      </c>
      <c r="C94" s="8">
        <f>IF(B94="","",B94+$B$5)</f>
        <v/>
      </c>
      <c r="D94" s="8">
        <f>IF(B94="","",IF(B94&lt;- $B$5,"Left tangent",IF(B94&lt;=$B$6,"Cubic curve","Right tangent")))</f>
        <v/>
      </c>
      <c r="E94" s="9">
        <f>IF(B94="","",IF(B94&lt;- $B$5,$B$7,IF(B94&lt;=$B$6,100*(3*$F$12*(B94+$B$5)^2+2*$F$13*(B94+$B$5)+$F$6),$B$8)))</f>
        <v/>
      </c>
      <c r="F94" s="10">
        <f>IF(B94="","",IF(B94&lt;- $B$5,$F$6*B94,IF(B94&lt;=$B$6,$F$12*(B94+$B$5)^3+$F$13*(B94+$B$5)^2+$F$6*(B94+$B$5)+$F$8,$F$9+$F$7*(B94-$B$6))))</f>
        <v/>
      </c>
      <c r="G94" s="10">
        <f>IF(F94="","",$B$10+F94)</f>
        <v/>
      </c>
      <c r="H94" s="10">
        <f>IF(B94="","",$B$9+B94)</f>
        <v/>
      </c>
    </row>
    <row r="95">
      <c r="A95" s="8">
        <f>IF(B95="","",A94+1)</f>
        <v/>
      </c>
      <c r="B95" s="8">
        <f>IF(B94="","",IF(B94+$B$11&lt;=$B$6+1E-9,B94+$B$11,""))</f>
        <v/>
      </c>
      <c r="C95" s="8">
        <f>IF(B95="","",B95+$B$5)</f>
        <v/>
      </c>
      <c r="D95" s="8">
        <f>IF(B95="","",IF(B95&lt;- $B$5,"Left tangent",IF(B95&lt;=$B$6,"Cubic curve","Right tangent")))</f>
        <v/>
      </c>
      <c r="E95" s="9">
        <f>IF(B95="","",IF(B95&lt;- $B$5,$B$7,IF(B95&lt;=$B$6,100*(3*$F$12*(B95+$B$5)^2+2*$F$13*(B95+$B$5)+$F$6),$B$8)))</f>
        <v/>
      </c>
      <c r="F95" s="10">
        <f>IF(B95="","",IF(B95&lt;- $B$5,$F$6*B95,IF(B95&lt;=$B$6,$F$12*(B95+$B$5)^3+$F$13*(B95+$B$5)^2+$F$6*(B95+$B$5)+$F$8,$F$9+$F$7*(B95-$B$6))))</f>
        <v/>
      </c>
      <c r="G95" s="10">
        <f>IF(F95="","",$B$10+F95)</f>
        <v/>
      </c>
      <c r="H95" s="10">
        <f>IF(B95="","",$B$9+B95)</f>
        <v/>
      </c>
    </row>
    <row r="96">
      <c r="A96" s="8">
        <f>IF(B96="","",A95+1)</f>
        <v/>
      </c>
      <c r="B96" s="8">
        <f>IF(B95="","",IF(B95+$B$11&lt;=$B$6+1E-9,B95+$B$11,""))</f>
        <v/>
      </c>
      <c r="C96" s="8">
        <f>IF(B96="","",B96+$B$5)</f>
        <v/>
      </c>
      <c r="D96" s="8">
        <f>IF(B96="","",IF(B96&lt;- $B$5,"Left tangent",IF(B96&lt;=$B$6,"Cubic curve","Right tangent")))</f>
        <v/>
      </c>
      <c r="E96" s="9">
        <f>IF(B96="","",IF(B96&lt;- $B$5,$B$7,IF(B96&lt;=$B$6,100*(3*$F$12*(B96+$B$5)^2+2*$F$13*(B96+$B$5)+$F$6),$B$8)))</f>
        <v/>
      </c>
      <c r="F96" s="10">
        <f>IF(B96="","",IF(B96&lt;- $B$5,$F$6*B96,IF(B96&lt;=$B$6,$F$12*(B96+$B$5)^3+$F$13*(B96+$B$5)^2+$F$6*(B96+$B$5)+$F$8,$F$9+$F$7*(B96-$B$6))))</f>
        <v/>
      </c>
      <c r="G96" s="10">
        <f>IF(F96="","",$B$10+F96)</f>
        <v/>
      </c>
      <c r="H96" s="10">
        <f>IF(B96="","",$B$9+B96)</f>
        <v/>
      </c>
    </row>
    <row r="97">
      <c r="A97" s="8">
        <f>IF(B97="","",A96+1)</f>
        <v/>
      </c>
      <c r="B97" s="8">
        <f>IF(B96="","",IF(B96+$B$11&lt;=$B$6+1E-9,B96+$B$11,""))</f>
        <v/>
      </c>
      <c r="C97" s="8">
        <f>IF(B97="","",B97+$B$5)</f>
        <v/>
      </c>
      <c r="D97" s="8">
        <f>IF(B97="","",IF(B97&lt;- $B$5,"Left tangent",IF(B97&lt;=$B$6,"Cubic curve","Right tangent")))</f>
        <v/>
      </c>
      <c r="E97" s="9">
        <f>IF(B97="","",IF(B97&lt;- $B$5,$B$7,IF(B97&lt;=$B$6,100*(3*$F$12*(B97+$B$5)^2+2*$F$13*(B97+$B$5)+$F$6),$B$8)))</f>
        <v/>
      </c>
      <c r="F97" s="10">
        <f>IF(B97="","",IF(B97&lt;- $B$5,$F$6*B97,IF(B97&lt;=$B$6,$F$12*(B97+$B$5)^3+$F$13*(B97+$B$5)^2+$F$6*(B97+$B$5)+$F$8,$F$9+$F$7*(B97-$B$6))))</f>
        <v/>
      </c>
      <c r="G97" s="10">
        <f>IF(F97="","",$B$10+F97)</f>
        <v/>
      </c>
      <c r="H97" s="10">
        <f>IF(B97="","",$B$9+B97)</f>
        <v/>
      </c>
    </row>
    <row r="98">
      <c r="A98" s="8">
        <f>IF(B98="","",A97+1)</f>
        <v/>
      </c>
      <c r="B98" s="8">
        <f>IF(B97="","",IF(B97+$B$11&lt;=$B$6+1E-9,B97+$B$11,""))</f>
        <v/>
      </c>
      <c r="C98" s="8">
        <f>IF(B98="","",B98+$B$5)</f>
        <v/>
      </c>
      <c r="D98" s="8">
        <f>IF(B98="","",IF(B98&lt;- $B$5,"Left tangent",IF(B98&lt;=$B$6,"Cubic curve","Right tangent")))</f>
        <v/>
      </c>
      <c r="E98" s="9">
        <f>IF(B98="","",IF(B98&lt;- $B$5,$B$7,IF(B98&lt;=$B$6,100*(3*$F$12*(B98+$B$5)^2+2*$F$13*(B98+$B$5)+$F$6),$B$8)))</f>
        <v/>
      </c>
      <c r="F98" s="10">
        <f>IF(B98="","",IF(B98&lt;- $B$5,$F$6*B98,IF(B98&lt;=$B$6,$F$12*(B98+$B$5)^3+$F$13*(B98+$B$5)^2+$F$6*(B98+$B$5)+$F$8,$F$9+$F$7*(B98-$B$6))))</f>
        <v/>
      </c>
      <c r="G98" s="10">
        <f>IF(F98="","",$B$10+F98)</f>
        <v/>
      </c>
      <c r="H98" s="10">
        <f>IF(B98="","",$B$9+B98)</f>
        <v/>
      </c>
    </row>
    <row r="99">
      <c r="A99" s="8">
        <f>IF(B99="","",A98+1)</f>
        <v/>
      </c>
      <c r="B99" s="8">
        <f>IF(B98="","",IF(B98+$B$11&lt;=$B$6+1E-9,B98+$B$11,""))</f>
        <v/>
      </c>
      <c r="C99" s="8">
        <f>IF(B99="","",B99+$B$5)</f>
        <v/>
      </c>
      <c r="D99" s="8">
        <f>IF(B99="","",IF(B99&lt;- $B$5,"Left tangent",IF(B99&lt;=$B$6,"Cubic curve","Right tangent")))</f>
        <v/>
      </c>
      <c r="E99" s="9">
        <f>IF(B99="","",IF(B99&lt;- $B$5,$B$7,IF(B99&lt;=$B$6,100*(3*$F$12*(B99+$B$5)^2+2*$F$13*(B99+$B$5)+$F$6),$B$8)))</f>
        <v/>
      </c>
      <c r="F99" s="10">
        <f>IF(B99="","",IF(B99&lt;- $B$5,$F$6*B99,IF(B99&lt;=$B$6,$F$12*(B99+$B$5)^3+$F$13*(B99+$B$5)^2+$F$6*(B99+$B$5)+$F$8,$F$9+$F$7*(B99-$B$6))))</f>
        <v/>
      </c>
      <c r="G99" s="10">
        <f>IF(F99="","",$B$10+F99)</f>
        <v/>
      </c>
      <c r="H99" s="10">
        <f>IF(B99="","",$B$9+B99)</f>
        <v/>
      </c>
    </row>
    <row r="100">
      <c r="A100" s="8">
        <f>IF(B100="","",A99+1)</f>
        <v/>
      </c>
      <c r="B100" s="8">
        <f>IF(B99="","",IF(B99+$B$11&lt;=$B$6+1E-9,B99+$B$11,""))</f>
        <v/>
      </c>
      <c r="C100" s="8">
        <f>IF(B100="","",B100+$B$5)</f>
        <v/>
      </c>
      <c r="D100" s="8">
        <f>IF(B100="","",IF(B100&lt;- $B$5,"Left tangent",IF(B100&lt;=$B$6,"Cubic curve","Right tangent")))</f>
        <v/>
      </c>
      <c r="E100" s="9">
        <f>IF(B100="","",IF(B100&lt;- $B$5,$B$7,IF(B100&lt;=$B$6,100*(3*$F$12*(B100+$B$5)^2+2*$F$13*(B100+$B$5)+$F$6),$B$8)))</f>
        <v/>
      </c>
      <c r="F100" s="10">
        <f>IF(B100="","",IF(B100&lt;- $B$5,$F$6*B100,IF(B100&lt;=$B$6,$F$12*(B100+$B$5)^3+$F$13*(B100+$B$5)^2+$F$6*(B100+$B$5)+$F$8,$F$9+$F$7*(B100-$B$6))))</f>
        <v/>
      </c>
      <c r="G100" s="10">
        <f>IF(F100="","",$B$10+F100)</f>
        <v/>
      </c>
      <c r="H100" s="10">
        <f>IF(B100="","",$B$9+B100)</f>
        <v/>
      </c>
    </row>
    <row r="101">
      <c r="A101" s="8">
        <f>IF(B101="","",A100+1)</f>
        <v/>
      </c>
      <c r="B101" s="8">
        <f>IF(B100="","",IF(B100+$B$11&lt;=$B$6+1E-9,B100+$B$11,""))</f>
        <v/>
      </c>
      <c r="C101" s="8">
        <f>IF(B101="","",B101+$B$5)</f>
        <v/>
      </c>
      <c r="D101" s="8">
        <f>IF(B101="","",IF(B101&lt;- $B$5,"Left tangent",IF(B101&lt;=$B$6,"Cubic curve","Right tangent")))</f>
        <v/>
      </c>
      <c r="E101" s="9">
        <f>IF(B101="","",IF(B101&lt;- $B$5,$B$7,IF(B101&lt;=$B$6,100*(3*$F$12*(B101+$B$5)^2+2*$F$13*(B101+$B$5)+$F$6),$B$8)))</f>
        <v/>
      </c>
      <c r="F101" s="10">
        <f>IF(B101="","",IF(B101&lt;- $B$5,$F$6*B101,IF(B101&lt;=$B$6,$F$12*(B101+$B$5)^3+$F$13*(B101+$B$5)^2+$F$6*(B101+$B$5)+$F$8,$F$9+$F$7*(B101-$B$6))))</f>
        <v/>
      </c>
      <c r="G101" s="10">
        <f>IF(F101="","",$B$10+F101)</f>
        <v/>
      </c>
      <c r="H101" s="10">
        <f>IF(B101="","",$B$9+B101)</f>
        <v/>
      </c>
    </row>
    <row r="102">
      <c r="A102" s="8">
        <f>IF(B102="","",A101+1)</f>
        <v/>
      </c>
      <c r="B102" s="8">
        <f>IF(B101="","",IF(B101+$B$11&lt;=$B$6+1E-9,B101+$B$11,""))</f>
        <v/>
      </c>
      <c r="C102" s="8">
        <f>IF(B102="","",B102+$B$5)</f>
        <v/>
      </c>
      <c r="D102" s="8">
        <f>IF(B102="","",IF(B102&lt;- $B$5,"Left tangent",IF(B102&lt;=$B$6,"Cubic curve","Right tangent")))</f>
        <v/>
      </c>
      <c r="E102" s="9">
        <f>IF(B102="","",IF(B102&lt;- $B$5,$B$7,IF(B102&lt;=$B$6,100*(3*$F$12*(B102+$B$5)^2+2*$F$13*(B102+$B$5)+$F$6),$B$8)))</f>
        <v/>
      </c>
      <c r="F102" s="10">
        <f>IF(B102="","",IF(B102&lt;- $B$5,$F$6*B102,IF(B102&lt;=$B$6,$F$12*(B102+$B$5)^3+$F$13*(B102+$B$5)^2+$F$6*(B102+$B$5)+$F$8,$F$9+$F$7*(B102-$B$6))))</f>
        <v/>
      </c>
      <c r="G102" s="10">
        <f>IF(F102="","",$B$10+F102)</f>
        <v/>
      </c>
      <c r="H102" s="10">
        <f>IF(B102="","",$B$9+B102)</f>
        <v/>
      </c>
    </row>
    <row r="103">
      <c r="A103" s="8">
        <f>IF(B103="","",A102+1)</f>
        <v/>
      </c>
      <c r="B103" s="8">
        <f>IF(B102="","",IF(B102+$B$11&lt;=$B$6+1E-9,B102+$B$11,""))</f>
        <v/>
      </c>
      <c r="C103" s="8">
        <f>IF(B103="","",B103+$B$5)</f>
        <v/>
      </c>
      <c r="D103" s="8">
        <f>IF(B103="","",IF(B103&lt;- $B$5,"Left tangent",IF(B103&lt;=$B$6,"Cubic curve","Right tangent")))</f>
        <v/>
      </c>
      <c r="E103" s="9">
        <f>IF(B103="","",IF(B103&lt;- $B$5,$B$7,IF(B103&lt;=$B$6,100*(3*$F$12*(B103+$B$5)^2+2*$F$13*(B103+$B$5)+$F$6),$B$8)))</f>
        <v/>
      </c>
      <c r="F103" s="10">
        <f>IF(B103="","",IF(B103&lt;- $B$5,$F$6*B103,IF(B103&lt;=$B$6,$F$12*(B103+$B$5)^3+$F$13*(B103+$B$5)^2+$F$6*(B103+$B$5)+$F$8,$F$9+$F$7*(B103-$B$6))))</f>
        <v/>
      </c>
      <c r="G103" s="10">
        <f>IF(F103="","",$B$10+F103)</f>
        <v/>
      </c>
      <c r="H103" s="10">
        <f>IF(B103="","",$B$9+B103)</f>
        <v/>
      </c>
    </row>
    <row r="104">
      <c r="A104" s="8">
        <f>IF(B104="","",A103+1)</f>
        <v/>
      </c>
      <c r="B104" s="8">
        <f>IF(B103="","",IF(B103+$B$11&lt;=$B$6+1E-9,B103+$B$11,""))</f>
        <v/>
      </c>
      <c r="C104" s="8">
        <f>IF(B104="","",B104+$B$5)</f>
        <v/>
      </c>
      <c r="D104" s="8">
        <f>IF(B104="","",IF(B104&lt;- $B$5,"Left tangent",IF(B104&lt;=$B$6,"Cubic curve","Right tangent")))</f>
        <v/>
      </c>
      <c r="E104" s="9">
        <f>IF(B104="","",IF(B104&lt;- $B$5,$B$7,IF(B104&lt;=$B$6,100*(3*$F$12*(B104+$B$5)^2+2*$F$13*(B104+$B$5)+$F$6),$B$8)))</f>
        <v/>
      </c>
      <c r="F104" s="10">
        <f>IF(B104="","",IF(B104&lt;- $B$5,$F$6*B104,IF(B104&lt;=$B$6,$F$12*(B104+$B$5)^3+$F$13*(B104+$B$5)^2+$F$6*(B104+$B$5)+$F$8,$F$9+$F$7*(B104-$B$6))))</f>
        <v/>
      </c>
      <c r="G104" s="10">
        <f>IF(F104="","",$B$10+F104)</f>
        <v/>
      </c>
      <c r="H104" s="10">
        <f>IF(B104="","",$B$9+B104)</f>
        <v/>
      </c>
    </row>
    <row r="105">
      <c r="A105" s="8">
        <f>IF(B105="","",A104+1)</f>
        <v/>
      </c>
      <c r="B105" s="8">
        <f>IF(B104="","",IF(B104+$B$11&lt;=$B$6+1E-9,B104+$B$11,""))</f>
        <v/>
      </c>
      <c r="C105" s="8">
        <f>IF(B105="","",B105+$B$5)</f>
        <v/>
      </c>
      <c r="D105" s="8">
        <f>IF(B105="","",IF(B105&lt;- $B$5,"Left tangent",IF(B105&lt;=$B$6,"Cubic curve","Right tangent")))</f>
        <v/>
      </c>
      <c r="E105" s="9">
        <f>IF(B105="","",IF(B105&lt;- $B$5,$B$7,IF(B105&lt;=$B$6,100*(3*$F$12*(B105+$B$5)^2+2*$F$13*(B105+$B$5)+$F$6),$B$8)))</f>
        <v/>
      </c>
      <c r="F105" s="10">
        <f>IF(B105="","",IF(B105&lt;- $B$5,$F$6*B105,IF(B105&lt;=$B$6,$F$12*(B105+$B$5)^3+$F$13*(B105+$B$5)^2+$F$6*(B105+$B$5)+$F$8,$F$9+$F$7*(B105-$B$6))))</f>
        <v/>
      </c>
      <c r="G105" s="10">
        <f>IF(F105="","",$B$10+F105)</f>
        <v/>
      </c>
      <c r="H105" s="10">
        <f>IF(B105="","",$B$9+B105)</f>
        <v/>
      </c>
    </row>
    <row r="106">
      <c r="A106" s="8">
        <f>IF(B106="","",A105+1)</f>
        <v/>
      </c>
      <c r="B106" s="8">
        <f>IF(B105="","",IF(B105+$B$11&lt;=$B$6+1E-9,B105+$B$11,""))</f>
        <v/>
      </c>
      <c r="C106" s="8">
        <f>IF(B106="","",B106+$B$5)</f>
        <v/>
      </c>
      <c r="D106" s="8">
        <f>IF(B106="","",IF(B106&lt;- $B$5,"Left tangent",IF(B106&lt;=$B$6,"Cubic curve","Right tangent")))</f>
        <v/>
      </c>
      <c r="E106" s="9">
        <f>IF(B106="","",IF(B106&lt;- $B$5,$B$7,IF(B106&lt;=$B$6,100*(3*$F$12*(B106+$B$5)^2+2*$F$13*(B106+$B$5)+$F$6),$B$8)))</f>
        <v/>
      </c>
      <c r="F106" s="10">
        <f>IF(B106="","",IF(B106&lt;- $B$5,$F$6*B106,IF(B106&lt;=$B$6,$F$12*(B106+$B$5)^3+$F$13*(B106+$B$5)^2+$F$6*(B106+$B$5)+$F$8,$F$9+$F$7*(B106-$B$6))))</f>
        <v/>
      </c>
      <c r="G106" s="10">
        <f>IF(F106="","",$B$10+F106)</f>
        <v/>
      </c>
      <c r="H106" s="10">
        <f>IF(B106="","",$B$9+B106)</f>
        <v/>
      </c>
    </row>
    <row r="107">
      <c r="A107" s="8">
        <f>IF(B107="","",A106+1)</f>
        <v/>
      </c>
      <c r="B107" s="8">
        <f>IF(B106="","",IF(B106+$B$11&lt;=$B$6+1E-9,B106+$B$11,""))</f>
        <v/>
      </c>
      <c r="C107" s="8">
        <f>IF(B107="","",B107+$B$5)</f>
        <v/>
      </c>
      <c r="D107" s="8">
        <f>IF(B107="","",IF(B107&lt;- $B$5,"Left tangent",IF(B107&lt;=$B$6,"Cubic curve","Right tangent")))</f>
        <v/>
      </c>
      <c r="E107" s="9">
        <f>IF(B107="","",IF(B107&lt;- $B$5,$B$7,IF(B107&lt;=$B$6,100*(3*$F$12*(B107+$B$5)^2+2*$F$13*(B107+$B$5)+$F$6),$B$8)))</f>
        <v/>
      </c>
      <c r="F107" s="10">
        <f>IF(B107="","",IF(B107&lt;- $B$5,$F$6*B107,IF(B107&lt;=$B$6,$F$12*(B107+$B$5)^3+$F$13*(B107+$B$5)^2+$F$6*(B107+$B$5)+$F$8,$F$9+$F$7*(B107-$B$6))))</f>
        <v/>
      </c>
      <c r="G107" s="10">
        <f>IF(F107="","",$B$10+F107)</f>
        <v/>
      </c>
      <c r="H107" s="10">
        <f>IF(B107="","",$B$9+B107)</f>
        <v/>
      </c>
    </row>
    <row r="108">
      <c r="A108" s="8">
        <f>IF(B108="","",A107+1)</f>
        <v/>
      </c>
      <c r="B108" s="8">
        <f>IF(B107="","",IF(B107+$B$11&lt;=$B$6+1E-9,B107+$B$11,""))</f>
        <v/>
      </c>
      <c r="C108" s="8">
        <f>IF(B108="","",B108+$B$5)</f>
        <v/>
      </c>
      <c r="D108" s="8">
        <f>IF(B108="","",IF(B108&lt;- $B$5,"Left tangent",IF(B108&lt;=$B$6,"Cubic curve","Right tangent")))</f>
        <v/>
      </c>
      <c r="E108" s="9">
        <f>IF(B108="","",IF(B108&lt;- $B$5,$B$7,IF(B108&lt;=$B$6,100*(3*$F$12*(B108+$B$5)^2+2*$F$13*(B108+$B$5)+$F$6),$B$8)))</f>
        <v/>
      </c>
      <c r="F108" s="10">
        <f>IF(B108="","",IF(B108&lt;- $B$5,$F$6*B108,IF(B108&lt;=$B$6,$F$12*(B108+$B$5)^3+$F$13*(B108+$B$5)^2+$F$6*(B108+$B$5)+$F$8,$F$9+$F$7*(B108-$B$6))))</f>
        <v/>
      </c>
      <c r="G108" s="10">
        <f>IF(F108="","",$B$10+F108)</f>
        <v/>
      </c>
      <c r="H108" s="10">
        <f>IF(B108="","",$B$9+B108)</f>
        <v/>
      </c>
    </row>
    <row r="109">
      <c r="A109" s="8">
        <f>IF(B109="","",A108+1)</f>
        <v/>
      </c>
      <c r="B109" s="8">
        <f>IF(B108="","",IF(B108+$B$11&lt;=$B$6+1E-9,B108+$B$11,""))</f>
        <v/>
      </c>
      <c r="C109" s="8">
        <f>IF(B109="","",B109+$B$5)</f>
        <v/>
      </c>
      <c r="D109" s="8">
        <f>IF(B109="","",IF(B109&lt;- $B$5,"Left tangent",IF(B109&lt;=$B$6,"Cubic curve","Right tangent")))</f>
        <v/>
      </c>
      <c r="E109" s="9">
        <f>IF(B109="","",IF(B109&lt;- $B$5,$B$7,IF(B109&lt;=$B$6,100*(3*$F$12*(B109+$B$5)^2+2*$F$13*(B109+$B$5)+$F$6),$B$8)))</f>
        <v/>
      </c>
      <c r="F109" s="10">
        <f>IF(B109="","",IF(B109&lt;- $B$5,$F$6*B109,IF(B109&lt;=$B$6,$F$12*(B109+$B$5)^3+$F$13*(B109+$B$5)^2+$F$6*(B109+$B$5)+$F$8,$F$9+$F$7*(B109-$B$6))))</f>
        <v/>
      </c>
      <c r="G109" s="10">
        <f>IF(F109="","",$B$10+F109)</f>
        <v/>
      </c>
      <c r="H109" s="10">
        <f>IF(B109="","",$B$9+B109)</f>
        <v/>
      </c>
    </row>
    <row r="110">
      <c r="A110" s="8">
        <f>IF(B110="","",A109+1)</f>
        <v/>
      </c>
      <c r="B110" s="8">
        <f>IF(B109="","",IF(B109+$B$11&lt;=$B$6+1E-9,B109+$B$11,""))</f>
        <v/>
      </c>
      <c r="C110" s="8">
        <f>IF(B110="","",B110+$B$5)</f>
        <v/>
      </c>
      <c r="D110" s="8">
        <f>IF(B110="","",IF(B110&lt;- $B$5,"Left tangent",IF(B110&lt;=$B$6,"Cubic curve","Right tangent")))</f>
        <v/>
      </c>
      <c r="E110" s="9">
        <f>IF(B110="","",IF(B110&lt;- $B$5,$B$7,IF(B110&lt;=$B$6,100*(3*$F$12*(B110+$B$5)^2+2*$F$13*(B110+$B$5)+$F$6),$B$8)))</f>
        <v/>
      </c>
      <c r="F110" s="10">
        <f>IF(B110="","",IF(B110&lt;- $B$5,$F$6*B110,IF(B110&lt;=$B$6,$F$12*(B110+$B$5)^3+$F$13*(B110+$B$5)^2+$F$6*(B110+$B$5)+$F$8,$F$9+$F$7*(B110-$B$6))))</f>
        <v/>
      </c>
      <c r="G110" s="10">
        <f>IF(F110="","",$B$10+F110)</f>
        <v/>
      </c>
      <c r="H110" s="10">
        <f>IF(B110="","",$B$9+B110)</f>
        <v/>
      </c>
    </row>
    <row r="111">
      <c r="A111" s="8">
        <f>IF(B111="","",A110+1)</f>
        <v/>
      </c>
      <c r="B111" s="8">
        <f>IF(B110="","",IF(B110+$B$11&lt;=$B$6+1E-9,B110+$B$11,""))</f>
        <v/>
      </c>
      <c r="C111" s="8">
        <f>IF(B111="","",B111+$B$5)</f>
        <v/>
      </c>
      <c r="D111" s="8">
        <f>IF(B111="","",IF(B111&lt;- $B$5,"Left tangent",IF(B111&lt;=$B$6,"Cubic curve","Right tangent")))</f>
        <v/>
      </c>
      <c r="E111" s="9">
        <f>IF(B111="","",IF(B111&lt;- $B$5,$B$7,IF(B111&lt;=$B$6,100*(3*$F$12*(B111+$B$5)^2+2*$F$13*(B111+$B$5)+$F$6),$B$8)))</f>
        <v/>
      </c>
      <c r="F111" s="10">
        <f>IF(B111="","",IF(B111&lt;- $B$5,$F$6*B111,IF(B111&lt;=$B$6,$F$12*(B111+$B$5)^3+$F$13*(B111+$B$5)^2+$F$6*(B111+$B$5)+$F$8,$F$9+$F$7*(B111-$B$6))))</f>
        <v/>
      </c>
      <c r="G111" s="10">
        <f>IF(F111="","",$B$10+F111)</f>
        <v/>
      </c>
      <c r="H111" s="10">
        <f>IF(B111="","",$B$9+B111)</f>
        <v/>
      </c>
    </row>
    <row r="112">
      <c r="A112" s="8">
        <f>IF(B112="","",A111+1)</f>
        <v/>
      </c>
      <c r="B112" s="8">
        <f>IF(B111="","",IF(B111+$B$11&lt;=$B$6+1E-9,B111+$B$11,""))</f>
        <v/>
      </c>
      <c r="C112" s="8">
        <f>IF(B112="","",B112+$B$5)</f>
        <v/>
      </c>
      <c r="D112" s="8">
        <f>IF(B112="","",IF(B112&lt;- $B$5,"Left tangent",IF(B112&lt;=$B$6,"Cubic curve","Right tangent")))</f>
        <v/>
      </c>
      <c r="E112" s="9">
        <f>IF(B112="","",IF(B112&lt;- $B$5,$B$7,IF(B112&lt;=$B$6,100*(3*$F$12*(B112+$B$5)^2+2*$F$13*(B112+$B$5)+$F$6),$B$8)))</f>
        <v/>
      </c>
      <c r="F112" s="10">
        <f>IF(B112="","",IF(B112&lt;- $B$5,$F$6*B112,IF(B112&lt;=$B$6,$F$12*(B112+$B$5)^3+$F$13*(B112+$B$5)^2+$F$6*(B112+$B$5)+$F$8,$F$9+$F$7*(B112-$B$6))))</f>
        <v/>
      </c>
      <c r="G112" s="10">
        <f>IF(F112="","",$B$10+F112)</f>
        <v/>
      </c>
      <c r="H112" s="10">
        <f>IF(B112="","",$B$9+B112)</f>
        <v/>
      </c>
    </row>
    <row r="113">
      <c r="A113" s="8">
        <f>IF(B113="","",A112+1)</f>
        <v/>
      </c>
      <c r="B113" s="8">
        <f>IF(B112="","",IF(B112+$B$11&lt;=$B$6+1E-9,B112+$B$11,""))</f>
        <v/>
      </c>
      <c r="C113" s="8">
        <f>IF(B113="","",B113+$B$5)</f>
        <v/>
      </c>
      <c r="D113" s="8">
        <f>IF(B113="","",IF(B113&lt;- $B$5,"Left tangent",IF(B113&lt;=$B$6,"Cubic curve","Right tangent")))</f>
        <v/>
      </c>
      <c r="E113" s="9">
        <f>IF(B113="","",IF(B113&lt;- $B$5,$B$7,IF(B113&lt;=$B$6,100*(3*$F$12*(B113+$B$5)^2+2*$F$13*(B113+$B$5)+$F$6),$B$8)))</f>
        <v/>
      </c>
      <c r="F113" s="10">
        <f>IF(B113="","",IF(B113&lt;- $B$5,$F$6*B113,IF(B113&lt;=$B$6,$F$12*(B113+$B$5)^3+$F$13*(B113+$B$5)^2+$F$6*(B113+$B$5)+$F$8,$F$9+$F$7*(B113-$B$6))))</f>
        <v/>
      </c>
      <c r="G113" s="10">
        <f>IF(F113="","",$B$10+F113)</f>
        <v/>
      </c>
      <c r="H113" s="10">
        <f>IF(B113="","",$B$9+B113)</f>
        <v/>
      </c>
    </row>
    <row r="114">
      <c r="A114" s="8">
        <f>IF(B114="","",A113+1)</f>
        <v/>
      </c>
      <c r="B114" s="8">
        <f>IF(B113="","",IF(B113+$B$11&lt;=$B$6+1E-9,B113+$B$11,""))</f>
        <v/>
      </c>
      <c r="C114" s="8">
        <f>IF(B114="","",B114+$B$5)</f>
        <v/>
      </c>
      <c r="D114" s="8">
        <f>IF(B114="","",IF(B114&lt;- $B$5,"Left tangent",IF(B114&lt;=$B$6,"Cubic curve","Right tangent")))</f>
        <v/>
      </c>
      <c r="E114" s="9">
        <f>IF(B114="","",IF(B114&lt;- $B$5,$B$7,IF(B114&lt;=$B$6,100*(3*$F$12*(B114+$B$5)^2+2*$F$13*(B114+$B$5)+$F$6),$B$8)))</f>
        <v/>
      </c>
      <c r="F114" s="10">
        <f>IF(B114="","",IF(B114&lt;- $B$5,$F$6*B114,IF(B114&lt;=$B$6,$F$12*(B114+$B$5)^3+$F$13*(B114+$B$5)^2+$F$6*(B114+$B$5)+$F$8,$F$9+$F$7*(B114-$B$6))))</f>
        <v/>
      </c>
      <c r="G114" s="10">
        <f>IF(F114="","",$B$10+F114)</f>
        <v/>
      </c>
      <c r="H114" s="10">
        <f>IF(B114="","",$B$9+B114)</f>
        <v/>
      </c>
    </row>
    <row r="115">
      <c r="A115" s="8">
        <f>IF(B115="","",A114+1)</f>
        <v/>
      </c>
      <c r="B115" s="8">
        <f>IF(B114="","",IF(B114+$B$11&lt;=$B$6+1E-9,B114+$B$11,""))</f>
        <v/>
      </c>
      <c r="C115" s="8">
        <f>IF(B115="","",B115+$B$5)</f>
        <v/>
      </c>
      <c r="D115" s="8">
        <f>IF(B115="","",IF(B115&lt;- $B$5,"Left tangent",IF(B115&lt;=$B$6,"Cubic curve","Right tangent")))</f>
        <v/>
      </c>
      <c r="E115" s="9">
        <f>IF(B115="","",IF(B115&lt;- $B$5,$B$7,IF(B115&lt;=$B$6,100*(3*$F$12*(B115+$B$5)^2+2*$F$13*(B115+$B$5)+$F$6),$B$8)))</f>
        <v/>
      </c>
      <c r="F115" s="10">
        <f>IF(B115="","",IF(B115&lt;- $B$5,$F$6*B115,IF(B115&lt;=$B$6,$F$12*(B115+$B$5)^3+$F$13*(B115+$B$5)^2+$F$6*(B115+$B$5)+$F$8,$F$9+$F$7*(B115-$B$6))))</f>
        <v/>
      </c>
      <c r="G115" s="10">
        <f>IF(F115="","",$B$10+F115)</f>
        <v/>
      </c>
      <c r="H115" s="10">
        <f>IF(B115="","",$B$9+B115)</f>
        <v/>
      </c>
    </row>
    <row r="116">
      <c r="A116" s="8">
        <f>IF(B116="","",A115+1)</f>
        <v/>
      </c>
      <c r="B116" s="8">
        <f>IF(B115="","",IF(B115+$B$11&lt;=$B$6+1E-9,B115+$B$11,""))</f>
        <v/>
      </c>
      <c r="C116" s="8">
        <f>IF(B116="","",B116+$B$5)</f>
        <v/>
      </c>
      <c r="D116" s="8">
        <f>IF(B116="","",IF(B116&lt;- $B$5,"Left tangent",IF(B116&lt;=$B$6,"Cubic curve","Right tangent")))</f>
        <v/>
      </c>
      <c r="E116" s="9">
        <f>IF(B116="","",IF(B116&lt;- $B$5,$B$7,IF(B116&lt;=$B$6,100*(3*$F$12*(B116+$B$5)^2+2*$F$13*(B116+$B$5)+$F$6),$B$8)))</f>
        <v/>
      </c>
      <c r="F116" s="10">
        <f>IF(B116="","",IF(B116&lt;- $B$5,$F$6*B116,IF(B116&lt;=$B$6,$F$12*(B116+$B$5)^3+$F$13*(B116+$B$5)^2+$F$6*(B116+$B$5)+$F$8,$F$9+$F$7*(B116-$B$6))))</f>
        <v/>
      </c>
      <c r="G116" s="10">
        <f>IF(F116="","",$B$10+F116)</f>
        <v/>
      </c>
      <c r="H116" s="10">
        <f>IF(B116="","",$B$9+B116)</f>
        <v/>
      </c>
    </row>
    <row r="117">
      <c r="A117" s="8">
        <f>IF(B117="","",A116+1)</f>
        <v/>
      </c>
      <c r="B117" s="8">
        <f>IF(B116="","",IF(B116+$B$11&lt;=$B$6+1E-9,B116+$B$11,""))</f>
        <v/>
      </c>
      <c r="C117" s="8">
        <f>IF(B117="","",B117+$B$5)</f>
        <v/>
      </c>
      <c r="D117" s="8">
        <f>IF(B117="","",IF(B117&lt;- $B$5,"Left tangent",IF(B117&lt;=$B$6,"Cubic curve","Right tangent")))</f>
        <v/>
      </c>
      <c r="E117" s="9">
        <f>IF(B117="","",IF(B117&lt;- $B$5,$B$7,IF(B117&lt;=$B$6,100*(3*$F$12*(B117+$B$5)^2+2*$F$13*(B117+$B$5)+$F$6),$B$8)))</f>
        <v/>
      </c>
      <c r="F117" s="10">
        <f>IF(B117="","",IF(B117&lt;- $B$5,$F$6*B117,IF(B117&lt;=$B$6,$F$12*(B117+$B$5)^3+$F$13*(B117+$B$5)^2+$F$6*(B117+$B$5)+$F$8,$F$9+$F$7*(B117-$B$6))))</f>
        <v/>
      </c>
      <c r="G117" s="10">
        <f>IF(F117="","",$B$10+F117)</f>
        <v/>
      </c>
      <c r="H117" s="10">
        <f>IF(B117="","",$B$9+B117)</f>
        <v/>
      </c>
    </row>
    <row r="118">
      <c r="A118" s="8">
        <f>IF(B118="","",A117+1)</f>
        <v/>
      </c>
      <c r="B118" s="8">
        <f>IF(B117="","",IF(B117+$B$11&lt;=$B$6+1E-9,B117+$B$11,""))</f>
        <v/>
      </c>
      <c r="C118" s="8">
        <f>IF(B118="","",B118+$B$5)</f>
        <v/>
      </c>
      <c r="D118" s="8">
        <f>IF(B118="","",IF(B118&lt;- $B$5,"Left tangent",IF(B118&lt;=$B$6,"Cubic curve","Right tangent")))</f>
        <v/>
      </c>
      <c r="E118" s="9">
        <f>IF(B118="","",IF(B118&lt;- $B$5,$B$7,IF(B118&lt;=$B$6,100*(3*$F$12*(B118+$B$5)^2+2*$F$13*(B118+$B$5)+$F$6),$B$8)))</f>
        <v/>
      </c>
      <c r="F118" s="10">
        <f>IF(B118="","",IF(B118&lt;- $B$5,$F$6*B118,IF(B118&lt;=$B$6,$F$12*(B118+$B$5)^3+$F$13*(B118+$B$5)^2+$F$6*(B118+$B$5)+$F$8,$F$9+$F$7*(B118-$B$6))))</f>
        <v/>
      </c>
      <c r="G118" s="10">
        <f>IF(F118="","",$B$10+F118)</f>
        <v/>
      </c>
      <c r="H118" s="10">
        <f>IF(B118="","",$B$9+B118)</f>
        <v/>
      </c>
    </row>
    <row r="119">
      <c r="A119" s="8">
        <f>IF(B119="","",A118+1)</f>
        <v/>
      </c>
      <c r="B119" s="8">
        <f>IF(B118="","",IF(B118+$B$11&lt;=$B$6+1E-9,B118+$B$11,""))</f>
        <v/>
      </c>
      <c r="C119" s="8">
        <f>IF(B119="","",B119+$B$5)</f>
        <v/>
      </c>
      <c r="D119" s="8">
        <f>IF(B119="","",IF(B119&lt;- $B$5,"Left tangent",IF(B119&lt;=$B$6,"Cubic curve","Right tangent")))</f>
        <v/>
      </c>
      <c r="E119" s="9">
        <f>IF(B119="","",IF(B119&lt;- $B$5,$B$7,IF(B119&lt;=$B$6,100*(3*$F$12*(B119+$B$5)^2+2*$F$13*(B119+$B$5)+$F$6),$B$8)))</f>
        <v/>
      </c>
      <c r="F119" s="10">
        <f>IF(B119="","",IF(B119&lt;- $B$5,$F$6*B119,IF(B119&lt;=$B$6,$F$12*(B119+$B$5)^3+$F$13*(B119+$B$5)^2+$F$6*(B119+$B$5)+$F$8,$F$9+$F$7*(B119-$B$6))))</f>
        <v/>
      </c>
      <c r="G119" s="10">
        <f>IF(F119="","",$B$10+F119)</f>
        <v/>
      </c>
      <c r="H119" s="10">
        <f>IF(B119="","",$B$9+B119)</f>
        <v/>
      </c>
    </row>
    <row r="120">
      <c r="A120" s="8">
        <f>IF(B120="","",A119+1)</f>
        <v/>
      </c>
      <c r="B120" s="8">
        <f>IF(B119="","",IF(B119+$B$11&lt;=$B$6+1E-9,B119+$B$11,""))</f>
        <v/>
      </c>
      <c r="C120" s="8">
        <f>IF(B120="","",B120+$B$5)</f>
        <v/>
      </c>
      <c r="D120" s="8">
        <f>IF(B120="","",IF(B120&lt;- $B$5,"Left tangent",IF(B120&lt;=$B$6,"Cubic curve","Right tangent")))</f>
        <v/>
      </c>
      <c r="E120" s="9">
        <f>IF(B120="","",IF(B120&lt;- $B$5,$B$7,IF(B120&lt;=$B$6,100*(3*$F$12*(B120+$B$5)^2+2*$F$13*(B120+$B$5)+$F$6),$B$8)))</f>
        <v/>
      </c>
      <c r="F120" s="10">
        <f>IF(B120="","",IF(B120&lt;- $B$5,$F$6*B120,IF(B120&lt;=$B$6,$F$12*(B120+$B$5)^3+$F$13*(B120+$B$5)^2+$F$6*(B120+$B$5)+$F$8,$F$9+$F$7*(B120-$B$6))))</f>
        <v/>
      </c>
      <c r="G120" s="10">
        <f>IF(F120="","",$B$10+F120)</f>
        <v/>
      </c>
      <c r="H120" s="10">
        <f>IF(B120="","",$B$9+B120)</f>
        <v/>
      </c>
    </row>
    <row r="121">
      <c r="A121" s="8">
        <f>IF(B121="","",A120+1)</f>
        <v/>
      </c>
      <c r="B121" s="8">
        <f>IF(B120="","",IF(B120+$B$11&lt;=$B$6+1E-9,B120+$B$11,""))</f>
        <v/>
      </c>
      <c r="C121" s="8">
        <f>IF(B121="","",B121+$B$5)</f>
        <v/>
      </c>
      <c r="D121" s="8">
        <f>IF(B121="","",IF(B121&lt;- $B$5,"Left tangent",IF(B121&lt;=$B$6,"Cubic curve","Right tangent")))</f>
        <v/>
      </c>
      <c r="E121" s="9">
        <f>IF(B121="","",IF(B121&lt;- $B$5,$B$7,IF(B121&lt;=$B$6,100*(3*$F$12*(B121+$B$5)^2+2*$F$13*(B121+$B$5)+$F$6),$B$8)))</f>
        <v/>
      </c>
      <c r="F121" s="10">
        <f>IF(B121="","",IF(B121&lt;- $B$5,$F$6*B121,IF(B121&lt;=$B$6,$F$12*(B121+$B$5)^3+$F$13*(B121+$B$5)^2+$F$6*(B121+$B$5)+$F$8,$F$9+$F$7*(B121-$B$6))))</f>
        <v/>
      </c>
      <c r="G121" s="10">
        <f>IF(F121="","",$B$10+F121)</f>
        <v/>
      </c>
      <c r="H121" s="10">
        <f>IF(B121="","",$B$9+B121)</f>
        <v/>
      </c>
    </row>
    <row r="122">
      <c r="A122" s="8">
        <f>IF(B122="","",A121+1)</f>
        <v/>
      </c>
      <c r="B122" s="8">
        <f>IF(B121="","",IF(B121+$B$11&lt;=$B$6+1E-9,B121+$B$11,""))</f>
        <v/>
      </c>
      <c r="C122" s="8">
        <f>IF(B122="","",B122+$B$5)</f>
        <v/>
      </c>
      <c r="D122" s="8">
        <f>IF(B122="","",IF(B122&lt;- $B$5,"Left tangent",IF(B122&lt;=$B$6,"Cubic curve","Right tangent")))</f>
        <v/>
      </c>
      <c r="E122" s="9">
        <f>IF(B122="","",IF(B122&lt;- $B$5,$B$7,IF(B122&lt;=$B$6,100*(3*$F$12*(B122+$B$5)^2+2*$F$13*(B122+$B$5)+$F$6),$B$8)))</f>
        <v/>
      </c>
      <c r="F122" s="10">
        <f>IF(B122="","",IF(B122&lt;- $B$5,$F$6*B122,IF(B122&lt;=$B$6,$F$12*(B122+$B$5)^3+$F$13*(B122+$B$5)^2+$F$6*(B122+$B$5)+$F$8,$F$9+$F$7*(B122-$B$6))))</f>
        <v/>
      </c>
      <c r="G122" s="10">
        <f>IF(F122="","",$B$10+F122)</f>
        <v/>
      </c>
      <c r="H122" s="10">
        <f>IF(B122="","",$B$9+B122)</f>
        <v/>
      </c>
    </row>
    <row r="123">
      <c r="A123" s="8">
        <f>IF(B123="","",A122+1)</f>
        <v/>
      </c>
      <c r="B123" s="8">
        <f>IF(B122="","",IF(B122+$B$11&lt;=$B$6+1E-9,B122+$B$11,""))</f>
        <v/>
      </c>
      <c r="C123" s="8">
        <f>IF(B123="","",B123+$B$5)</f>
        <v/>
      </c>
      <c r="D123" s="8">
        <f>IF(B123="","",IF(B123&lt;- $B$5,"Left tangent",IF(B123&lt;=$B$6,"Cubic curve","Right tangent")))</f>
        <v/>
      </c>
      <c r="E123" s="9">
        <f>IF(B123="","",IF(B123&lt;- $B$5,$B$7,IF(B123&lt;=$B$6,100*(3*$F$12*(B123+$B$5)^2+2*$F$13*(B123+$B$5)+$F$6),$B$8)))</f>
        <v/>
      </c>
      <c r="F123" s="10">
        <f>IF(B123="","",IF(B123&lt;- $B$5,$F$6*B123,IF(B123&lt;=$B$6,$F$12*(B123+$B$5)^3+$F$13*(B123+$B$5)^2+$F$6*(B123+$B$5)+$F$8,$F$9+$F$7*(B123-$B$6))))</f>
        <v/>
      </c>
      <c r="G123" s="10">
        <f>IF(F123="","",$B$10+F123)</f>
        <v/>
      </c>
      <c r="H123" s="10">
        <f>IF(B123="","",$B$9+B123)</f>
        <v/>
      </c>
    </row>
    <row r="124">
      <c r="A124" s="8">
        <f>IF(B124="","",A123+1)</f>
        <v/>
      </c>
      <c r="B124" s="8">
        <f>IF(B123="","",IF(B123+$B$11&lt;=$B$6+1E-9,B123+$B$11,""))</f>
        <v/>
      </c>
      <c r="C124" s="8">
        <f>IF(B124="","",B124+$B$5)</f>
        <v/>
      </c>
      <c r="D124" s="8">
        <f>IF(B124="","",IF(B124&lt;- $B$5,"Left tangent",IF(B124&lt;=$B$6,"Cubic curve","Right tangent")))</f>
        <v/>
      </c>
      <c r="E124" s="9">
        <f>IF(B124="","",IF(B124&lt;- $B$5,$B$7,IF(B124&lt;=$B$6,100*(3*$F$12*(B124+$B$5)^2+2*$F$13*(B124+$B$5)+$F$6),$B$8)))</f>
        <v/>
      </c>
      <c r="F124" s="10">
        <f>IF(B124="","",IF(B124&lt;- $B$5,$F$6*B124,IF(B124&lt;=$B$6,$F$12*(B124+$B$5)^3+$F$13*(B124+$B$5)^2+$F$6*(B124+$B$5)+$F$8,$F$9+$F$7*(B124-$B$6))))</f>
        <v/>
      </c>
      <c r="G124" s="10">
        <f>IF(F124="","",$B$10+F124)</f>
        <v/>
      </c>
      <c r="H124" s="10">
        <f>IF(B124="","",$B$9+B124)</f>
        <v/>
      </c>
    </row>
    <row r="125">
      <c r="A125" s="8">
        <f>IF(B125="","",A124+1)</f>
        <v/>
      </c>
      <c r="B125" s="8">
        <f>IF(B124="","",IF(B124+$B$11&lt;=$B$6+1E-9,B124+$B$11,""))</f>
        <v/>
      </c>
      <c r="C125" s="8">
        <f>IF(B125="","",B125+$B$5)</f>
        <v/>
      </c>
      <c r="D125" s="8">
        <f>IF(B125="","",IF(B125&lt;- $B$5,"Left tangent",IF(B125&lt;=$B$6,"Cubic curve","Right tangent")))</f>
        <v/>
      </c>
      <c r="E125" s="9">
        <f>IF(B125="","",IF(B125&lt;- $B$5,$B$7,IF(B125&lt;=$B$6,100*(3*$F$12*(B125+$B$5)^2+2*$F$13*(B125+$B$5)+$F$6),$B$8)))</f>
        <v/>
      </c>
      <c r="F125" s="10">
        <f>IF(B125="","",IF(B125&lt;- $B$5,$F$6*B125,IF(B125&lt;=$B$6,$F$12*(B125+$B$5)^3+$F$13*(B125+$B$5)^2+$F$6*(B125+$B$5)+$F$8,$F$9+$F$7*(B125-$B$6))))</f>
        <v/>
      </c>
      <c r="G125" s="10">
        <f>IF(F125="","",$B$10+F125)</f>
        <v/>
      </c>
      <c r="H125" s="10">
        <f>IF(B125="","",$B$9+B125)</f>
        <v/>
      </c>
    </row>
    <row r="126">
      <c r="A126" s="8">
        <f>IF(B126="","",A125+1)</f>
        <v/>
      </c>
      <c r="B126" s="8">
        <f>IF(B125="","",IF(B125+$B$11&lt;=$B$6+1E-9,B125+$B$11,""))</f>
        <v/>
      </c>
      <c r="C126" s="8">
        <f>IF(B126="","",B126+$B$5)</f>
        <v/>
      </c>
      <c r="D126" s="8">
        <f>IF(B126="","",IF(B126&lt;- $B$5,"Left tangent",IF(B126&lt;=$B$6,"Cubic curve","Right tangent")))</f>
        <v/>
      </c>
      <c r="E126" s="9">
        <f>IF(B126="","",IF(B126&lt;- $B$5,$B$7,IF(B126&lt;=$B$6,100*(3*$F$12*(B126+$B$5)^2+2*$F$13*(B126+$B$5)+$F$6),$B$8)))</f>
        <v/>
      </c>
      <c r="F126" s="10">
        <f>IF(B126="","",IF(B126&lt;- $B$5,$F$6*B126,IF(B126&lt;=$B$6,$F$12*(B126+$B$5)^3+$F$13*(B126+$B$5)^2+$F$6*(B126+$B$5)+$F$8,$F$9+$F$7*(B126-$B$6))))</f>
        <v/>
      </c>
      <c r="G126" s="10">
        <f>IF(F126="","",$B$10+F126)</f>
        <v/>
      </c>
      <c r="H126" s="10">
        <f>IF(B126="","",$B$9+B126)</f>
        <v/>
      </c>
    </row>
    <row r="127">
      <c r="A127" s="8">
        <f>IF(B127="","",A126+1)</f>
        <v/>
      </c>
      <c r="B127" s="8">
        <f>IF(B126="","",IF(B126+$B$11&lt;=$B$6+1E-9,B126+$B$11,""))</f>
        <v/>
      </c>
      <c r="C127" s="8">
        <f>IF(B127="","",B127+$B$5)</f>
        <v/>
      </c>
      <c r="D127" s="8">
        <f>IF(B127="","",IF(B127&lt;- $B$5,"Left tangent",IF(B127&lt;=$B$6,"Cubic curve","Right tangent")))</f>
        <v/>
      </c>
      <c r="E127" s="9">
        <f>IF(B127="","",IF(B127&lt;- $B$5,$B$7,IF(B127&lt;=$B$6,100*(3*$F$12*(B127+$B$5)^2+2*$F$13*(B127+$B$5)+$F$6),$B$8)))</f>
        <v/>
      </c>
      <c r="F127" s="10">
        <f>IF(B127="","",IF(B127&lt;- $B$5,$F$6*B127,IF(B127&lt;=$B$6,$F$12*(B127+$B$5)^3+$F$13*(B127+$B$5)^2+$F$6*(B127+$B$5)+$F$8,$F$9+$F$7*(B127-$B$6))))</f>
        <v/>
      </c>
      <c r="G127" s="10">
        <f>IF(F127="","",$B$10+F127)</f>
        <v/>
      </c>
      <c r="H127" s="10">
        <f>IF(B127="","",$B$9+B127)</f>
        <v/>
      </c>
    </row>
    <row r="128">
      <c r="A128" s="8">
        <f>IF(B128="","",A127+1)</f>
        <v/>
      </c>
      <c r="B128" s="8">
        <f>IF(B127="","",IF(B127+$B$11&lt;=$B$6+1E-9,B127+$B$11,""))</f>
        <v/>
      </c>
      <c r="C128" s="8">
        <f>IF(B128="","",B128+$B$5)</f>
        <v/>
      </c>
      <c r="D128" s="8">
        <f>IF(B128="","",IF(B128&lt;- $B$5,"Left tangent",IF(B128&lt;=$B$6,"Cubic curve","Right tangent")))</f>
        <v/>
      </c>
      <c r="E128" s="9">
        <f>IF(B128="","",IF(B128&lt;- $B$5,$B$7,IF(B128&lt;=$B$6,100*(3*$F$12*(B128+$B$5)^2+2*$F$13*(B128+$B$5)+$F$6),$B$8)))</f>
        <v/>
      </c>
      <c r="F128" s="10">
        <f>IF(B128="","",IF(B128&lt;- $B$5,$F$6*B128,IF(B128&lt;=$B$6,$F$12*(B128+$B$5)^3+$F$13*(B128+$B$5)^2+$F$6*(B128+$B$5)+$F$8,$F$9+$F$7*(B128-$B$6))))</f>
        <v/>
      </c>
      <c r="G128" s="10">
        <f>IF(F128="","",$B$10+F128)</f>
        <v/>
      </c>
      <c r="H128" s="10">
        <f>IF(B128="","",$B$9+B128)</f>
        <v/>
      </c>
    </row>
    <row r="129">
      <c r="A129" s="8">
        <f>IF(B129="","",A128+1)</f>
        <v/>
      </c>
      <c r="B129" s="8">
        <f>IF(B128="","",IF(B128+$B$11&lt;=$B$6+1E-9,B128+$B$11,""))</f>
        <v/>
      </c>
      <c r="C129" s="8">
        <f>IF(B129="","",B129+$B$5)</f>
        <v/>
      </c>
      <c r="D129" s="8">
        <f>IF(B129="","",IF(B129&lt;- $B$5,"Left tangent",IF(B129&lt;=$B$6,"Cubic curve","Right tangent")))</f>
        <v/>
      </c>
      <c r="E129" s="9">
        <f>IF(B129="","",IF(B129&lt;- $B$5,$B$7,IF(B129&lt;=$B$6,100*(3*$F$12*(B129+$B$5)^2+2*$F$13*(B129+$B$5)+$F$6),$B$8)))</f>
        <v/>
      </c>
      <c r="F129" s="10">
        <f>IF(B129="","",IF(B129&lt;- $B$5,$F$6*B129,IF(B129&lt;=$B$6,$F$12*(B129+$B$5)^3+$F$13*(B129+$B$5)^2+$F$6*(B129+$B$5)+$F$8,$F$9+$F$7*(B129-$B$6))))</f>
        <v/>
      </c>
      <c r="G129" s="10">
        <f>IF(F129="","",$B$10+F129)</f>
        <v/>
      </c>
      <c r="H129" s="10">
        <f>IF(B129="","",$B$9+B129)</f>
        <v/>
      </c>
    </row>
    <row r="130">
      <c r="A130" s="8">
        <f>IF(B130="","",A129+1)</f>
        <v/>
      </c>
      <c r="B130" s="8">
        <f>IF(B129="","",IF(B129+$B$11&lt;=$B$6+1E-9,B129+$B$11,""))</f>
        <v/>
      </c>
      <c r="C130" s="8">
        <f>IF(B130="","",B130+$B$5)</f>
        <v/>
      </c>
      <c r="D130" s="8">
        <f>IF(B130="","",IF(B130&lt;- $B$5,"Left tangent",IF(B130&lt;=$B$6,"Cubic curve","Right tangent")))</f>
        <v/>
      </c>
      <c r="E130" s="9">
        <f>IF(B130="","",IF(B130&lt;- $B$5,$B$7,IF(B130&lt;=$B$6,100*(3*$F$12*(B130+$B$5)^2+2*$F$13*(B130+$B$5)+$F$6),$B$8)))</f>
        <v/>
      </c>
      <c r="F130" s="10">
        <f>IF(B130="","",IF(B130&lt;- $B$5,$F$6*B130,IF(B130&lt;=$B$6,$F$12*(B130+$B$5)^3+$F$13*(B130+$B$5)^2+$F$6*(B130+$B$5)+$F$8,$F$9+$F$7*(B130-$B$6))))</f>
        <v/>
      </c>
      <c r="G130" s="10">
        <f>IF(F130="","",$B$10+F130)</f>
        <v/>
      </c>
      <c r="H130" s="10">
        <f>IF(B130="","",$B$9+B130)</f>
        <v/>
      </c>
    </row>
    <row r="131">
      <c r="A131" s="8">
        <f>IF(B131="","",A130+1)</f>
        <v/>
      </c>
      <c r="B131" s="8">
        <f>IF(B130="","",IF(B130+$B$11&lt;=$B$6+1E-9,B130+$B$11,""))</f>
        <v/>
      </c>
      <c r="C131" s="8">
        <f>IF(B131="","",B131+$B$5)</f>
        <v/>
      </c>
      <c r="D131" s="8">
        <f>IF(B131="","",IF(B131&lt;- $B$5,"Left tangent",IF(B131&lt;=$B$6,"Cubic curve","Right tangent")))</f>
        <v/>
      </c>
      <c r="E131" s="9">
        <f>IF(B131="","",IF(B131&lt;- $B$5,$B$7,IF(B131&lt;=$B$6,100*(3*$F$12*(B131+$B$5)^2+2*$F$13*(B131+$B$5)+$F$6),$B$8)))</f>
        <v/>
      </c>
      <c r="F131" s="10">
        <f>IF(B131="","",IF(B131&lt;- $B$5,$F$6*B131,IF(B131&lt;=$B$6,$F$12*(B131+$B$5)^3+$F$13*(B131+$B$5)^2+$F$6*(B131+$B$5)+$F$8,$F$9+$F$7*(B131-$B$6))))</f>
        <v/>
      </c>
      <c r="G131" s="10">
        <f>IF(F131="","",$B$10+F131)</f>
        <v/>
      </c>
      <c r="H131" s="10">
        <f>IF(B131="","",$B$9+B131)</f>
        <v/>
      </c>
    </row>
    <row r="132">
      <c r="A132" s="8">
        <f>IF(B132="","",A131+1)</f>
        <v/>
      </c>
      <c r="B132" s="8">
        <f>IF(B131="","",IF(B131+$B$11&lt;=$B$6+1E-9,B131+$B$11,""))</f>
        <v/>
      </c>
      <c r="C132" s="8">
        <f>IF(B132="","",B132+$B$5)</f>
        <v/>
      </c>
      <c r="D132" s="8">
        <f>IF(B132="","",IF(B132&lt;- $B$5,"Left tangent",IF(B132&lt;=$B$6,"Cubic curve","Right tangent")))</f>
        <v/>
      </c>
      <c r="E132" s="9">
        <f>IF(B132="","",IF(B132&lt;- $B$5,$B$7,IF(B132&lt;=$B$6,100*(3*$F$12*(B132+$B$5)^2+2*$F$13*(B132+$B$5)+$F$6),$B$8)))</f>
        <v/>
      </c>
      <c r="F132" s="10">
        <f>IF(B132="","",IF(B132&lt;- $B$5,$F$6*B132,IF(B132&lt;=$B$6,$F$12*(B132+$B$5)^3+$F$13*(B132+$B$5)^2+$F$6*(B132+$B$5)+$F$8,$F$9+$F$7*(B132-$B$6))))</f>
        <v/>
      </c>
      <c r="G132" s="10">
        <f>IF(F132="","",$B$10+F132)</f>
        <v/>
      </c>
      <c r="H132" s="10">
        <f>IF(B132="","",$B$9+B132)</f>
        <v/>
      </c>
    </row>
    <row r="133">
      <c r="A133" s="8">
        <f>IF(B133="","",A132+1)</f>
        <v/>
      </c>
      <c r="B133" s="8">
        <f>IF(B132="","",IF(B132+$B$11&lt;=$B$6+1E-9,B132+$B$11,""))</f>
        <v/>
      </c>
      <c r="C133" s="8">
        <f>IF(B133="","",B133+$B$5)</f>
        <v/>
      </c>
      <c r="D133" s="8">
        <f>IF(B133="","",IF(B133&lt;- $B$5,"Left tangent",IF(B133&lt;=$B$6,"Cubic curve","Right tangent")))</f>
        <v/>
      </c>
      <c r="E133" s="9">
        <f>IF(B133="","",IF(B133&lt;- $B$5,$B$7,IF(B133&lt;=$B$6,100*(3*$F$12*(B133+$B$5)^2+2*$F$13*(B133+$B$5)+$F$6),$B$8)))</f>
        <v/>
      </c>
      <c r="F133" s="10">
        <f>IF(B133="","",IF(B133&lt;- $B$5,$F$6*B133,IF(B133&lt;=$B$6,$F$12*(B133+$B$5)^3+$F$13*(B133+$B$5)^2+$F$6*(B133+$B$5)+$F$8,$F$9+$F$7*(B133-$B$6))))</f>
        <v/>
      </c>
      <c r="G133" s="10">
        <f>IF(F133="","",$B$10+F133)</f>
        <v/>
      </c>
      <c r="H133" s="10">
        <f>IF(B133="","",$B$9+B133)</f>
        <v/>
      </c>
    </row>
    <row r="134">
      <c r="A134" s="8">
        <f>IF(B134="","",A133+1)</f>
        <v/>
      </c>
      <c r="B134" s="8">
        <f>IF(B133="","",IF(B133+$B$11&lt;=$B$6+1E-9,B133+$B$11,""))</f>
        <v/>
      </c>
      <c r="C134" s="8">
        <f>IF(B134="","",B134+$B$5)</f>
        <v/>
      </c>
      <c r="D134" s="8">
        <f>IF(B134="","",IF(B134&lt;- $B$5,"Left tangent",IF(B134&lt;=$B$6,"Cubic curve","Right tangent")))</f>
        <v/>
      </c>
      <c r="E134" s="9">
        <f>IF(B134="","",IF(B134&lt;- $B$5,$B$7,IF(B134&lt;=$B$6,100*(3*$F$12*(B134+$B$5)^2+2*$F$13*(B134+$B$5)+$F$6),$B$8)))</f>
        <v/>
      </c>
      <c r="F134" s="10">
        <f>IF(B134="","",IF(B134&lt;- $B$5,$F$6*B134,IF(B134&lt;=$B$6,$F$12*(B134+$B$5)^3+$F$13*(B134+$B$5)^2+$F$6*(B134+$B$5)+$F$8,$F$9+$F$7*(B134-$B$6))))</f>
        <v/>
      </c>
      <c r="G134" s="10">
        <f>IF(F134="","",$B$10+F134)</f>
        <v/>
      </c>
      <c r="H134" s="10">
        <f>IF(B134="","",$B$9+B134)</f>
        <v/>
      </c>
    </row>
    <row r="135">
      <c r="A135" s="8">
        <f>IF(B135="","",A134+1)</f>
        <v/>
      </c>
      <c r="B135" s="8">
        <f>IF(B134="","",IF(B134+$B$11&lt;=$B$6+1E-9,B134+$B$11,""))</f>
        <v/>
      </c>
      <c r="C135" s="8">
        <f>IF(B135="","",B135+$B$5)</f>
        <v/>
      </c>
      <c r="D135" s="8">
        <f>IF(B135="","",IF(B135&lt;- $B$5,"Left tangent",IF(B135&lt;=$B$6,"Cubic curve","Right tangent")))</f>
        <v/>
      </c>
      <c r="E135" s="9">
        <f>IF(B135="","",IF(B135&lt;- $B$5,$B$7,IF(B135&lt;=$B$6,100*(3*$F$12*(B135+$B$5)^2+2*$F$13*(B135+$B$5)+$F$6),$B$8)))</f>
        <v/>
      </c>
      <c r="F135" s="10">
        <f>IF(B135="","",IF(B135&lt;- $B$5,$F$6*B135,IF(B135&lt;=$B$6,$F$12*(B135+$B$5)^3+$F$13*(B135+$B$5)^2+$F$6*(B135+$B$5)+$F$8,$F$9+$F$7*(B135-$B$6))))</f>
        <v/>
      </c>
      <c r="G135" s="10">
        <f>IF(F135="","",$B$10+F135)</f>
        <v/>
      </c>
      <c r="H135" s="10">
        <f>IF(B135="","",$B$9+B135)</f>
        <v/>
      </c>
    </row>
    <row r="136">
      <c r="A136" s="8">
        <f>IF(B136="","",A135+1)</f>
        <v/>
      </c>
      <c r="B136" s="8">
        <f>IF(B135="","",IF(B135+$B$11&lt;=$B$6+1E-9,B135+$B$11,""))</f>
        <v/>
      </c>
      <c r="C136" s="8">
        <f>IF(B136="","",B136+$B$5)</f>
        <v/>
      </c>
      <c r="D136" s="8">
        <f>IF(B136="","",IF(B136&lt;- $B$5,"Left tangent",IF(B136&lt;=$B$6,"Cubic curve","Right tangent")))</f>
        <v/>
      </c>
      <c r="E136" s="9">
        <f>IF(B136="","",IF(B136&lt;- $B$5,$B$7,IF(B136&lt;=$B$6,100*(3*$F$12*(B136+$B$5)^2+2*$F$13*(B136+$B$5)+$F$6),$B$8)))</f>
        <v/>
      </c>
      <c r="F136" s="10">
        <f>IF(B136="","",IF(B136&lt;- $B$5,$F$6*B136,IF(B136&lt;=$B$6,$F$12*(B136+$B$5)^3+$F$13*(B136+$B$5)^2+$F$6*(B136+$B$5)+$F$8,$F$9+$F$7*(B136-$B$6))))</f>
        <v/>
      </c>
      <c r="G136" s="10">
        <f>IF(F136="","",$B$10+F136)</f>
        <v/>
      </c>
      <c r="H136" s="10">
        <f>IF(B136="","",$B$9+B136)</f>
        <v/>
      </c>
    </row>
    <row r="137">
      <c r="A137" s="8">
        <f>IF(B137="","",A136+1)</f>
        <v/>
      </c>
      <c r="B137" s="8">
        <f>IF(B136="","",IF(B136+$B$11&lt;=$B$6+1E-9,B136+$B$11,""))</f>
        <v/>
      </c>
      <c r="C137" s="8">
        <f>IF(B137="","",B137+$B$5)</f>
        <v/>
      </c>
      <c r="D137" s="8">
        <f>IF(B137="","",IF(B137&lt;- $B$5,"Left tangent",IF(B137&lt;=$B$6,"Cubic curve","Right tangent")))</f>
        <v/>
      </c>
      <c r="E137" s="9">
        <f>IF(B137="","",IF(B137&lt;- $B$5,$B$7,IF(B137&lt;=$B$6,100*(3*$F$12*(B137+$B$5)^2+2*$F$13*(B137+$B$5)+$F$6),$B$8)))</f>
        <v/>
      </c>
      <c r="F137" s="10">
        <f>IF(B137="","",IF(B137&lt;- $B$5,$F$6*B137,IF(B137&lt;=$B$6,$F$12*(B137+$B$5)^3+$F$13*(B137+$B$5)^2+$F$6*(B137+$B$5)+$F$8,$F$9+$F$7*(B137-$B$6))))</f>
        <v/>
      </c>
      <c r="G137" s="10">
        <f>IF(F137="","",$B$10+F137)</f>
        <v/>
      </c>
      <c r="H137" s="10">
        <f>IF(B137="","",$B$9+B137)</f>
        <v/>
      </c>
    </row>
    <row r="138">
      <c r="A138" s="8">
        <f>IF(B138="","",A137+1)</f>
        <v/>
      </c>
      <c r="B138" s="8">
        <f>IF(B137="","",IF(B137+$B$11&lt;=$B$6+1E-9,B137+$B$11,""))</f>
        <v/>
      </c>
      <c r="C138" s="8">
        <f>IF(B138="","",B138+$B$5)</f>
        <v/>
      </c>
      <c r="D138" s="8">
        <f>IF(B138="","",IF(B138&lt;- $B$5,"Left tangent",IF(B138&lt;=$B$6,"Cubic curve","Right tangent")))</f>
        <v/>
      </c>
      <c r="E138" s="9">
        <f>IF(B138="","",IF(B138&lt;- $B$5,$B$7,IF(B138&lt;=$B$6,100*(3*$F$12*(B138+$B$5)^2+2*$F$13*(B138+$B$5)+$F$6),$B$8)))</f>
        <v/>
      </c>
      <c r="F138" s="10">
        <f>IF(B138="","",IF(B138&lt;- $B$5,$F$6*B138,IF(B138&lt;=$B$6,$F$12*(B138+$B$5)^3+$F$13*(B138+$B$5)^2+$F$6*(B138+$B$5)+$F$8,$F$9+$F$7*(B138-$B$6))))</f>
        <v/>
      </c>
      <c r="G138" s="10">
        <f>IF(F138="","",$B$10+F138)</f>
        <v/>
      </c>
      <c r="H138" s="10">
        <f>IF(B138="","",$B$9+B138)</f>
        <v/>
      </c>
    </row>
    <row r="139">
      <c r="A139" s="8">
        <f>IF(B139="","",A138+1)</f>
        <v/>
      </c>
      <c r="B139" s="8">
        <f>IF(B138="","",IF(B138+$B$11&lt;=$B$6+1E-9,B138+$B$11,""))</f>
        <v/>
      </c>
      <c r="C139" s="8">
        <f>IF(B139="","",B139+$B$5)</f>
        <v/>
      </c>
      <c r="D139" s="8">
        <f>IF(B139="","",IF(B139&lt;- $B$5,"Left tangent",IF(B139&lt;=$B$6,"Cubic curve","Right tangent")))</f>
        <v/>
      </c>
      <c r="E139" s="9">
        <f>IF(B139="","",IF(B139&lt;- $B$5,$B$7,IF(B139&lt;=$B$6,100*(3*$F$12*(B139+$B$5)^2+2*$F$13*(B139+$B$5)+$F$6),$B$8)))</f>
        <v/>
      </c>
      <c r="F139" s="10">
        <f>IF(B139="","",IF(B139&lt;- $B$5,$F$6*B139,IF(B139&lt;=$B$6,$F$12*(B139+$B$5)^3+$F$13*(B139+$B$5)^2+$F$6*(B139+$B$5)+$F$8,$F$9+$F$7*(B139-$B$6))))</f>
        <v/>
      </c>
      <c r="G139" s="10">
        <f>IF(F139="","",$B$10+F139)</f>
        <v/>
      </c>
      <c r="H139" s="10">
        <f>IF(B139="","",$B$9+B139)</f>
        <v/>
      </c>
    </row>
    <row r="140">
      <c r="A140" s="8">
        <f>IF(B140="","",A139+1)</f>
        <v/>
      </c>
      <c r="B140" s="8">
        <f>IF(B139="","",IF(B139+$B$11&lt;=$B$6+1E-9,B139+$B$11,""))</f>
        <v/>
      </c>
      <c r="C140" s="8">
        <f>IF(B140="","",B140+$B$5)</f>
        <v/>
      </c>
      <c r="D140" s="8">
        <f>IF(B140="","",IF(B140&lt;- $B$5,"Left tangent",IF(B140&lt;=$B$6,"Cubic curve","Right tangent")))</f>
        <v/>
      </c>
      <c r="E140" s="9">
        <f>IF(B140="","",IF(B140&lt;- $B$5,$B$7,IF(B140&lt;=$B$6,100*(3*$F$12*(B140+$B$5)^2+2*$F$13*(B140+$B$5)+$F$6),$B$8)))</f>
        <v/>
      </c>
      <c r="F140" s="10">
        <f>IF(B140="","",IF(B140&lt;- $B$5,$F$6*B140,IF(B140&lt;=$B$6,$F$12*(B140+$B$5)^3+$F$13*(B140+$B$5)^2+$F$6*(B140+$B$5)+$F$8,$F$9+$F$7*(B140-$B$6))))</f>
        <v/>
      </c>
      <c r="G140" s="10">
        <f>IF(F140="","",$B$10+F140)</f>
        <v/>
      </c>
      <c r="H140" s="10">
        <f>IF(B140="","",$B$9+B140)</f>
        <v/>
      </c>
    </row>
    <row r="141">
      <c r="A141" s="8">
        <f>IF(B141="","",A140+1)</f>
        <v/>
      </c>
      <c r="B141" s="8">
        <f>IF(B140="","",IF(B140+$B$11&lt;=$B$6+1E-9,B140+$B$11,""))</f>
        <v/>
      </c>
      <c r="C141" s="8">
        <f>IF(B141="","",B141+$B$5)</f>
        <v/>
      </c>
      <c r="D141" s="8">
        <f>IF(B141="","",IF(B141&lt;- $B$5,"Left tangent",IF(B141&lt;=$B$6,"Cubic curve","Right tangent")))</f>
        <v/>
      </c>
      <c r="E141" s="9">
        <f>IF(B141="","",IF(B141&lt;- $B$5,$B$7,IF(B141&lt;=$B$6,100*(3*$F$12*(B141+$B$5)^2+2*$F$13*(B141+$B$5)+$F$6),$B$8)))</f>
        <v/>
      </c>
      <c r="F141" s="10">
        <f>IF(B141="","",IF(B141&lt;- $B$5,$F$6*B141,IF(B141&lt;=$B$6,$F$12*(B141+$B$5)^3+$F$13*(B141+$B$5)^2+$F$6*(B141+$B$5)+$F$8,$F$9+$F$7*(B141-$B$6))))</f>
        <v/>
      </c>
      <c r="G141" s="10">
        <f>IF(F141="","",$B$10+F141)</f>
        <v/>
      </c>
      <c r="H141" s="10">
        <f>IF(B141="","",$B$9+B141)</f>
        <v/>
      </c>
    </row>
    <row r="142">
      <c r="A142" s="8">
        <f>IF(B142="","",A141+1)</f>
        <v/>
      </c>
      <c r="B142" s="8">
        <f>IF(B141="","",IF(B141+$B$11&lt;=$B$6+1E-9,B141+$B$11,""))</f>
        <v/>
      </c>
      <c r="C142" s="8">
        <f>IF(B142="","",B142+$B$5)</f>
        <v/>
      </c>
      <c r="D142" s="8">
        <f>IF(B142="","",IF(B142&lt;- $B$5,"Left tangent",IF(B142&lt;=$B$6,"Cubic curve","Right tangent")))</f>
        <v/>
      </c>
      <c r="E142" s="9">
        <f>IF(B142="","",IF(B142&lt;- $B$5,$B$7,IF(B142&lt;=$B$6,100*(3*$F$12*(B142+$B$5)^2+2*$F$13*(B142+$B$5)+$F$6),$B$8)))</f>
        <v/>
      </c>
      <c r="F142" s="10">
        <f>IF(B142="","",IF(B142&lt;- $B$5,$F$6*B142,IF(B142&lt;=$B$6,$F$12*(B142+$B$5)^3+$F$13*(B142+$B$5)^2+$F$6*(B142+$B$5)+$F$8,$F$9+$F$7*(B142-$B$6))))</f>
        <v/>
      </c>
      <c r="G142" s="10">
        <f>IF(F142="","",$B$10+F142)</f>
        <v/>
      </c>
      <c r="H142" s="10">
        <f>IF(B142="","",$B$9+B142)</f>
        <v/>
      </c>
    </row>
    <row r="143">
      <c r="A143" s="8">
        <f>IF(B143="","",A142+1)</f>
        <v/>
      </c>
      <c r="B143" s="8">
        <f>IF(B142="","",IF(B142+$B$11&lt;=$B$6+1E-9,B142+$B$11,""))</f>
        <v/>
      </c>
      <c r="C143" s="8">
        <f>IF(B143="","",B143+$B$5)</f>
        <v/>
      </c>
      <c r="D143" s="8">
        <f>IF(B143="","",IF(B143&lt;- $B$5,"Left tangent",IF(B143&lt;=$B$6,"Cubic curve","Right tangent")))</f>
        <v/>
      </c>
      <c r="E143" s="9">
        <f>IF(B143="","",IF(B143&lt;- $B$5,$B$7,IF(B143&lt;=$B$6,100*(3*$F$12*(B143+$B$5)^2+2*$F$13*(B143+$B$5)+$F$6),$B$8)))</f>
        <v/>
      </c>
      <c r="F143" s="10">
        <f>IF(B143="","",IF(B143&lt;- $B$5,$F$6*B143,IF(B143&lt;=$B$6,$F$12*(B143+$B$5)^3+$F$13*(B143+$B$5)^2+$F$6*(B143+$B$5)+$F$8,$F$9+$F$7*(B143-$B$6))))</f>
        <v/>
      </c>
      <c r="G143" s="10">
        <f>IF(F143="","",$B$10+F143)</f>
        <v/>
      </c>
      <c r="H143" s="10">
        <f>IF(B143="","",$B$9+B143)</f>
        <v/>
      </c>
    </row>
    <row r="144">
      <c r="A144" s="8">
        <f>IF(B144="","",A143+1)</f>
        <v/>
      </c>
      <c r="B144" s="8">
        <f>IF(B143="","",IF(B143+$B$11&lt;=$B$6+1E-9,B143+$B$11,""))</f>
        <v/>
      </c>
      <c r="C144" s="8">
        <f>IF(B144="","",B144+$B$5)</f>
        <v/>
      </c>
      <c r="D144" s="8">
        <f>IF(B144="","",IF(B144&lt;- $B$5,"Left tangent",IF(B144&lt;=$B$6,"Cubic curve","Right tangent")))</f>
        <v/>
      </c>
      <c r="E144" s="9">
        <f>IF(B144="","",IF(B144&lt;- $B$5,$B$7,IF(B144&lt;=$B$6,100*(3*$F$12*(B144+$B$5)^2+2*$F$13*(B144+$B$5)+$F$6),$B$8)))</f>
        <v/>
      </c>
      <c r="F144" s="10">
        <f>IF(B144="","",IF(B144&lt;- $B$5,$F$6*B144,IF(B144&lt;=$B$6,$F$12*(B144+$B$5)^3+$F$13*(B144+$B$5)^2+$F$6*(B144+$B$5)+$F$8,$F$9+$F$7*(B144-$B$6))))</f>
        <v/>
      </c>
      <c r="G144" s="10">
        <f>IF(F144="","",$B$10+F144)</f>
        <v/>
      </c>
      <c r="H144" s="10">
        <f>IF(B144="","",$B$9+B144)</f>
        <v/>
      </c>
    </row>
    <row r="145">
      <c r="A145" s="8">
        <f>IF(B145="","",A144+1)</f>
        <v/>
      </c>
      <c r="B145" s="8">
        <f>IF(B144="","",IF(B144+$B$11&lt;=$B$6+1E-9,B144+$B$11,""))</f>
        <v/>
      </c>
      <c r="C145" s="8">
        <f>IF(B145="","",B145+$B$5)</f>
        <v/>
      </c>
      <c r="D145" s="8">
        <f>IF(B145="","",IF(B145&lt;- $B$5,"Left tangent",IF(B145&lt;=$B$6,"Cubic curve","Right tangent")))</f>
        <v/>
      </c>
      <c r="E145" s="9">
        <f>IF(B145="","",IF(B145&lt;- $B$5,$B$7,IF(B145&lt;=$B$6,100*(3*$F$12*(B145+$B$5)^2+2*$F$13*(B145+$B$5)+$F$6),$B$8)))</f>
        <v/>
      </c>
      <c r="F145" s="10">
        <f>IF(B145="","",IF(B145&lt;- $B$5,$F$6*B145,IF(B145&lt;=$B$6,$F$12*(B145+$B$5)^3+$F$13*(B145+$B$5)^2+$F$6*(B145+$B$5)+$F$8,$F$9+$F$7*(B145-$B$6))))</f>
        <v/>
      </c>
      <c r="G145" s="10">
        <f>IF(F145="","",$B$10+F145)</f>
        <v/>
      </c>
      <c r="H145" s="10">
        <f>IF(B145="","",$B$9+B145)</f>
        <v/>
      </c>
    </row>
    <row r="146">
      <c r="A146" s="8">
        <f>IF(B146="","",A145+1)</f>
        <v/>
      </c>
      <c r="B146" s="8">
        <f>IF(B145="","",IF(B145+$B$11&lt;=$B$6+1E-9,B145+$B$11,""))</f>
        <v/>
      </c>
      <c r="C146" s="8">
        <f>IF(B146="","",B146+$B$5)</f>
        <v/>
      </c>
      <c r="D146" s="8">
        <f>IF(B146="","",IF(B146&lt;- $B$5,"Left tangent",IF(B146&lt;=$B$6,"Cubic curve","Right tangent")))</f>
        <v/>
      </c>
      <c r="E146" s="9">
        <f>IF(B146="","",IF(B146&lt;- $B$5,$B$7,IF(B146&lt;=$B$6,100*(3*$F$12*(B146+$B$5)^2+2*$F$13*(B146+$B$5)+$F$6),$B$8)))</f>
        <v/>
      </c>
      <c r="F146" s="10">
        <f>IF(B146="","",IF(B146&lt;- $B$5,$F$6*B146,IF(B146&lt;=$B$6,$F$12*(B146+$B$5)^3+$F$13*(B146+$B$5)^2+$F$6*(B146+$B$5)+$F$8,$F$9+$F$7*(B146-$B$6))))</f>
        <v/>
      </c>
      <c r="G146" s="10">
        <f>IF(F146="","",$B$10+F146)</f>
        <v/>
      </c>
      <c r="H146" s="10">
        <f>IF(B146="","",$B$9+B146)</f>
        <v/>
      </c>
    </row>
    <row r="147">
      <c r="A147" s="8">
        <f>IF(B147="","",A146+1)</f>
        <v/>
      </c>
      <c r="B147" s="8">
        <f>IF(B146="","",IF(B146+$B$11&lt;=$B$6+1E-9,B146+$B$11,""))</f>
        <v/>
      </c>
      <c r="C147" s="8">
        <f>IF(B147="","",B147+$B$5)</f>
        <v/>
      </c>
      <c r="D147" s="8">
        <f>IF(B147="","",IF(B147&lt;- $B$5,"Left tangent",IF(B147&lt;=$B$6,"Cubic curve","Right tangent")))</f>
        <v/>
      </c>
      <c r="E147" s="9">
        <f>IF(B147="","",IF(B147&lt;- $B$5,$B$7,IF(B147&lt;=$B$6,100*(3*$F$12*(B147+$B$5)^2+2*$F$13*(B147+$B$5)+$F$6),$B$8)))</f>
        <v/>
      </c>
      <c r="F147" s="10">
        <f>IF(B147="","",IF(B147&lt;- $B$5,$F$6*B147,IF(B147&lt;=$B$6,$F$12*(B147+$B$5)^3+$F$13*(B147+$B$5)^2+$F$6*(B147+$B$5)+$F$8,$F$9+$F$7*(B147-$B$6))))</f>
        <v/>
      </c>
      <c r="G147" s="10">
        <f>IF(F147="","",$B$10+F147)</f>
        <v/>
      </c>
      <c r="H147" s="10">
        <f>IF(B147="","",$B$9+B147)</f>
        <v/>
      </c>
    </row>
    <row r="148">
      <c r="A148" s="8">
        <f>IF(B148="","",A147+1)</f>
        <v/>
      </c>
      <c r="B148" s="8">
        <f>IF(B147="","",IF(B147+$B$11&lt;=$B$6+1E-9,B147+$B$11,""))</f>
        <v/>
      </c>
      <c r="C148" s="8">
        <f>IF(B148="","",B148+$B$5)</f>
        <v/>
      </c>
      <c r="D148" s="8">
        <f>IF(B148="","",IF(B148&lt;- $B$5,"Left tangent",IF(B148&lt;=$B$6,"Cubic curve","Right tangent")))</f>
        <v/>
      </c>
      <c r="E148" s="9">
        <f>IF(B148="","",IF(B148&lt;- $B$5,$B$7,IF(B148&lt;=$B$6,100*(3*$F$12*(B148+$B$5)^2+2*$F$13*(B148+$B$5)+$F$6),$B$8)))</f>
        <v/>
      </c>
      <c r="F148" s="10">
        <f>IF(B148="","",IF(B148&lt;- $B$5,$F$6*B148,IF(B148&lt;=$B$6,$F$12*(B148+$B$5)^3+$F$13*(B148+$B$5)^2+$F$6*(B148+$B$5)+$F$8,$F$9+$F$7*(B148-$B$6))))</f>
        <v/>
      </c>
      <c r="G148" s="10">
        <f>IF(F148="","",$B$10+F148)</f>
        <v/>
      </c>
      <c r="H148" s="10">
        <f>IF(B148="","",$B$9+B148)</f>
        <v/>
      </c>
    </row>
    <row r="149">
      <c r="A149" s="8">
        <f>IF(B149="","",A148+1)</f>
        <v/>
      </c>
      <c r="B149" s="8">
        <f>IF(B148="","",IF(B148+$B$11&lt;=$B$6+1E-9,B148+$B$11,""))</f>
        <v/>
      </c>
      <c r="C149" s="8">
        <f>IF(B149="","",B149+$B$5)</f>
        <v/>
      </c>
      <c r="D149" s="8">
        <f>IF(B149="","",IF(B149&lt;- $B$5,"Left tangent",IF(B149&lt;=$B$6,"Cubic curve","Right tangent")))</f>
        <v/>
      </c>
      <c r="E149" s="9">
        <f>IF(B149="","",IF(B149&lt;- $B$5,$B$7,IF(B149&lt;=$B$6,100*(3*$F$12*(B149+$B$5)^2+2*$F$13*(B149+$B$5)+$F$6),$B$8)))</f>
        <v/>
      </c>
      <c r="F149" s="10">
        <f>IF(B149="","",IF(B149&lt;- $B$5,$F$6*B149,IF(B149&lt;=$B$6,$F$12*(B149+$B$5)^3+$F$13*(B149+$B$5)^2+$F$6*(B149+$B$5)+$F$8,$F$9+$F$7*(B149-$B$6))))</f>
        <v/>
      </c>
      <c r="G149" s="10">
        <f>IF(F149="","",$B$10+F149)</f>
        <v/>
      </c>
      <c r="H149" s="10">
        <f>IF(B149="","",$B$9+B149)</f>
        <v/>
      </c>
    </row>
    <row r="150">
      <c r="A150" s="8">
        <f>IF(B150="","",A149+1)</f>
        <v/>
      </c>
      <c r="B150" s="8">
        <f>IF(B149="","",IF(B149+$B$11&lt;=$B$6+1E-9,B149+$B$11,""))</f>
        <v/>
      </c>
      <c r="C150" s="8">
        <f>IF(B150="","",B150+$B$5)</f>
        <v/>
      </c>
      <c r="D150" s="8">
        <f>IF(B150="","",IF(B150&lt;- $B$5,"Left tangent",IF(B150&lt;=$B$6,"Cubic curve","Right tangent")))</f>
        <v/>
      </c>
      <c r="E150" s="9">
        <f>IF(B150="","",IF(B150&lt;- $B$5,$B$7,IF(B150&lt;=$B$6,100*(3*$F$12*(B150+$B$5)^2+2*$F$13*(B150+$B$5)+$F$6),$B$8)))</f>
        <v/>
      </c>
      <c r="F150" s="10">
        <f>IF(B150="","",IF(B150&lt;- $B$5,$F$6*B150,IF(B150&lt;=$B$6,$F$12*(B150+$B$5)^3+$F$13*(B150+$B$5)^2+$F$6*(B150+$B$5)+$F$8,$F$9+$F$7*(B150-$B$6))))</f>
        <v/>
      </c>
      <c r="G150" s="10">
        <f>IF(F150="","",$B$10+F150)</f>
        <v/>
      </c>
      <c r="H150" s="10">
        <f>IF(B150="","",$B$9+B150)</f>
        <v/>
      </c>
    </row>
    <row r="151">
      <c r="A151" s="8">
        <f>IF(B151="","",A150+1)</f>
        <v/>
      </c>
      <c r="B151" s="8">
        <f>IF(B150="","",IF(B150+$B$11&lt;=$B$6+1E-9,B150+$B$11,""))</f>
        <v/>
      </c>
      <c r="C151" s="8">
        <f>IF(B151="","",B151+$B$5)</f>
        <v/>
      </c>
      <c r="D151" s="8">
        <f>IF(B151="","",IF(B151&lt;- $B$5,"Left tangent",IF(B151&lt;=$B$6,"Cubic curve","Right tangent")))</f>
        <v/>
      </c>
      <c r="E151" s="9">
        <f>IF(B151="","",IF(B151&lt;- $B$5,$B$7,IF(B151&lt;=$B$6,100*(3*$F$12*(B151+$B$5)^2+2*$F$13*(B151+$B$5)+$F$6),$B$8)))</f>
        <v/>
      </c>
      <c r="F151" s="10">
        <f>IF(B151="","",IF(B151&lt;- $B$5,$F$6*B151,IF(B151&lt;=$B$6,$F$12*(B151+$B$5)^3+$F$13*(B151+$B$5)^2+$F$6*(B151+$B$5)+$F$8,$F$9+$F$7*(B151-$B$6))))</f>
        <v/>
      </c>
      <c r="G151" s="10">
        <f>IF(F151="","",$B$10+F151)</f>
        <v/>
      </c>
      <c r="H151" s="10">
        <f>IF(B151="","",$B$9+B151)</f>
        <v/>
      </c>
    </row>
    <row r="152">
      <c r="A152" s="8">
        <f>IF(B152="","",A151+1)</f>
        <v/>
      </c>
      <c r="B152" s="8">
        <f>IF(B151="","",IF(B151+$B$11&lt;=$B$6+1E-9,B151+$B$11,""))</f>
        <v/>
      </c>
      <c r="C152" s="8">
        <f>IF(B152="","",B152+$B$5)</f>
        <v/>
      </c>
      <c r="D152" s="8">
        <f>IF(B152="","",IF(B152&lt;- $B$5,"Left tangent",IF(B152&lt;=$B$6,"Cubic curve","Right tangent")))</f>
        <v/>
      </c>
      <c r="E152" s="9">
        <f>IF(B152="","",IF(B152&lt;- $B$5,$B$7,IF(B152&lt;=$B$6,100*(3*$F$12*(B152+$B$5)^2+2*$F$13*(B152+$B$5)+$F$6),$B$8)))</f>
        <v/>
      </c>
      <c r="F152" s="10">
        <f>IF(B152="","",IF(B152&lt;- $B$5,$F$6*B152,IF(B152&lt;=$B$6,$F$12*(B152+$B$5)^3+$F$13*(B152+$B$5)^2+$F$6*(B152+$B$5)+$F$8,$F$9+$F$7*(B152-$B$6))))</f>
        <v/>
      </c>
      <c r="G152" s="10">
        <f>IF(F152="","",$B$10+F152)</f>
        <v/>
      </c>
      <c r="H152" s="10">
        <f>IF(B152="","",$B$9+B152)</f>
        <v/>
      </c>
    </row>
    <row r="153">
      <c r="A153" s="8">
        <f>IF(B153="","",A152+1)</f>
        <v/>
      </c>
      <c r="B153" s="8">
        <f>IF(B152="","",IF(B152+$B$11&lt;=$B$6+1E-9,B152+$B$11,""))</f>
        <v/>
      </c>
      <c r="C153" s="8">
        <f>IF(B153="","",B153+$B$5)</f>
        <v/>
      </c>
      <c r="D153" s="8">
        <f>IF(B153="","",IF(B153&lt;- $B$5,"Left tangent",IF(B153&lt;=$B$6,"Cubic curve","Right tangent")))</f>
        <v/>
      </c>
      <c r="E153" s="9">
        <f>IF(B153="","",IF(B153&lt;- $B$5,$B$7,IF(B153&lt;=$B$6,100*(3*$F$12*(B153+$B$5)^2+2*$F$13*(B153+$B$5)+$F$6),$B$8)))</f>
        <v/>
      </c>
      <c r="F153" s="10">
        <f>IF(B153="","",IF(B153&lt;- $B$5,$F$6*B153,IF(B153&lt;=$B$6,$F$12*(B153+$B$5)^3+$F$13*(B153+$B$5)^2+$F$6*(B153+$B$5)+$F$8,$F$9+$F$7*(B153-$B$6))))</f>
        <v/>
      </c>
      <c r="G153" s="10">
        <f>IF(F153="","",$B$10+F153)</f>
        <v/>
      </c>
      <c r="H153" s="10">
        <f>IF(B153="","",$B$9+B153)</f>
        <v/>
      </c>
    </row>
    <row r="154">
      <c r="A154" s="8">
        <f>IF(B154="","",A153+1)</f>
        <v/>
      </c>
      <c r="B154" s="8">
        <f>IF(B153="","",IF(B153+$B$11&lt;=$B$6+1E-9,B153+$B$11,""))</f>
        <v/>
      </c>
      <c r="C154" s="8">
        <f>IF(B154="","",B154+$B$5)</f>
        <v/>
      </c>
      <c r="D154" s="8">
        <f>IF(B154="","",IF(B154&lt;- $B$5,"Left tangent",IF(B154&lt;=$B$6,"Cubic curve","Right tangent")))</f>
        <v/>
      </c>
      <c r="E154" s="9">
        <f>IF(B154="","",IF(B154&lt;- $B$5,$B$7,IF(B154&lt;=$B$6,100*(3*$F$12*(B154+$B$5)^2+2*$F$13*(B154+$B$5)+$F$6),$B$8)))</f>
        <v/>
      </c>
      <c r="F154" s="10">
        <f>IF(B154="","",IF(B154&lt;- $B$5,$F$6*B154,IF(B154&lt;=$B$6,$F$12*(B154+$B$5)^3+$F$13*(B154+$B$5)^2+$F$6*(B154+$B$5)+$F$8,$F$9+$F$7*(B154-$B$6))))</f>
        <v/>
      </c>
      <c r="G154" s="10">
        <f>IF(F154="","",$B$10+F154)</f>
        <v/>
      </c>
      <c r="H154" s="10">
        <f>IF(B154="","",$B$9+B154)</f>
        <v/>
      </c>
    </row>
    <row r="155">
      <c r="A155" s="8">
        <f>IF(B155="","",A154+1)</f>
        <v/>
      </c>
      <c r="B155" s="8">
        <f>IF(B154="","",IF(B154+$B$11&lt;=$B$6+1E-9,B154+$B$11,""))</f>
        <v/>
      </c>
      <c r="C155" s="8">
        <f>IF(B155="","",B155+$B$5)</f>
        <v/>
      </c>
      <c r="D155" s="8">
        <f>IF(B155="","",IF(B155&lt;- $B$5,"Left tangent",IF(B155&lt;=$B$6,"Cubic curve","Right tangent")))</f>
        <v/>
      </c>
      <c r="E155" s="9">
        <f>IF(B155="","",IF(B155&lt;- $B$5,$B$7,IF(B155&lt;=$B$6,100*(3*$F$12*(B155+$B$5)^2+2*$F$13*(B155+$B$5)+$F$6),$B$8)))</f>
        <v/>
      </c>
      <c r="F155" s="10">
        <f>IF(B155="","",IF(B155&lt;- $B$5,$F$6*B155,IF(B155&lt;=$B$6,$F$12*(B155+$B$5)^3+$F$13*(B155+$B$5)^2+$F$6*(B155+$B$5)+$F$8,$F$9+$F$7*(B155-$B$6))))</f>
        <v/>
      </c>
      <c r="G155" s="10">
        <f>IF(F155="","",$B$10+F155)</f>
        <v/>
      </c>
      <c r="H155" s="10">
        <f>IF(B155="","",$B$9+B155)</f>
        <v/>
      </c>
    </row>
    <row r="156">
      <c r="A156" s="8">
        <f>IF(B156="","",A155+1)</f>
        <v/>
      </c>
      <c r="B156" s="8">
        <f>IF(B155="","",IF(B155+$B$11&lt;=$B$6+1E-9,B155+$B$11,""))</f>
        <v/>
      </c>
      <c r="C156" s="8">
        <f>IF(B156="","",B156+$B$5)</f>
        <v/>
      </c>
      <c r="D156" s="8">
        <f>IF(B156="","",IF(B156&lt;- $B$5,"Left tangent",IF(B156&lt;=$B$6,"Cubic curve","Right tangent")))</f>
        <v/>
      </c>
      <c r="E156" s="9">
        <f>IF(B156="","",IF(B156&lt;- $B$5,$B$7,IF(B156&lt;=$B$6,100*(3*$F$12*(B156+$B$5)^2+2*$F$13*(B156+$B$5)+$F$6),$B$8)))</f>
        <v/>
      </c>
      <c r="F156" s="10">
        <f>IF(B156="","",IF(B156&lt;- $B$5,$F$6*B156,IF(B156&lt;=$B$6,$F$12*(B156+$B$5)^3+$F$13*(B156+$B$5)^2+$F$6*(B156+$B$5)+$F$8,$F$9+$F$7*(B156-$B$6))))</f>
        <v/>
      </c>
      <c r="G156" s="10">
        <f>IF(F156="","",$B$10+F156)</f>
        <v/>
      </c>
      <c r="H156" s="10">
        <f>IF(B156="","",$B$9+B156)</f>
        <v/>
      </c>
    </row>
    <row r="157">
      <c r="A157" s="8">
        <f>IF(B157="","",A156+1)</f>
        <v/>
      </c>
      <c r="B157" s="8">
        <f>IF(B156="","",IF(B156+$B$11&lt;=$B$6+1E-9,B156+$B$11,""))</f>
        <v/>
      </c>
      <c r="C157" s="8">
        <f>IF(B157="","",B157+$B$5)</f>
        <v/>
      </c>
      <c r="D157" s="8">
        <f>IF(B157="","",IF(B157&lt;- $B$5,"Left tangent",IF(B157&lt;=$B$6,"Cubic curve","Right tangent")))</f>
        <v/>
      </c>
      <c r="E157" s="9">
        <f>IF(B157="","",IF(B157&lt;- $B$5,$B$7,IF(B157&lt;=$B$6,100*(3*$F$12*(B157+$B$5)^2+2*$F$13*(B157+$B$5)+$F$6),$B$8)))</f>
        <v/>
      </c>
      <c r="F157" s="10">
        <f>IF(B157="","",IF(B157&lt;- $B$5,$F$6*B157,IF(B157&lt;=$B$6,$F$12*(B157+$B$5)^3+$F$13*(B157+$B$5)^2+$F$6*(B157+$B$5)+$F$8,$F$9+$F$7*(B157-$B$6))))</f>
        <v/>
      </c>
      <c r="G157" s="10">
        <f>IF(F157="","",$B$10+F157)</f>
        <v/>
      </c>
      <c r="H157" s="10">
        <f>IF(B157="","",$B$9+B157)</f>
        <v/>
      </c>
    </row>
    <row r="158">
      <c r="A158" s="8">
        <f>IF(B158="","",A157+1)</f>
        <v/>
      </c>
      <c r="B158" s="8">
        <f>IF(B157="","",IF(B157+$B$11&lt;=$B$6+1E-9,B157+$B$11,""))</f>
        <v/>
      </c>
      <c r="C158" s="8">
        <f>IF(B158="","",B158+$B$5)</f>
        <v/>
      </c>
      <c r="D158" s="8">
        <f>IF(B158="","",IF(B158&lt;- $B$5,"Left tangent",IF(B158&lt;=$B$6,"Cubic curve","Right tangent")))</f>
        <v/>
      </c>
      <c r="E158" s="9">
        <f>IF(B158="","",IF(B158&lt;- $B$5,$B$7,IF(B158&lt;=$B$6,100*(3*$F$12*(B158+$B$5)^2+2*$F$13*(B158+$B$5)+$F$6),$B$8)))</f>
        <v/>
      </c>
      <c r="F158" s="10">
        <f>IF(B158="","",IF(B158&lt;- $B$5,$F$6*B158,IF(B158&lt;=$B$6,$F$12*(B158+$B$5)^3+$F$13*(B158+$B$5)^2+$F$6*(B158+$B$5)+$F$8,$F$9+$F$7*(B158-$B$6))))</f>
        <v/>
      </c>
      <c r="G158" s="10">
        <f>IF(F158="","",$B$10+F158)</f>
        <v/>
      </c>
      <c r="H158" s="10">
        <f>IF(B158="","",$B$9+B158)</f>
        <v/>
      </c>
    </row>
    <row r="159">
      <c r="A159" s="8">
        <f>IF(B159="","",A158+1)</f>
        <v/>
      </c>
      <c r="B159" s="8">
        <f>IF(B158="","",IF(B158+$B$11&lt;=$B$6+1E-9,B158+$B$11,""))</f>
        <v/>
      </c>
      <c r="C159" s="8">
        <f>IF(B159="","",B159+$B$5)</f>
        <v/>
      </c>
      <c r="D159" s="8">
        <f>IF(B159="","",IF(B159&lt;- $B$5,"Left tangent",IF(B159&lt;=$B$6,"Cubic curve","Right tangent")))</f>
        <v/>
      </c>
      <c r="E159" s="9">
        <f>IF(B159="","",IF(B159&lt;- $B$5,$B$7,IF(B159&lt;=$B$6,100*(3*$F$12*(B159+$B$5)^2+2*$F$13*(B159+$B$5)+$F$6),$B$8)))</f>
        <v/>
      </c>
      <c r="F159" s="10">
        <f>IF(B159="","",IF(B159&lt;- $B$5,$F$6*B159,IF(B159&lt;=$B$6,$F$12*(B159+$B$5)^3+$F$13*(B159+$B$5)^2+$F$6*(B159+$B$5)+$F$8,$F$9+$F$7*(B159-$B$6))))</f>
        <v/>
      </c>
      <c r="G159" s="10">
        <f>IF(F159="","",$B$10+F159)</f>
        <v/>
      </c>
      <c r="H159" s="10">
        <f>IF(B159="","",$B$9+B159)</f>
        <v/>
      </c>
    </row>
    <row r="160">
      <c r="A160" s="8">
        <f>IF(B160="","",A159+1)</f>
        <v/>
      </c>
      <c r="B160" s="8">
        <f>IF(B159="","",IF(B159+$B$11&lt;=$B$6+1E-9,B159+$B$11,""))</f>
        <v/>
      </c>
      <c r="C160" s="8">
        <f>IF(B160="","",B160+$B$5)</f>
        <v/>
      </c>
      <c r="D160" s="8">
        <f>IF(B160="","",IF(B160&lt;- $B$5,"Left tangent",IF(B160&lt;=$B$6,"Cubic curve","Right tangent")))</f>
        <v/>
      </c>
      <c r="E160" s="9">
        <f>IF(B160="","",IF(B160&lt;- $B$5,$B$7,IF(B160&lt;=$B$6,100*(3*$F$12*(B160+$B$5)^2+2*$F$13*(B160+$B$5)+$F$6),$B$8)))</f>
        <v/>
      </c>
      <c r="F160" s="10">
        <f>IF(B160="","",IF(B160&lt;- $B$5,$F$6*B160,IF(B160&lt;=$B$6,$F$12*(B160+$B$5)^3+$F$13*(B160+$B$5)^2+$F$6*(B160+$B$5)+$F$8,$F$9+$F$7*(B160-$B$6))))</f>
        <v/>
      </c>
      <c r="G160" s="10">
        <f>IF(F160="","",$B$10+F160)</f>
        <v/>
      </c>
      <c r="H160" s="10">
        <f>IF(B160="","",$B$9+B160)</f>
        <v/>
      </c>
    </row>
    <row r="161">
      <c r="A161" s="8">
        <f>IF(B161="","",A160+1)</f>
        <v/>
      </c>
      <c r="B161" s="8">
        <f>IF(B160="","",IF(B160+$B$11&lt;=$B$6+1E-9,B160+$B$11,""))</f>
        <v/>
      </c>
      <c r="C161" s="8">
        <f>IF(B161="","",B161+$B$5)</f>
        <v/>
      </c>
      <c r="D161" s="8">
        <f>IF(B161="","",IF(B161&lt;- $B$5,"Left tangent",IF(B161&lt;=$B$6,"Cubic curve","Right tangent")))</f>
        <v/>
      </c>
      <c r="E161" s="9">
        <f>IF(B161="","",IF(B161&lt;- $B$5,$B$7,IF(B161&lt;=$B$6,100*(3*$F$12*(B161+$B$5)^2+2*$F$13*(B161+$B$5)+$F$6),$B$8)))</f>
        <v/>
      </c>
      <c r="F161" s="10">
        <f>IF(B161="","",IF(B161&lt;- $B$5,$F$6*B161,IF(B161&lt;=$B$6,$F$12*(B161+$B$5)^3+$F$13*(B161+$B$5)^2+$F$6*(B161+$B$5)+$F$8,$F$9+$F$7*(B161-$B$6))))</f>
        <v/>
      </c>
      <c r="G161" s="10">
        <f>IF(F161="","",$B$10+F161)</f>
        <v/>
      </c>
      <c r="H161" s="10">
        <f>IF(B161="","",$B$9+B161)</f>
        <v/>
      </c>
    </row>
    <row r="162">
      <c r="A162" s="8">
        <f>IF(B162="","",A161+1)</f>
        <v/>
      </c>
      <c r="B162" s="8">
        <f>IF(B161="","",IF(B161+$B$11&lt;=$B$6+1E-9,B161+$B$11,""))</f>
        <v/>
      </c>
      <c r="C162" s="8">
        <f>IF(B162="","",B162+$B$5)</f>
        <v/>
      </c>
      <c r="D162" s="8">
        <f>IF(B162="","",IF(B162&lt;- $B$5,"Left tangent",IF(B162&lt;=$B$6,"Cubic curve","Right tangent")))</f>
        <v/>
      </c>
      <c r="E162" s="9">
        <f>IF(B162="","",IF(B162&lt;- $B$5,$B$7,IF(B162&lt;=$B$6,100*(3*$F$12*(B162+$B$5)^2+2*$F$13*(B162+$B$5)+$F$6),$B$8)))</f>
        <v/>
      </c>
      <c r="F162" s="10">
        <f>IF(B162="","",IF(B162&lt;- $B$5,$F$6*B162,IF(B162&lt;=$B$6,$F$12*(B162+$B$5)^3+$F$13*(B162+$B$5)^2+$F$6*(B162+$B$5)+$F$8,$F$9+$F$7*(B162-$B$6))))</f>
        <v/>
      </c>
      <c r="G162" s="10">
        <f>IF(F162="","",$B$10+F162)</f>
        <v/>
      </c>
      <c r="H162" s="10">
        <f>IF(B162="","",$B$9+B162)</f>
        <v/>
      </c>
    </row>
    <row r="163">
      <c r="A163" s="8">
        <f>IF(B163="","",A162+1)</f>
        <v/>
      </c>
      <c r="B163" s="8">
        <f>IF(B162="","",IF(B162+$B$11&lt;=$B$6+1E-9,B162+$B$11,""))</f>
        <v/>
      </c>
      <c r="C163" s="8">
        <f>IF(B163="","",B163+$B$5)</f>
        <v/>
      </c>
      <c r="D163" s="8">
        <f>IF(B163="","",IF(B163&lt;- $B$5,"Left tangent",IF(B163&lt;=$B$6,"Cubic curve","Right tangent")))</f>
        <v/>
      </c>
      <c r="E163" s="9">
        <f>IF(B163="","",IF(B163&lt;- $B$5,$B$7,IF(B163&lt;=$B$6,100*(3*$F$12*(B163+$B$5)^2+2*$F$13*(B163+$B$5)+$F$6),$B$8)))</f>
        <v/>
      </c>
      <c r="F163" s="10">
        <f>IF(B163="","",IF(B163&lt;- $B$5,$F$6*B163,IF(B163&lt;=$B$6,$F$12*(B163+$B$5)^3+$F$13*(B163+$B$5)^2+$F$6*(B163+$B$5)+$F$8,$F$9+$F$7*(B163-$B$6))))</f>
        <v/>
      </c>
      <c r="G163" s="10">
        <f>IF(F163="","",$B$10+F163)</f>
        <v/>
      </c>
      <c r="H163" s="10">
        <f>IF(B163="","",$B$9+B163)</f>
        <v/>
      </c>
    </row>
    <row r="164">
      <c r="A164" s="8">
        <f>IF(B164="","",A163+1)</f>
        <v/>
      </c>
      <c r="B164" s="8">
        <f>IF(B163="","",IF(B163+$B$11&lt;=$B$6+1E-9,B163+$B$11,""))</f>
        <v/>
      </c>
      <c r="C164" s="8">
        <f>IF(B164="","",B164+$B$5)</f>
        <v/>
      </c>
      <c r="D164" s="8">
        <f>IF(B164="","",IF(B164&lt;- $B$5,"Left tangent",IF(B164&lt;=$B$6,"Cubic curve","Right tangent")))</f>
        <v/>
      </c>
      <c r="E164" s="9">
        <f>IF(B164="","",IF(B164&lt;- $B$5,$B$7,IF(B164&lt;=$B$6,100*(3*$F$12*(B164+$B$5)^2+2*$F$13*(B164+$B$5)+$F$6),$B$8)))</f>
        <v/>
      </c>
      <c r="F164" s="10">
        <f>IF(B164="","",IF(B164&lt;- $B$5,$F$6*B164,IF(B164&lt;=$B$6,$F$12*(B164+$B$5)^3+$F$13*(B164+$B$5)^2+$F$6*(B164+$B$5)+$F$8,$F$9+$F$7*(B164-$B$6))))</f>
        <v/>
      </c>
      <c r="G164" s="10">
        <f>IF(F164="","",$B$10+F164)</f>
        <v/>
      </c>
      <c r="H164" s="10">
        <f>IF(B164="","",$B$9+B164)</f>
        <v/>
      </c>
    </row>
    <row r="165">
      <c r="A165" s="8">
        <f>IF(B165="","",A164+1)</f>
        <v/>
      </c>
      <c r="B165" s="8">
        <f>IF(B164="","",IF(B164+$B$11&lt;=$B$6+1E-9,B164+$B$11,""))</f>
        <v/>
      </c>
      <c r="C165" s="8">
        <f>IF(B165="","",B165+$B$5)</f>
        <v/>
      </c>
      <c r="D165" s="8">
        <f>IF(B165="","",IF(B165&lt;- $B$5,"Left tangent",IF(B165&lt;=$B$6,"Cubic curve","Right tangent")))</f>
        <v/>
      </c>
      <c r="E165" s="9">
        <f>IF(B165="","",IF(B165&lt;- $B$5,$B$7,IF(B165&lt;=$B$6,100*(3*$F$12*(B165+$B$5)^2+2*$F$13*(B165+$B$5)+$F$6),$B$8)))</f>
        <v/>
      </c>
      <c r="F165" s="10">
        <f>IF(B165="","",IF(B165&lt;- $B$5,$F$6*B165,IF(B165&lt;=$B$6,$F$12*(B165+$B$5)^3+$F$13*(B165+$B$5)^2+$F$6*(B165+$B$5)+$F$8,$F$9+$F$7*(B165-$B$6))))</f>
        <v/>
      </c>
      <c r="G165" s="10">
        <f>IF(F165="","",$B$10+F165)</f>
        <v/>
      </c>
      <c r="H165" s="10">
        <f>IF(B165="","",$B$9+B165)</f>
        <v/>
      </c>
    </row>
    <row r="166">
      <c r="A166" s="8">
        <f>IF(B166="","",A165+1)</f>
        <v/>
      </c>
      <c r="B166" s="8">
        <f>IF(B165="","",IF(B165+$B$11&lt;=$B$6+1E-9,B165+$B$11,""))</f>
        <v/>
      </c>
      <c r="C166" s="8">
        <f>IF(B166="","",B166+$B$5)</f>
        <v/>
      </c>
      <c r="D166" s="8">
        <f>IF(B166="","",IF(B166&lt;- $B$5,"Left tangent",IF(B166&lt;=$B$6,"Cubic curve","Right tangent")))</f>
        <v/>
      </c>
      <c r="E166" s="9">
        <f>IF(B166="","",IF(B166&lt;- $B$5,$B$7,IF(B166&lt;=$B$6,100*(3*$F$12*(B166+$B$5)^2+2*$F$13*(B166+$B$5)+$F$6),$B$8)))</f>
        <v/>
      </c>
      <c r="F166" s="10">
        <f>IF(B166="","",IF(B166&lt;- $B$5,$F$6*B166,IF(B166&lt;=$B$6,$F$12*(B166+$B$5)^3+$F$13*(B166+$B$5)^2+$F$6*(B166+$B$5)+$F$8,$F$9+$F$7*(B166-$B$6))))</f>
        <v/>
      </c>
      <c r="G166" s="10">
        <f>IF(F166="","",$B$10+F166)</f>
        <v/>
      </c>
      <c r="H166" s="10">
        <f>IF(B166="","",$B$9+B166)</f>
        <v/>
      </c>
    </row>
    <row r="167">
      <c r="A167" s="8">
        <f>IF(B167="","",A166+1)</f>
        <v/>
      </c>
      <c r="B167" s="8">
        <f>IF(B166="","",IF(B166+$B$11&lt;=$B$6+1E-9,B166+$B$11,""))</f>
        <v/>
      </c>
      <c r="C167" s="8">
        <f>IF(B167="","",B167+$B$5)</f>
        <v/>
      </c>
      <c r="D167" s="8">
        <f>IF(B167="","",IF(B167&lt;- $B$5,"Left tangent",IF(B167&lt;=$B$6,"Cubic curve","Right tangent")))</f>
        <v/>
      </c>
      <c r="E167" s="9">
        <f>IF(B167="","",IF(B167&lt;- $B$5,$B$7,IF(B167&lt;=$B$6,100*(3*$F$12*(B167+$B$5)^2+2*$F$13*(B167+$B$5)+$F$6),$B$8)))</f>
        <v/>
      </c>
      <c r="F167" s="10">
        <f>IF(B167="","",IF(B167&lt;- $B$5,$F$6*B167,IF(B167&lt;=$B$6,$F$12*(B167+$B$5)^3+$F$13*(B167+$B$5)^2+$F$6*(B167+$B$5)+$F$8,$F$9+$F$7*(B167-$B$6))))</f>
        <v/>
      </c>
      <c r="G167" s="10">
        <f>IF(F167="","",$B$10+F167)</f>
        <v/>
      </c>
      <c r="H167" s="10">
        <f>IF(B167="","",$B$9+B167)</f>
        <v/>
      </c>
    </row>
    <row r="168">
      <c r="A168" s="8">
        <f>IF(B168="","",A167+1)</f>
        <v/>
      </c>
      <c r="B168" s="8">
        <f>IF(B167="","",IF(B167+$B$11&lt;=$B$6+1E-9,B167+$B$11,""))</f>
        <v/>
      </c>
      <c r="C168" s="8">
        <f>IF(B168="","",B168+$B$5)</f>
        <v/>
      </c>
      <c r="D168" s="8">
        <f>IF(B168="","",IF(B168&lt;- $B$5,"Left tangent",IF(B168&lt;=$B$6,"Cubic curve","Right tangent")))</f>
        <v/>
      </c>
      <c r="E168" s="9">
        <f>IF(B168="","",IF(B168&lt;- $B$5,$B$7,IF(B168&lt;=$B$6,100*(3*$F$12*(B168+$B$5)^2+2*$F$13*(B168+$B$5)+$F$6),$B$8)))</f>
        <v/>
      </c>
      <c r="F168" s="10">
        <f>IF(B168="","",IF(B168&lt;- $B$5,$F$6*B168,IF(B168&lt;=$B$6,$F$12*(B168+$B$5)^3+$F$13*(B168+$B$5)^2+$F$6*(B168+$B$5)+$F$8,$F$9+$F$7*(B168-$B$6))))</f>
        <v/>
      </c>
      <c r="G168" s="10">
        <f>IF(F168="","",$B$10+F168)</f>
        <v/>
      </c>
      <c r="H168" s="10">
        <f>IF(B168="","",$B$9+B168)</f>
        <v/>
      </c>
    </row>
    <row r="169">
      <c r="A169" s="8">
        <f>IF(B169="","",A168+1)</f>
        <v/>
      </c>
      <c r="B169" s="8">
        <f>IF(B168="","",IF(B168+$B$11&lt;=$B$6+1E-9,B168+$B$11,""))</f>
        <v/>
      </c>
      <c r="C169" s="8">
        <f>IF(B169="","",B169+$B$5)</f>
        <v/>
      </c>
      <c r="D169" s="8">
        <f>IF(B169="","",IF(B169&lt;- $B$5,"Left tangent",IF(B169&lt;=$B$6,"Cubic curve","Right tangent")))</f>
        <v/>
      </c>
      <c r="E169" s="9">
        <f>IF(B169="","",IF(B169&lt;- $B$5,$B$7,IF(B169&lt;=$B$6,100*(3*$F$12*(B169+$B$5)^2+2*$F$13*(B169+$B$5)+$F$6),$B$8)))</f>
        <v/>
      </c>
      <c r="F169" s="10">
        <f>IF(B169="","",IF(B169&lt;- $B$5,$F$6*B169,IF(B169&lt;=$B$6,$F$12*(B169+$B$5)^3+$F$13*(B169+$B$5)^2+$F$6*(B169+$B$5)+$F$8,$F$9+$F$7*(B169-$B$6))))</f>
        <v/>
      </c>
      <c r="G169" s="10">
        <f>IF(F169="","",$B$10+F169)</f>
        <v/>
      </c>
      <c r="H169" s="10">
        <f>IF(B169="","",$B$9+B169)</f>
        <v/>
      </c>
    </row>
    <row r="170">
      <c r="A170" s="8">
        <f>IF(B170="","",A169+1)</f>
        <v/>
      </c>
      <c r="B170" s="8">
        <f>IF(B169="","",IF(B169+$B$11&lt;=$B$6+1E-9,B169+$B$11,""))</f>
        <v/>
      </c>
      <c r="C170" s="8">
        <f>IF(B170="","",B170+$B$5)</f>
        <v/>
      </c>
      <c r="D170" s="8">
        <f>IF(B170="","",IF(B170&lt;- $B$5,"Left tangent",IF(B170&lt;=$B$6,"Cubic curve","Right tangent")))</f>
        <v/>
      </c>
      <c r="E170" s="9">
        <f>IF(B170="","",IF(B170&lt;- $B$5,$B$7,IF(B170&lt;=$B$6,100*(3*$F$12*(B170+$B$5)^2+2*$F$13*(B170+$B$5)+$F$6),$B$8)))</f>
        <v/>
      </c>
      <c r="F170" s="10">
        <f>IF(B170="","",IF(B170&lt;- $B$5,$F$6*B170,IF(B170&lt;=$B$6,$F$12*(B170+$B$5)^3+$F$13*(B170+$B$5)^2+$F$6*(B170+$B$5)+$F$8,$F$9+$F$7*(B170-$B$6))))</f>
        <v/>
      </c>
      <c r="G170" s="10">
        <f>IF(F170="","",$B$10+F170)</f>
        <v/>
      </c>
      <c r="H170" s="10">
        <f>IF(B170="","",$B$9+B170)</f>
        <v/>
      </c>
    </row>
    <row r="171">
      <c r="A171" s="8">
        <f>IF(B171="","",A170+1)</f>
        <v/>
      </c>
      <c r="B171" s="8">
        <f>IF(B170="","",IF(B170+$B$11&lt;=$B$6+1E-9,B170+$B$11,""))</f>
        <v/>
      </c>
      <c r="C171" s="8">
        <f>IF(B171="","",B171+$B$5)</f>
        <v/>
      </c>
      <c r="D171" s="8">
        <f>IF(B171="","",IF(B171&lt;- $B$5,"Left tangent",IF(B171&lt;=$B$6,"Cubic curve","Right tangent")))</f>
        <v/>
      </c>
      <c r="E171" s="9">
        <f>IF(B171="","",IF(B171&lt;- $B$5,$B$7,IF(B171&lt;=$B$6,100*(3*$F$12*(B171+$B$5)^2+2*$F$13*(B171+$B$5)+$F$6),$B$8)))</f>
        <v/>
      </c>
      <c r="F171" s="10">
        <f>IF(B171="","",IF(B171&lt;- $B$5,$F$6*B171,IF(B171&lt;=$B$6,$F$12*(B171+$B$5)^3+$F$13*(B171+$B$5)^2+$F$6*(B171+$B$5)+$F$8,$F$9+$F$7*(B171-$B$6))))</f>
        <v/>
      </c>
      <c r="G171" s="10">
        <f>IF(F171="","",$B$10+F171)</f>
        <v/>
      </c>
      <c r="H171" s="10">
        <f>IF(B171="","",$B$9+B171)</f>
        <v/>
      </c>
    </row>
    <row r="172">
      <c r="A172" s="8">
        <f>IF(B172="","",A171+1)</f>
        <v/>
      </c>
      <c r="B172" s="8">
        <f>IF(B171="","",IF(B171+$B$11&lt;=$B$6+1E-9,B171+$B$11,""))</f>
        <v/>
      </c>
      <c r="C172" s="8">
        <f>IF(B172="","",B172+$B$5)</f>
        <v/>
      </c>
      <c r="D172" s="8">
        <f>IF(B172="","",IF(B172&lt;- $B$5,"Left tangent",IF(B172&lt;=$B$6,"Cubic curve","Right tangent")))</f>
        <v/>
      </c>
      <c r="E172" s="9">
        <f>IF(B172="","",IF(B172&lt;- $B$5,$B$7,IF(B172&lt;=$B$6,100*(3*$F$12*(B172+$B$5)^2+2*$F$13*(B172+$B$5)+$F$6),$B$8)))</f>
        <v/>
      </c>
      <c r="F172" s="10">
        <f>IF(B172="","",IF(B172&lt;- $B$5,$F$6*B172,IF(B172&lt;=$B$6,$F$12*(B172+$B$5)^3+$F$13*(B172+$B$5)^2+$F$6*(B172+$B$5)+$F$8,$F$9+$F$7*(B172-$B$6))))</f>
        <v/>
      </c>
      <c r="G172" s="10">
        <f>IF(F172="","",$B$10+F172)</f>
        <v/>
      </c>
      <c r="H172" s="10">
        <f>IF(B172="","",$B$9+B172)</f>
        <v/>
      </c>
    </row>
    <row r="173">
      <c r="A173" s="8">
        <f>IF(B173="","",A172+1)</f>
        <v/>
      </c>
      <c r="B173" s="8">
        <f>IF(B172="","",IF(B172+$B$11&lt;=$B$6+1E-9,B172+$B$11,""))</f>
        <v/>
      </c>
      <c r="C173" s="8">
        <f>IF(B173="","",B173+$B$5)</f>
        <v/>
      </c>
      <c r="D173" s="8">
        <f>IF(B173="","",IF(B173&lt;- $B$5,"Left tangent",IF(B173&lt;=$B$6,"Cubic curve","Right tangent")))</f>
        <v/>
      </c>
      <c r="E173" s="9">
        <f>IF(B173="","",IF(B173&lt;- $B$5,$B$7,IF(B173&lt;=$B$6,100*(3*$F$12*(B173+$B$5)^2+2*$F$13*(B173+$B$5)+$F$6),$B$8)))</f>
        <v/>
      </c>
      <c r="F173" s="10">
        <f>IF(B173="","",IF(B173&lt;- $B$5,$F$6*B173,IF(B173&lt;=$B$6,$F$12*(B173+$B$5)^3+$F$13*(B173+$B$5)^2+$F$6*(B173+$B$5)+$F$8,$F$9+$F$7*(B173-$B$6))))</f>
        <v/>
      </c>
      <c r="G173" s="10">
        <f>IF(F173="","",$B$10+F173)</f>
        <v/>
      </c>
      <c r="H173" s="10">
        <f>IF(B173="","",$B$9+B173)</f>
        <v/>
      </c>
    </row>
    <row r="174">
      <c r="A174" s="8">
        <f>IF(B174="","",A173+1)</f>
        <v/>
      </c>
      <c r="B174" s="8">
        <f>IF(B173="","",IF(B173+$B$11&lt;=$B$6+1E-9,B173+$B$11,""))</f>
        <v/>
      </c>
      <c r="C174" s="8">
        <f>IF(B174="","",B174+$B$5)</f>
        <v/>
      </c>
      <c r="D174" s="8">
        <f>IF(B174="","",IF(B174&lt;- $B$5,"Left tangent",IF(B174&lt;=$B$6,"Cubic curve","Right tangent")))</f>
        <v/>
      </c>
      <c r="E174" s="9">
        <f>IF(B174="","",IF(B174&lt;- $B$5,$B$7,IF(B174&lt;=$B$6,100*(3*$F$12*(B174+$B$5)^2+2*$F$13*(B174+$B$5)+$F$6),$B$8)))</f>
        <v/>
      </c>
      <c r="F174" s="10">
        <f>IF(B174="","",IF(B174&lt;- $B$5,$F$6*B174,IF(B174&lt;=$B$6,$F$12*(B174+$B$5)^3+$F$13*(B174+$B$5)^2+$F$6*(B174+$B$5)+$F$8,$F$9+$F$7*(B174-$B$6))))</f>
        <v/>
      </c>
      <c r="G174" s="10">
        <f>IF(F174="","",$B$10+F174)</f>
        <v/>
      </c>
      <c r="H174" s="10">
        <f>IF(B174="","",$B$9+B174)</f>
        <v/>
      </c>
    </row>
    <row r="175">
      <c r="A175" s="8">
        <f>IF(B175="","",A174+1)</f>
        <v/>
      </c>
      <c r="B175" s="8">
        <f>IF(B174="","",IF(B174+$B$11&lt;=$B$6+1E-9,B174+$B$11,""))</f>
        <v/>
      </c>
      <c r="C175" s="8">
        <f>IF(B175="","",B175+$B$5)</f>
        <v/>
      </c>
      <c r="D175" s="8">
        <f>IF(B175="","",IF(B175&lt;- $B$5,"Left tangent",IF(B175&lt;=$B$6,"Cubic curve","Right tangent")))</f>
        <v/>
      </c>
      <c r="E175" s="9">
        <f>IF(B175="","",IF(B175&lt;- $B$5,$B$7,IF(B175&lt;=$B$6,100*(3*$F$12*(B175+$B$5)^2+2*$F$13*(B175+$B$5)+$F$6),$B$8)))</f>
        <v/>
      </c>
      <c r="F175" s="10">
        <f>IF(B175="","",IF(B175&lt;- $B$5,$F$6*B175,IF(B175&lt;=$B$6,$F$12*(B175+$B$5)^3+$F$13*(B175+$B$5)^2+$F$6*(B175+$B$5)+$F$8,$F$9+$F$7*(B175-$B$6))))</f>
        <v/>
      </c>
      <c r="G175" s="10">
        <f>IF(F175="","",$B$10+F175)</f>
        <v/>
      </c>
      <c r="H175" s="10">
        <f>IF(B175="","",$B$9+B175)</f>
        <v/>
      </c>
    </row>
    <row r="176">
      <c r="A176" s="8">
        <f>IF(B176="","",A175+1)</f>
        <v/>
      </c>
      <c r="B176" s="8">
        <f>IF(B175="","",IF(B175+$B$11&lt;=$B$6+1E-9,B175+$B$11,""))</f>
        <v/>
      </c>
      <c r="C176" s="8">
        <f>IF(B176="","",B176+$B$5)</f>
        <v/>
      </c>
      <c r="D176" s="8">
        <f>IF(B176="","",IF(B176&lt;- $B$5,"Left tangent",IF(B176&lt;=$B$6,"Cubic curve","Right tangent")))</f>
        <v/>
      </c>
      <c r="E176" s="9">
        <f>IF(B176="","",IF(B176&lt;- $B$5,$B$7,IF(B176&lt;=$B$6,100*(3*$F$12*(B176+$B$5)^2+2*$F$13*(B176+$B$5)+$F$6),$B$8)))</f>
        <v/>
      </c>
      <c r="F176" s="10">
        <f>IF(B176="","",IF(B176&lt;- $B$5,$F$6*B176,IF(B176&lt;=$B$6,$F$12*(B176+$B$5)^3+$F$13*(B176+$B$5)^2+$F$6*(B176+$B$5)+$F$8,$F$9+$F$7*(B176-$B$6))))</f>
        <v/>
      </c>
      <c r="G176" s="10">
        <f>IF(F176="","",$B$10+F176)</f>
        <v/>
      </c>
      <c r="H176" s="10">
        <f>IF(B176="","",$B$9+B176)</f>
        <v/>
      </c>
    </row>
    <row r="177">
      <c r="A177" s="8">
        <f>IF(B177="","",A176+1)</f>
        <v/>
      </c>
      <c r="B177" s="8">
        <f>IF(B176="","",IF(B176+$B$11&lt;=$B$6+1E-9,B176+$B$11,""))</f>
        <v/>
      </c>
      <c r="C177" s="8">
        <f>IF(B177="","",B177+$B$5)</f>
        <v/>
      </c>
      <c r="D177" s="8">
        <f>IF(B177="","",IF(B177&lt;- $B$5,"Left tangent",IF(B177&lt;=$B$6,"Cubic curve","Right tangent")))</f>
        <v/>
      </c>
      <c r="E177" s="9">
        <f>IF(B177="","",IF(B177&lt;- $B$5,$B$7,IF(B177&lt;=$B$6,100*(3*$F$12*(B177+$B$5)^2+2*$F$13*(B177+$B$5)+$F$6),$B$8)))</f>
        <v/>
      </c>
      <c r="F177" s="10">
        <f>IF(B177="","",IF(B177&lt;- $B$5,$F$6*B177,IF(B177&lt;=$B$6,$F$12*(B177+$B$5)^3+$F$13*(B177+$B$5)^2+$F$6*(B177+$B$5)+$F$8,$F$9+$F$7*(B177-$B$6))))</f>
        <v/>
      </c>
      <c r="G177" s="10">
        <f>IF(F177="","",$B$10+F177)</f>
        <v/>
      </c>
      <c r="H177" s="10">
        <f>IF(B177="","",$B$9+B177)</f>
        <v/>
      </c>
    </row>
    <row r="178">
      <c r="A178" s="8">
        <f>IF(B178="","",A177+1)</f>
        <v/>
      </c>
      <c r="B178" s="8">
        <f>IF(B177="","",IF(B177+$B$11&lt;=$B$6+1E-9,B177+$B$11,""))</f>
        <v/>
      </c>
      <c r="C178" s="8">
        <f>IF(B178="","",B178+$B$5)</f>
        <v/>
      </c>
      <c r="D178" s="8">
        <f>IF(B178="","",IF(B178&lt;- $B$5,"Left tangent",IF(B178&lt;=$B$6,"Cubic curve","Right tangent")))</f>
        <v/>
      </c>
      <c r="E178" s="9">
        <f>IF(B178="","",IF(B178&lt;- $B$5,$B$7,IF(B178&lt;=$B$6,100*(3*$F$12*(B178+$B$5)^2+2*$F$13*(B178+$B$5)+$F$6),$B$8)))</f>
        <v/>
      </c>
      <c r="F178" s="10">
        <f>IF(B178="","",IF(B178&lt;- $B$5,$F$6*B178,IF(B178&lt;=$B$6,$F$12*(B178+$B$5)^3+$F$13*(B178+$B$5)^2+$F$6*(B178+$B$5)+$F$8,$F$9+$F$7*(B178-$B$6))))</f>
        <v/>
      </c>
      <c r="G178" s="10">
        <f>IF(F178="","",$B$10+F178)</f>
        <v/>
      </c>
      <c r="H178" s="10">
        <f>IF(B178="","",$B$9+B178)</f>
        <v/>
      </c>
    </row>
    <row r="179">
      <c r="A179" s="8">
        <f>IF(B179="","",A178+1)</f>
        <v/>
      </c>
      <c r="B179" s="8">
        <f>IF(B178="","",IF(B178+$B$11&lt;=$B$6+1E-9,B178+$B$11,""))</f>
        <v/>
      </c>
      <c r="C179" s="8">
        <f>IF(B179="","",B179+$B$5)</f>
        <v/>
      </c>
      <c r="D179" s="8">
        <f>IF(B179="","",IF(B179&lt;- $B$5,"Left tangent",IF(B179&lt;=$B$6,"Cubic curve","Right tangent")))</f>
        <v/>
      </c>
      <c r="E179" s="9">
        <f>IF(B179="","",IF(B179&lt;- $B$5,$B$7,IF(B179&lt;=$B$6,100*(3*$F$12*(B179+$B$5)^2+2*$F$13*(B179+$B$5)+$F$6),$B$8)))</f>
        <v/>
      </c>
      <c r="F179" s="10">
        <f>IF(B179="","",IF(B179&lt;- $B$5,$F$6*B179,IF(B179&lt;=$B$6,$F$12*(B179+$B$5)^3+$F$13*(B179+$B$5)^2+$F$6*(B179+$B$5)+$F$8,$F$9+$F$7*(B179-$B$6))))</f>
        <v/>
      </c>
      <c r="G179" s="10">
        <f>IF(F179="","",$B$10+F179)</f>
        <v/>
      </c>
      <c r="H179" s="10">
        <f>IF(B179="","",$B$9+B179)</f>
        <v/>
      </c>
    </row>
    <row r="180">
      <c r="A180" s="8">
        <f>IF(B180="","",A179+1)</f>
        <v/>
      </c>
      <c r="B180" s="8">
        <f>IF(B179="","",IF(B179+$B$11&lt;=$B$6+1E-9,B179+$B$11,""))</f>
        <v/>
      </c>
      <c r="C180" s="8">
        <f>IF(B180="","",B180+$B$5)</f>
        <v/>
      </c>
      <c r="D180" s="8">
        <f>IF(B180="","",IF(B180&lt;- $B$5,"Left tangent",IF(B180&lt;=$B$6,"Cubic curve","Right tangent")))</f>
        <v/>
      </c>
      <c r="E180" s="9">
        <f>IF(B180="","",IF(B180&lt;- $B$5,$B$7,IF(B180&lt;=$B$6,100*(3*$F$12*(B180+$B$5)^2+2*$F$13*(B180+$B$5)+$F$6),$B$8)))</f>
        <v/>
      </c>
      <c r="F180" s="10">
        <f>IF(B180="","",IF(B180&lt;- $B$5,$F$6*B180,IF(B180&lt;=$B$6,$F$12*(B180+$B$5)^3+$F$13*(B180+$B$5)^2+$F$6*(B180+$B$5)+$F$8,$F$9+$F$7*(B180-$B$6))))</f>
        <v/>
      </c>
      <c r="G180" s="10">
        <f>IF(F180="","",$B$10+F180)</f>
        <v/>
      </c>
      <c r="H180" s="10">
        <f>IF(B180="","",$B$9+B180)</f>
        <v/>
      </c>
    </row>
    <row r="181">
      <c r="A181" s="8">
        <f>IF(B181="","",A180+1)</f>
        <v/>
      </c>
      <c r="B181" s="8">
        <f>IF(B180="","",IF(B180+$B$11&lt;=$B$6+1E-9,B180+$B$11,""))</f>
        <v/>
      </c>
      <c r="C181" s="8">
        <f>IF(B181="","",B181+$B$5)</f>
        <v/>
      </c>
      <c r="D181" s="8">
        <f>IF(B181="","",IF(B181&lt;- $B$5,"Left tangent",IF(B181&lt;=$B$6,"Cubic curve","Right tangent")))</f>
        <v/>
      </c>
      <c r="E181" s="9">
        <f>IF(B181="","",IF(B181&lt;- $B$5,$B$7,IF(B181&lt;=$B$6,100*(3*$F$12*(B181+$B$5)^2+2*$F$13*(B181+$B$5)+$F$6),$B$8)))</f>
        <v/>
      </c>
      <c r="F181" s="10">
        <f>IF(B181="","",IF(B181&lt;- $B$5,$F$6*B181,IF(B181&lt;=$B$6,$F$12*(B181+$B$5)^3+$F$13*(B181+$B$5)^2+$F$6*(B181+$B$5)+$F$8,$F$9+$F$7*(B181-$B$6))))</f>
        <v/>
      </c>
      <c r="G181" s="10">
        <f>IF(F181="","",$B$10+F181)</f>
        <v/>
      </c>
      <c r="H181" s="10">
        <f>IF(B181="","",$B$9+B181)</f>
        <v/>
      </c>
    </row>
    <row r="182">
      <c r="A182" s="8">
        <f>IF(B182="","",A181+1)</f>
        <v/>
      </c>
      <c r="B182" s="8">
        <f>IF(B181="","",IF(B181+$B$11&lt;=$B$6+1E-9,B181+$B$11,""))</f>
        <v/>
      </c>
      <c r="C182" s="8">
        <f>IF(B182="","",B182+$B$5)</f>
        <v/>
      </c>
      <c r="D182" s="8">
        <f>IF(B182="","",IF(B182&lt;- $B$5,"Left tangent",IF(B182&lt;=$B$6,"Cubic curve","Right tangent")))</f>
        <v/>
      </c>
      <c r="E182" s="9">
        <f>IF(B182="","",IF(B182&lt;- $B$5,$B$7,IF(B182&lt;=$B$6,100*(3*$F$12*(B182+$B$5)^2+2*$F$13*(B182+$B$5)+$F$6),$B$8)))</f>
        <v/>
      </c>
      <c r="F182" s="10">
        <f>IF(B182="","",IF(B182&lt;- $B$5,$F$6*B182,IF(B182&lt;=$B$6,$F$12*(B182+$B$5)^3+$F$13*(B182+$B$5)^2+$F$6*(B182+$B$5)+$F$8,$F$9+$F$7*(B182-$B$6))))</f>
        <v/>
      </c>
      <c r="G182" s="10">
        <f>IF(F182="","",$B$10+F182)</f>
        <v/>
      </c>
      <c r="H182" s="10">
        <f>IF(B182="","",$B$9+B182)</f>
        <v/>
      </c>
    </row>
    <row r="183">
      <c r="A183" s="8">
        <f>IF(B183="","",A182+1)</f>
        <v/>
      </c>
      <c r="B183" s="8">
        <f>IF(B182="","",IF(B182+$B$11&lt;=$B$6+1E-9,B182+$B$11,""))</f>
        <v/>
      </c>
      <c r="C183" s="8">
        <f>IF(B183="","",B183+$B$5)</f>
        <v/>
      </c>
      <c r="D183" s="8">
        <f>IF(B183="","",IF(B183&lt;- $B$5,"Left tangent",IF(B183&lt;=$B$6,"Cubic curve","Right tangent")))</f>
        <v/>
      </c>
      <c r="E183" s="9">
        <f>IF(B183="","",IF(B183&lt;- $B$5,$B$7,IF(B183&lt;=$B$6,100*(3*$F$12*(B183+$B$5)^2+2*$F$13*(B183+$B$5)+$F$6),$B$8)))</f>
        <v/>
      </c>
      <c r="F183" s="10">
        <f>IF(B183="","",IF(B183&lt;- $B$5,$F$6*B183,IF(B183&lt;=$B$6,$F$12*(B183+$B$5)^3+$F$13*(B183+$B$5)^2+$F$6*(B183+$B$5)+$F$8,$F$9+$F$7*(B183-$B$6))))</f>
        <v/>
      </c>
      <c r="G183" s="10">
        <f>IF(F183="","",$B$10+F183)</f>
        <v/>
      </c>
      <c r="H183" s="10">
        <f>IF(B183="","",$B$9+B183)</f>
        <v/>
      </c>
    </row>
    <row r="184">
      <c r="A184" s="8">
        <f>IF(B184="","",A183+1)</f>
        <v/>
      </c>
      <c r="B184" s="8">
        <f>IF(B183="","",IF(B183+$B$11&lt;=$B$6+1E-9,B183+$B$11,""))</f>
        <v/>
      </c>
      <c r="C184" s="8">
        <f>IF(B184="","",B184+$B$5)</f>
        <v/>
      </c>
      <c r="D184" s="8">
        <f>IF(B184="","",IF(B184&lt;- $B$5,"Left tangent",IF(B184&lt;=$B$6,"Cubic curve","Right tangent")))</f>
        <v/>
      </c>
      <c r="E184" s="9">
        <f>IF(B184="","",IF(B184&lt;- $B$5,$B$7,IF(B184&lt;=$B$6,100*(3*$F$12*(B184+$B$5)^2+2*$F$13*(B184+$B$5)+$F$6),$B$8)))</f>
        <v/>
      </c>
      <c r="F184" s="10">
        <f>IF(B184="","",IF(B184&lt;- $B$5,$F$6*B184,IF(B184&lt;=$B$6,$F$12*(B184+$B$5)^3+$F$13*(B184+$B$5)^2+$F$6*(B184+$B$5)+$F$8,$F$9+$F$7*(B184-$B$6))))</f>
        <v/>
      </c>
      <c r="G184" s="10">
        <f>IF(F184="","",$B$10+F184)</f>
        <v/>
      </c>
      <c r="H184" s="10">
        <f>IF(B184="","",$B$9+B184)</f>
        <v/>
      </c>
    </row>
    <row r="185">
      <c r="A185" s="8">
        <f>IF(B185="","",A184+1)</f>
        <v/>
      </c>
      <c r="B185" s="8">
        <f>IF(B184="","",IF(B184+$B$11&lt;=$B$6+1E-9,B184+$B$11,""))</f>
        <v/>
      </c>
      <c r="C185" s="8">
        <f>IF(B185="","",B185+$B$5)</f>
        <v/>
      </c>
      <c r="D185" s="8">
        <f>IF(B185="","",IF(B185&lt;- $B$5,"Left tangent",IF(B185&lt;=$B$6,"Cubic curve","Right tangent")))</f>
        <v/>
      </c>
      <c r="E185" s="9">
        <f>IF(B185="","",IF(B185&lt;- $B$5,$B$7,IF(B185&lt;=$B$6,100*(3*$F$12*(B185+$B$5)^2+2*$F$13*(B185+$B$5)+$F$6),$B$8)))</f>
        <v/>
      </c>
      <c r="F185" s="10">
        <f>IF(B185="","",IF(B185&lt;- $B$5,$F$6*B185,IF(B185&lt;=$B$6,$F$12*(B185+$B$5)^3+$F$13*(B185+$B$5)^2+$F$6*(B185+$B$5)+$F$8,$F$9+$F$7*(B185-$B$6))))</f>
        <v/>
      </c>
      <c r="G185" s="10">
        <f>IF(F185="","",$B$10+F185)</f>
        <v/>
      </c>
      <c r="H185" s="10">
        <f>IF(B185="","",$B$9+B185)</f>
        <v/>
      </c>
    </row>
    <row r="186">
      <c r="A186" s="8">
        <f>IF(B186="","",A185+1)</f>
        <v/>
      </c>
      <c r="B186" s="8">
        <f>IF(B185="","",IF(B185+$B$11&lt;=$B$6+1E-9,B185+$B$11,""))</f>
        <v/>
      </c>
      <c r="C186" s="8">
        <f>IF(B186="","",B186+$B$5)</f>
        <v/>
      </c>
      <c r="D186" s="8">
        <f>IF(B186="","",IF(B186&lt;- $B$5,"Left tangent",IF(B186&lt;=$B$6,"Cubic curve","Right tangent")))</f>
        <v/>
      </c>
      <c r="E186" s="9">
        <f>IF(B186="","",IF(B186&lt;- $B$5,$B$7,IF(B186&lt;=$B$6,100*(3*$F$12*(B186+$B$5)^2+2*$F$13*(B186+$B$5)+$F$6),$B$8)))</f>
        <v/>
      </c>
      <c r="F186" s="10">
        <f>IF(B186="","",IF(B186&lt;- $B$5,$F$6*B186,IF(B186&lt;=$B$6,$F$12*(B186+$B$5)^3+$F$13*(B186+$B$5)^2+$F$6*(B186+$B$5)+$F$8,$F$9+$F$7*(B186-$B$6))))</f>
        <v/>
      </c>
      <c r="G186" s="10">
        <f>IF(F186="","",$B$10+F186)</f>
        <v/>
      </c>
      <c r="H186" s="10">
        <f>IF(B186="","",$B$9+B186)</f>
        <v/>
      </c>
    </row>
    <row r="187">
      <c r="A187" s="8">
        <f>IF(B187="","",A186+1)</f>
        <v/>
      </c>
      <c r="B187" s="8">
        <f>IF(B186="","",IF(B186+$B$11&lt;=$B$6+1E-9,B186+$B$11,""))</f>
        <v/>
      </c>
      <c r="C187" s="8">
        <f>IF(B187="","",B187+$B$5)</f>
        <v/>
      </c>
      <c r="D187" s="8">
        <f>IF(B187="","",IF(B187&lt;- $B$5,"Left tangent",IF(B187&lt;=$B$6,"Cubic curve","Right tangent")))</f>
        <v/>
      </c>
      <c r="E187" s="9">
        <f>IF(B187="","",IF(B187&lt;- $B$5,$B$7,IF(B187&lt;=$B$6,100*(3*$F$12*(B187+$B$5)^2+2*$F$13*(B187+$B$5)+$F$6),$B$8)))</f>
        <v/>
      </c>
      <c r="F187" s="10">
        <f>IF(B187="","",IF(B187&lt;- $B$5,$F$6*B187,IF(B187&lt;=$B$6,$F$12*(B187+$B$5)^3+$F$13*(B187+$B$5)^2+$F$6*(B187+$B$5)+$F$8,$F$9+$F$7*(B187-$B$6))))</f>
        <v/>
      </c>
      <c r="G187" s="10">
        <f>IF(F187="","",$B$10+F187)</f>
        <v/>
      </c>
      <c r="H187" s="10">
        <f>IF(B187="","",$B$9+B187)</f>
        <v/>
      </c>
    </row>
    <row r="188">
      <c r="A188" s="8">
        <f>IF(B188="","",A187+1)</f>
        <v/>
      </c>
      <c r="B188" s="8">
        <f>IF(B187="","",IF(B187+$B$11&lt;=$B$6+1E-9,B187+$B$11,""))</f>
        <v/>
      </c>
      <c r="C188" s="8">
        <f>IF(B188="","",B188+$B$5)</f>
        <v/>
      </c>
      <c r="D188" s="8">
        <f>IF(B188="","",IF(B188&lt;- $B$5,"Left tangent",IF(B188&lt;=$B$6,"Cubic curve","Right tangent")))</f>
        <v/>
      </c>
      <c r="E188" s="9">
        <f>IF(B188="","",IF(B188&lt;- $B$5,$B$7,IF(B188&lt;=$B$6,100*(3*$F$12*(B188+$B$5)^2+2*$F$13*(B188+$B$5)+$F$6),$B$8)))</f>
        <v/>
      </c>
      <c r="F188" s="10">
        <f>IF(B188="","",IF(B188&lt;- $B$5,$F$6*B188,IF(B188&lt;=$B$6,$F$12*(B188+$B$5)^3+$F$13*(B188+$B$5)^2+$F$6*(B188+$B$5)+$F$8,$F$9+$F$7*(B188-$B$6))))</f>
        <v/>
      </c>
      <c r="G188" s="10">
        <f>IF(F188="","",$B$10+F188)</f>
        <v/>
      </c>
      <c r="H188" s="10">
        <f>IF(B188="","",$B$9+B188)</f>
        <v/>
      </c>
    </row>
    <row r="189">
      <c r="A189" s="8">
        <f>IF(B189="","",A188+1)</f>
        <v/>
      </c>
      <c r="B189" s="8">
        <f>IF(B188="","",IF(B188+$B$11&lt;=$B$6+1E-9,B188+$B$11,""))</f>
        <v/>
      </c>
      <c r="C189" s="8">
        <f>IF(B189="","",B189+$B$5)</f>
        <v/>
      </c>
      <c r="D189" s="8">
        <f>IF(B189="","",IF(B189&lt;- $B$5,"Left tangent",IF(B189&lt;=$B$6,"Cubic curve","Right tangent")))</f>
        <v/>
      </c>
      <c r="E189" s="9">
        <f>IF(B189="","",IF(B189&lt;- $B$5,$B$7,IF(B189&lt;=$B$6,100*(3*$F$12*(B189+$B$5)^2+2*$F$13*(B189+$B$5)+$F$6),$B$8)))</f>
        <v/>
      </c>
      <c r="F189" s="10">
        <f>IF(B189="","",IF(B189&lt;- $B$5,$F$6*B189,IF(B189&lt;=$B$6,$F$12*(B189+$B$5)^3+$F$13*(B189+$B$5)^2+$F$6*(B189+$B$5)+$F$8,$F$9+$F$7*(B189-$B$6))))</f>
        <v/>
      </c>
      <c r="G189" s="10">
        <f>IF(F189="","",$B$10+F189)</f>
        <v/>
      </c>
      <c r="H189" s="10">
        <f>IF(B189="","",$B$9+B189)</f>
        <v/>
      </c>
    </row>
    <row r="190">
      <c r="A190" s="8">
        <f>IF(B190="","",A189+1)</f>
        <v/>
      </c>
      <c r="B190" s="8">
        <f>IF(B189="","",IF(B189+$B$11&lt;=$B$6+1E-9,B189+$B$11,""))</f>
        <v/>
      </c>
      <c r="C190" s="8">
        <f>IF(B190="","",B190+$B$5)</f>
        <v/>
      </c>
      <c r="D190" s="8">
        <f>IF(B190="","",IF(B190&lt;- $B$5,"Left tangent",IF(B190&lt;=$B$6,"Cubic curve","Right tangent")))</f>
        <v/>
      </c>
      <c r="E190" s="9">
        <f>IF(B190="","",IF(B190&lt;- $B$5,$B$7,IF(B190&lt;=$B$6,100*(3*$F$12*(B190+$B$5)^2+2*$F$13*(B190+$B$5)+$F$6),$B$8)))</f>
        <v/>
      </c>
      <c r="F190" s="10">
        <f>IF(B190="","",IF(B190&lt;- $B$5,$F$6*B190,IF(B190&lt;=$B$6,$F$12*(B190+$B$5)^3+$F$13*(B190+$B$5)^2+$F$6*(B190+$B$5)+$F$8,$F$9+$F$7*(B190-$B$6))))</f>
        <v/>
      </c>
      <c r="G190" s="10">
        <f>IF(F190="","",$B$10+F190)</f>
        <v/>
      </c>
      <c r="H190" s="10">
        <f>IF(B190="","",$B$9+B190)</f>
        <v/>
      </c>
    </row>
    <row r="191">
      <c r="A191" s="8">
        <f>IF(B191="","",A190+1)</f>
        <v/>
      </c>
      <c r="B191" s="8">
        <f>IF(B190="","",IF(B190+$B$11&lt;=$B$6+1E-9,B190+$B$11,""))</f>
        <v/>
      </c>
      <c r="C191" s="8">
        <f>IF(B191="","",B191+$B$5)</f>
        <v/>
      </c>
      <c r="D191" s="8">
        <f>IF(B191="","",IF(B191&lt;- $B$5,"Left tangent",IF(B191&lt;=$B$6,"Cubic curve","Right tangent")))</f>
        <v/>
      </c>
      <c r="E191" s="9">
        <f>IF(B191="","",IF(B191&lt;- $B$5,$B$7,IF(B191&lt;=$B$6,100*(3*$F$12*(B191+$B$5)^2+2*$F$13*(B191+$B$5)+$F$6),$B$8)))</f>
        <v/>
      </c>
      <c r="F191" s="10">
        <f>IF(B191="","",IF(B191&lt;- $B$5,$F$6*B191,IF(B191&lt;=$B$6,$F$12*(B191+$B$5)^3+$F$13*(B191+$B$5)^2+$F$6*(B191+$B$5)+$F$8,$F$9+$F$7*(B191-$B$6))))</f>
        <v/>
      </c>
      <c r="G191" s="10">
        <f>IF(F191="","",$B$10+F191)</f>
        <v/>
      </c>
      <c r="H191" s="10">
        <f>IF(B191="","",$B$9+B191)</f>
        <v/>
      </c>
    </row>
    <row r="192">
      <c r="A192" s="8">
        <f>IF(B192="","",A191+1)</f>
        <v/>
      </c>
      <c r="B192" s="8">
        <f>IF(B191="","",IF(B191+$B$11&lt;=$B$6+1E-9,B191+$B$11,""))</f>
        <v/>
      </c>
      <c r="C192" s="8">
        <f>IF(B192="","",B192+$B$5)</f>
        <v/>
      </c>
      <c r="D192" s="8">
        <f>IF(B192="","",IF(B192&lt;- $B$5,"Left tangent",IF(B192&lt;=$B$6,"Cubic curve","Right tangent")))</f>
        <v/>
      </c>
      <c r="E192" s="9">
        <f>IF(B192="","",IF(B192&lt;- $B$5,$B$7,IF(B192&lt;=$B$6,100*(3*$F$12*(B192+$B$5)^2+2*$F$13*(B192+$B$5)+$F$6),$B$8)))</f>
        <v/>
      </c>
      <c r="F192" s="10">
        <f>IF(B192="","",IF(B192&lt;- $B$5,$F$6*B192,IF(B192&lt;=$B$6,$F$12*(B192+$B$5)^3+$F$13*(B192+$B$5)^2+$F$6*(B192+$B$5)+$F$8,$F$9+$F$7*(B192-$B$6))))</f>
        <v/>
      </c>
      <c r="G192" s="10">
        <f>IF(F192="","",$B$10+F192)</f>
        <v/>
      </c>
      <c r="H192" s="10">
        <f>IF(B192="","",$B$9+B192)</f>
        <v/>
      </c>
    </row>
    <row r="193">
      <c r="A193" s="8">
        <f>IF(B193="","",A192+1)</f>
        <v/>
      </c>
      <c r="B193" s="8">
        <f>IF(B192="","",IF(B192+$B$11&lt;=$B$6+1E-9,B192+$B$11,""))</f>
        <v/>
      </c>
      <c r="C193" s="8">
        <f>IF(B193="","",B193+$B$5)</f>
        <v/>
      </c>
      <c r="D193" s="8">
        <f>IF(B193="","",IF(B193&lt;- $B$5,"Left tangent",IF(B193&lt;=$B$6,"Cubic curve","Right tangent")))</f>
        <v/>
      </c>
      <c r="E193" s="9">
        <f>IF(B193="","",IF(B193&lt;- $B$5,$B$7,IF(B193&lt;=$B$6,100*(3*$F$12*(B193+$B$5)^2+2*$F$13*(B193+$B$5)+$F$6),$B$8)))</f>
        <v/>
      </c>
      <c r="F193" s="10">
        <f>IF(B193="","",IF(B193&lt;- $B$5,$F$6*B193,IF(B193&lt;=$B$6,$F$12*(B193+$B$5)^3+$F$13*(B193+$B$5)^2+$F$6*(B193+$B$5)+$F$8,$F$9+$F$7*(B193-$B$6))))</f>
        <v/>
      </c>
      <c r="G193" s="10">
        <f>IF(F193="","",$B$10+F193)</f>
        <v/>
      </c>
      <c r="H193" s="10">
        <f>IF(B193="","",$B$9+B193)</f>
        <v/>
      </c>
    </row>
    <row r="194">
      <c r="A194" s="8">
        <f>IF(B194="","",A193+1)</f>
        <v/>
      </c>
      <c r="B194" s="8">
        <f>IF(B193="","",IF(B193+$B$11&lt;=$B$6+1E-9,B193+$B$11,""))</f>
        <v/>
      </c>
      <c r="C194" s="8">
        <f>IF(B194="","",B194+$B$5)</f>
        <v/>
      </c>
      <c r="D194" s="8">
        <f>IF(B194="","",IF(B194&lt;- $B$5,"Left tangent",IF(B194&lt;=$B$6,"Cubic curve","Right tangent")))</f>
        <v/>
      </c>
      <c r="E194" s="9">
        <f>IF(B194="","",IF(B194&lt;- $B$5,$B$7,IF(B194&lt;=$B$6,100*(3*$F$12*(B194+$B$5)^2+2*$F$13*(B194+$B$5)+$F$6),$B$8)))</f>
        <v/>
      </c>
      <c r="F194" s="10">
        <f>IF(B194="","",IF(B194&lt;- $B$5,$F$6*B194,IF(B194&lt;=$B$6,$F$12*(B194+$B$5)^3+$F$13*(B194+$B$5)^2+$F$6*(B194+$B$5)+$F$8,$F$9+$F$7*(B194-$B$6))))</f>
        <v/>
      </c>
      <c r="G194" s="10">
        <f>IF(F194="","",$B$10+F194)</f>
        <v/>
      </c>
      <c r="H194" s="10">
        <f>IF(B194="","",$B$9+B194)</f>
        <v/>
      </c>
    </row>
    <row r="195">
      <c r="A195" s="8">
        <f>IF(B195="","",A194+1)</f>
        <v/>
      </c>
      <c r="B195" s="8">
        <f>IF(B194="","",IF(B194+$B$11&lt;=$B$6+1E-9,B194+$B$11,""))</f>
        <v/>
      </c>
      <c r="C195" s="8">
        <f>IF(B195="","",B195+$B$5)</f>
        <v/>
      </c>
      <c r="D195" s="8">
        <f>IF(B195="","",IF(B195&lt;- $B$5,"Left tangent",IF(B195&lt;=$B$6,"Cubic curve","Right tangent")))</f>
        <v/>
      </c>
      <c r="E195" s="9">
        <f>IF(B195="","",IF(B195&lt;- $B$5,$B$7,IF(B195&lt;=$B$6,100*(3*$F$12*(B195+$B$5)^2+2*$F$13*(B195+$B$5)+$F$6),$B$8)))</f>
        <v/>
      </c>
      <c r="F195" s="10">
        <f>IF(B195="","",IF(B195&lt;- $B$5,$F$6*B195,IF(B195&lt;=$B$6,$F$12*(B195+$B$5)^3+$F$13*(B195+$B$5)^2+$F$6*(B195+$B$5)+$F$8,$F$9+$F$7*(B195-$B$6))))</f>
        <v/>
      </c>
      <c r="G195" s="10">
        <f>IF(F195="","",$B$10+F195)</f>
        <v/>
      </c>
      <c r="H195" s="10">
        <f>IF(B195="","",$B$9+B195)</f>
        <v/>
      </c>
    </row>
    <row r="196">
      <c r="A196" s="8">
        <f>IF(B196="","",A195+1)</f>
        <v/>
      </c>
      <c r="B196" s="8">
        <f>IF(B195="","",IF(B195+$B$11&lt;=$B$6+1E-9,B195+$B$11,""))</f>
        <v/>
      </c>
      <c r="C196" s="8">
        <f>IF(B196="","",B196+$B$5)</f>
        <v/>
      </c>
      <c r="D196" s="8">
        <f>IF(B196="","",IF(B196&lt;- $B$5,"Left tangent",IF(B196&lt;=$B$6,"Cubic curve","Right tangent")))</f>
        <v/>
      </c>
      <c r="E196" s="9">
        <f>IF(B196="","",IF(B196&lt;- $B$5,$B$7,IF(B196&lt;=$B$6,100*(3*$F$12*(B196+$B$5)^2+2*$F$13*(B196+$B$5)+$F$6),$B$8)))</f>
        <v/>
      </c>
      <c r="F196" s="10">
        <f>IF(B196="","",IF(B196&lt;- $B$5,$F$6*B196,IF(B196&lt;=$B$6,$F$12*(B196+$B$5)^3+$F$13*(B196+$B$5)^2+$F$6*(B196+$B$5)+$F$8,$F$9+$F$7*(B196-$B$6))))</f>
        <v/>
      </c>
      <c r="G196" s="10">
        <f>IF(F196="","",$B$10+F196)</f>
        <v/>
      </c>
      <c r="H196" s="10">
        <f>IF(B196="","",$B$9+B196)</f>
        <v/>
      </c>
    </row>
    <row r="197">
      <c r="A197" s="8">
        <f>IF(B197="","",A196+1)</f>
        <v/>
      </c>
      <c r="B197" s="8">
        <f>IF(B196="","",IF(B196+$B$11&lt;=$B$6+1E-9,B196+$B$11,""))</f>
        <v/>
      </c>
      <c r="C197" s="8">
        <f>IF(B197="","",B197+$B$5)</f>
        <v/>
      </c>
      <c r="D197" s="8">
        <f>IF(B197="","",IF(B197&lt;- $B$5,"Left tangent",IF(B197&lt;=$B$6,"Cubic curve","Right tangent")))</f>
        <v/>
      </c>
      <c r="E197" s="9">
        <f>IF(B197="","",IF(B197&lt;- $B$5,$B$7,IF(B197&lt;=$B$6,100*(3*$F$12*(B197+$B$5)^2+2*$F$13*(B197+$B$5)+$F$6),$B$8)))</f>
        <v/>
      </c>
      <c r="F197" s="10">
        <f>IF(B197="","",IF(B197&lt;- $B$5,$F$6*B197,IF(B197&lt;=$B$6,$F$12*(B197+$B$5)^3+$F$13*(B197+$B$5)^2+$F$6*(B197+$B$5)+$F$8,$F$9+$F$7*(B197-$B$6))))</f>
        <v/>
      </c>
      <c r="G197" s="10">
        <f>IF(F197="","",$B$10+F197)</f>
        <v/>
      </c>
      <c r="H197" s="10">
        <f>IF(B197="","",$B$9+B197)</f>
        <v/>
      </c>
    </row>
    <row r="198">
      <c r="A198" s="8">
        <f>IF(B198="","",A197+1)</f>
        <v/>
      </c>
      <c r="B198" s="8">
        <f>IF(B197="","",IF(B197+$B$11&lt;=$B$6+1E-9,B197+$B$11,""))</f>
        <v/>
      </c>
      <c r="C198" s="8">
        <f>IF(B198="","",B198+$B$5)</f>
        <v/>
      </c>
      <c r="D198" s="8">
        <f>IF(B198="","",IF(B198&lt;- $B$5,"Left tangent",IF(B198&lt;=$B$6,"Cubic curve","Right tangent")))</f>
        <v/>
      </c>
      <c r="E198" s="9">
        <f>IF(B198="","",IF(B198&lt;- $B$5,$B$7,IF(B198&lt;=$B$6,100*(3*$F$12*(B198+$B$5)^2+2*$F$13*(B198+$B$5)+$F$6),$B$8)))</f>
        <v/>
      </c>
      <c r="F198" s="10">
        <f>IF(B198="","",IF(B198&lt;- $B$5,$F$6*B198,IF(B198&lt;=$B$6,$F$12*(B198+$B$5)^3+$F$13*(B198+$B$5)^2+$F$6*(B198+$B$5)+$F$8,$F$9+$F$7*(B198-$B$6))))</f>
        <v/>
      </c>
      <c r="G198" s="10">
        <f>IF(F198="","",$B$10+F198)</f>
        <v/>
      </c>
      <c r="H198" s="10">
        <f>IF(B198="","",$B$9+B198)</f>
        <v/>
      </c>
    </row>
    <row r="199">
      <c r="A199" s="8">
        <f>IF(B199="","",A198+1)</f>
        <v/>
      </c>
      <c r="B199" s="8">
        <f>IF(B198="","",IF(B198+$B$11&lt;=$B$6+1E-9,B198+$B$11,""))</f>
        <v/>
      </c>
      <c r="C199" s="8">
        <f>IF(B199="","",B199+$B$5)</f>
        <v/>
      </c>
      <c r="D199" s="8">
        <f>IF(B199="","",IF(B199&lt;- $B$5,"Left tangent",IF(B199&lt;=$B$6,"Cubic curve","Right tangent")))</f>
        <v/>
      </c>
      <c r="E199" s="9">
        <f>IF(B199="","",IF(B199&lt;- $B$5,$B$7,IF(B199&lt;=$B$6,100*(3*$F$12*(B199+$B$5)^2+2*$F$13*(B199+$B$5)+$F$6),$B$8)))</f>
        <v/>
      </c>
      <c r="F199" s="10">
        <f>IF(B199="","",IF(B199&lt;- $B$5,$F$6*B199,IF(B199&lt;=$B$6,$F$12*(B199+$B$5)^3+$F$13*(B199+$B$5)^2+$F$6*(B199+$B$5)+$F$8,$F$9+$F$7*(B199-$B$6))))</f>
        <v/>
      </c>
      <c r="G199" s="10">
        <f>IF(F199="","",$B$10+F199)</f>
        <v/>
      </c>
      <c r="H199" s="10">
        <f>IF(B199="","",$B$9+B199)</f>
        <v/>
      </c>
    </row>
    <row r="200">
      <c r="A200" s="8">
        <f>IF(B200="","",A199+1)</f>
        <v/>
      </c>
      <c r="B200" s="8">
        <f>IF(B199="","",IF(B199+$B$11&lt;=$B$6+1E-9,B199+$B$11,""))</f>
        <v/>
      </c>
      <c r="C200" s="8">
        <f>IF(B200="","",B200+$B$5)</f>
        <v/>
      </c>
      <c r="D200" s="8">
        <f>IF(B200="","",IF(B200&lt;- $B$5,"Left tangent",IF(B200&lt;=$B$6,"Cubic curve","Right tangent")))</f>
        <v/>
      </c>
      <c r="E200" s="9">
        <f>IF(B200="","",IF(B200&lt;- $B$5,$B$7,IF(B200&lt;=$B$6,100*(3*$F$12*(B200+$B$5)^2+2*$F$13*(B200+$B$5)+$F$6),$B$8)))</f>
        <v/>
      </c>
      <c r="F200" s="10">
        <f>IF(B200="","",IF(B200&lt;- $B$5,$F$6*B200,IF(B200&lt;=$B$6,$F$12*(B200+$B$5)^3+$F$13*(B200+$B$5)^2+$F$6*(B200+$B$5)+$F$8,$F$9+$F$7*(B200-$B$6))))</f>
        <v/>
      </c>
      <c r="G200" s="10">
        <f>IF(F200="","",$B$10+F200)</f>
        <v/>
      </c>
      <c r="H200" s="10">
        <f>IF(B200="","",$B$9+B200)</f>
        <v/>
      </c>
    </row>
    <row r="201">
      <c r="A201" s="8">
        <f>IF(B201="","",A200+1)</f>
        <v/>
      </c>
      <c r="B201" s="8">
        <f>IF(B200="","",IF(B200+$B$11&lt;=$B$6+1E-9,B200+$B$11,""))</f>
        <v/>
      </c>
      <c r="C201" s="8">
        <f>IF(B201="","",B201+$B$5)</f>
        <v/>
      </c>
      <c r="D201" s="8">
        <f>IF(B201="","",IF(B201&lt;- $B$5,"Left tangent",IF(B201&lt;=$B$6,"Cubic curve","Right tangent")))</f>
        <v/>
      </c>
      <c r="E201" s="9">
        <f>IF(B201="","",IF(B201&lt;- $B$5,$B$7,IF(B201&lt;=$B$6,100*(3*$F$12*(B201+$B$5)^2+2*$F$13*(B201+$B$5)+$F$6),$B$8)))</f>
        <v/>
      </c>
      <c r="F201" s="10">
        <f>IF(B201="","",IF(B201&lt;- $B$5,$F$6*B201,IF(B201&lt;=$B$6,$F$12*(B201+$B$5)^3+$F$13*(B201+$B$5)^2+$F$6*(B201+$B$5)+$F$8,$F$9+$F$7*(B201-$B$6))))</f>
        <v/>
      </c>
      <c r="G201" s="10">
        <f>IF(F201="","",$B$10+F201)</f>
        <v/>
      </c>
      <c r="H201" s="10">
        <f>IF(B201="","",$B$9+B201)</f>
        <v/>
      </c>
    </row>
    <row r="202">
      <c r="A202" s="8">
        <f>IF(B202="","",A201+1)</f>
        <v/>
      </c>
      <c r="B202" s="8">
        <f>IF(B201="","",IF(B201+$B$11&lt;=$B$6+1E-9,B201+$B$11,""))</f>
        <v/>
      </c>
      <c r="C202" s="8">
        <f>IF(B202="","",B202+$B$5)</f>
        <v/>
      </c>
      <c r="D202" s="8">
        <f>IF(B202="","",IF(B202&lt;- $B$5,"Left tangent",IF(B202&lt;=$B$6,"Cubic curve","Right tangent")))</f>
        <v/>
      </c>
      <c r="E202" s="9">
        <f>IF(B202="","",IF(B202&lt;- $B$5,$B$7,IF(B202&lt;=$B$6,100*(3*$F$12*(B202+$B$5)^2+2*$F$13*(B202+$B$5)+$F$6),$B$8)))</f>
        <v/>
      </c>
      <c r="F202" s="10">
        <f>IF(B202="","",IF(B202&lt;- $B$5,$F$6*B202,IF(B202&lt;=$B$6,$F$12*(B202+$B$5)^3+$F$13*(B202+$B$5)^2+$F$6*(B202+$B$5)+$F$8,$F$9+$F$7*(B202-$B$6))))</f>
        <v/>
      </c>
      <c r="G202" s="10">
        <f>IF(F202="","",$B$10+F202)</f>
        <v/>
      </c>
      <c r="H202" s="10">
        <f>IF(B202="","",$B$9+B202)</f>
        <v/>
      </c>
    </row>
    <row r="203">
      <c r="A203" s="8">
        <f>IF(B203="","",A202+1)</f>
        <v/>
      </c>
      <c r="B203" s="8">
        <f>IF(B202="","",IF(B202+$B$11&lt;=$B$6+1E-9,B202+$B$11,""))</f>
        <v/>
      </c>
      <c r="C203" s="8">
        <f>IF(B203="","",B203+$B$5)</f>
        <v/>
      </c>
      <c r="D203" s="8">
        <f>IF(B203="","",IF(B203&lt;- $B$5,"Left tangent",IF(B203&lt;=$B$6,"Cubic curve","Right tangent")))</f>
        <v/>
      </c>
      <c r="E203" s="9">
        <f>IF(B203="","",IF(B203&lt;- $B$5,$B$7,IF(B203&lt;=$B$6,100*(3*$F$12*(B203+$B$5)^2+2*$F$13*(B203+$B$5)+$F$6),$B$8)))</f>
        <v/>
      </c>
      <c r="F203" s="10">
        <f>IF(B203="","",IF(B203&lt;- $B$5,$F$6*B203,IF(B203&lt;=$B$6,$F$12*(B203+$B$5)^3+$F$13*(B203+$B$5)^2+$F$6*(B203+$B$5)+$F$8,$F$9+$F$7*(B203-$B$6))))</f>
        <v/>
      </c>
      <c r="G203" s="10">
        <f>IF(F203="","",$B$10+F203)</f>
        <v/>
      </c>
      <c r="H203" s="10">
        <f>IF(B203="","",$B$9+B203)</f>
        <v/>
      </c>
    </row>
    <row r="204">
      <c r="A204" s="8">
        <f>IF(B204="","",A203+1)</f>
        <v/>
      </c>
      <c r="B204" s="8">
        <f>IF(B203="","",IF(B203+$B$11&lt;=$B$6+1E-9,B203+$B$11,""))</f>
        <v/>
      </c>
      <c r="C204" s="8">
        <f>IF(B204="","",B204+$B$5)</f>
        <v/>
      </c>
      <c r="D204" s="8">
        <f>IF(B204="","",IF(B204&lt;- $B$5,"Left tangent",IF(B204&lt;=$B$6,"Cubic curve","Right tangent")))</f>
        <v/>
      </c>
      <c r="E204" s="9">
        <f>IF(B204="","",IF(B204&lt;- $B$5,$B$7,IF(B204&lt;=$B$6,100*(3*$F$12*(B204+$B$5)^2+2*$F$13*(B204+$B$5)+$F$6),$B$8)))</f>
        <v/>
      </c>
      <c r="F204" s="10">
        <f>IF(B204="","",IF(B204&lt;- $B$5,$F$6*B204,IF(B204&lt;=$B$6,$F$12*(B204+$B$5)^3+$F$13*(B204+$B$5)^2+$F$6*(B204+$B$5)+$F$8,$F$9+$F$7*(B204-$B$6))))</f>
        <v/>
      </c>
      <c r="G204" s="10">
        <f>IF(F204="","",$B$10+F204)</f>
        <v/>
      </c>
      <c r="H204" s="10">
        <f>IF(B204="","",$B$9+B204)</f>
        <v/>
      </c>
    </row>
    <row r="205">
      <c r="A205" s="8">
        <f>IF(B205="","",A204+1)</f>
        <v/>
      </c>
      <c r="B205" s="8">
        <f>IF(B204="","",IF(B204+$B$11&lt;=$B$6+1E-9,B204+$B$11,""))</f>
        <v/>
      </c>
      <c r="C205" s="8">
        <f>IF(B205="","",B205+$B$5)</f>
        <v/>
      </c>
      <c r="D205" s="8">
        <f>IF(B205="","",IF(B205&lt;- $B$5,"Left tangent",IF(B205&lt;=$B$6,"Cubic curve","Right tangent")))</f>
        <v/>
      </c>
      <c r="E205" s="9">
        <f>IF(B205="","",IF(B205&lt;- $B$5,$B$7,IF(B205&lt;=$B$6,100*(3*$F$12*(B205+$B$5)^2+2*$F$13*(B205+$B$5)+$F$6),$B$8)))</f>
        <v/>
      </c>
      <c r="F205" s="10">
        <f>IF(B205="","",IF(B205&lt;- $B$5,$F$6*B205,IF(B205&lt;=$B$6,$F$12*(B205+$B$5)^3+$F$13*(B205+$B$5)^2+$F$6*(B205+$B$5)+$F$8,$F$9+$F$7*(B205-$B$6))))</f>
        <v/>
      </c>
      <c r="G205" s="10">
        <f>IF(F205="","",$B$10+F205)</f>
        <v/>
      </c>
      <c r="H205" s="10">
        <f>IF(B205="","",$B$9+B205)</f>
        <v/>
      </c>
    </row>
    <row r="206">
      <c r="A206" s="8">
        <f>IF(B206="","",A205+1)</f>
        <v/>
      </c>
      <c r="B206" s="8">
        <f>IF(B205="","",IF(B205+$B$11&lt;=$B$6+1E-9,B205+$B$11,""))</f>
        <v/>
      </c>
      <c r="C206" s="8">
        <f>IF(B206="","",B206+$B$5)</f>
        <v/>
      </c>
      <c r="D206" s="8">
        <f>IF(B206="","",IF(B206&lt;- $B$5,"Left tangent",IF(B206&lt;=$B$6,"Cubic curve","Right tangent")))</f>
        <v/>
      </c>
      <c r="E206" s="9">
        <f>IF(B206="","",IF(B206&lt;- $B$5,$B$7,IF(B206&lt;=$B$6,100*(3*$F$12*(B206+$B$5)^2+2*$F$13*(B206+$B$5)+$F$6),$B$8)))</f>
        <v/>
      </c>
      <c r="F206" s="10">
        <f>IF(B206="","",IF(B206&lt;- $B$5,$F$6*B206,IF(B206&lt;=$B$6,$F$12*(B206+$B$5)^3+$F$13*(B206+$B$5)^2+$F$6*(B206+$B$5)+$F$8,$F$9+$F$7*(B206-$B$6))))</f>
        <v/>
      </c>
      <c r="G206" s="10">
        <f>IF(F206="","",$B$10+F206)</f>
        <v/>
      </c>
      <c r="H206" s="10">
        <f>IF(B206="","",$B$9+B206)</f>
        <v/>
      </c>
    </row>
    <row r="207">
      <c r="A207" s="8">
        <f>IF(B207="","",A206+1)</f>
        <v/>
      </c>
      <c r="B207" s="8">
        <f>IF(B206="","",IF(B206+$B$11&lt;=$B$6+1E-9,B206+$B$11,""))</f>
        <v/>
      </c>
      <c r="C207" s="8">
        <f>IF(B207="","",B207+$B$5)</f>
        <v/>
      </c>
      <c r="D207" s="8">
        <f>IF(B207="","",IF(B207&lt;- $B$5,"Left tangent",IF(B207&lt;=$B$6,"Cubic curve","Right tangent")))</f>
        <v/>
      </c>
      <c r="E207" s="9">
        <f>IF(B207="","",IF(B207&lt;- $B$5,$B$7,IF(B207&lt;=$B$6,100*(3*$F$12*(B207+$B$5)^2+2*$F$13*(B207+$B$5)+$F$6),$B$8)))</f>
        <v/>
      </c>
      <c r="F207" s="10">
        <f>IF(B207="","",IF(B207&lt;- $B$5,$F$6*B207,IF(B207&lt;=$B$6,$F$12*(B207+$B$5)^3+$F$13*(B207+$B$5)^2+$F$6*(B207+$B$5)+$F$8,$F$9+$F$7*(B207-$B$6))))</f>
        <v/>
      </c>
      <c r="G207" s="10">
        <f>IF(F207="","",$B$10+F207)</f>
        <v/>
      </c>
      <c r="H207" s="10">
        <f>IF(B207="","",$B$9+B207)</f>
        <v/>
      </c>
    </row>
    <row r="208">
      <c r="A208" s="8">
        <f>IF(B208="","",A207+1)</f>
        <v/>
      </c>
      <c r="B208" s="8">
        <f>IF(B207="","",IF(B207+$B$11&lt;=$B$6+1E-9,B207+$B$11,""))</f>
        <v/>
      </c>
      <c r="C208" s="8">
        <f>IF(B208="","",B208+$B$5)</f>
        <v/>
      </c>
      <c r="D208" s="8">
        <f>IF(B208="","",IF(B208&lt;- $B$5,"Left tangent",IF(B208&lt;=$B$6,"Cubic curve","Right tangent")))</f>
        <v/>
      </c>
      <c r="E208" s="9">
        <f>IF(B208="","",IF(B208&lt;- $B$5,$B$7,IF(B208&lt;=$B$6,100*(3*$F$12*(B208+$B$5)^2+2*$F$13*(B208+$B$5)+$F$6),$B$8)))</f>
        <v/>
      </c>
      <c r="F208" s="10">
        <f>IF(B208="","",IF(B208&lt;- $B$5,$F$6*B208,IF(B208&lt;=$B$6,$F$12*(B208+$B$5)^3+$F$13*(B208+$B$5)^2+$F$6*(B208+$B$5)+$F$8,$F$9+$F$7*(B208-$B$6))))</f>
        <v/>
      </c>
      <c r="G208" s="10">
        <f>IF(F208="","",$B$10+F208)</f>
        <v/>
      </c>
      <c r="H208" s="10">
        <f>IF(B208="","",$B$9+B208)</f>
        <v/>
      </c>
    </row>
    <row r="209">
      <c r="A209" s="8">
        <f>IF(B209="","",A208+1)</f>
        <v/>
      </c>
      <c r="B209" s="8">
        <f>IF(B208="","",IF(B208+$B$11&lt;=$B$6+1E-9,B208+$B$11,""))</f>
        <v/>
      </c>
      <c r="C209" s="8">
        <f>IF(B209="","",B209+$B$5)</f>
        <v/>
      </c>
      <c r="D209" s="8">
        <f>IF(B209="","",IF(B209&lt;- $B$5,"Left tangent",IF(B209&lt;=$B$6,"Cubic curve","Right tangent")))</f>
        <v/>
      </c>
      <c r="E209" s="9">
        <f>IF(B209="","",IF(B209&lt;- $B$5,$B$7,IF(B209&lt;=$B$6,100*(3*$F$12*(B209+$B$5)^2+2*$F$13*(B209+$B$5)+$F$6),$B$8)))</f>
        <v/>
      </c>
      <c r="F209" s="10">
        <f>IF(B209="","",IF(B209&lt;- $B$5,$F$6*B209,IF(B209&lt;=$B$6,$F$12*(B209+$B$5)^3+$F$13*(B209+$B$5)^2+$F$6*(B209+$B$5)+$F$8,$F$9+$F$7*(B209-$B$6))))</f>
        <v/>
      </c>
      <c r="G209" s="10">
        <f>IF(F209="","",$B$10+F209)</f>
        <v/>
      </c>
      <c r="H209" s="10">
        <f>IF(B209="","",$B$9+B209)</f>
        <v/>
      </c>
    </row>
    <row r="210">
      <c r="A210" s="8">
        <f>IF(B210="","",A209+1)</f>
        <v/>
      </c>
      <c r="B210" s="8">
        <f>IF(B209="","",IF(B209+$B$11&lt;=$B$6+1E-9,B209+$B$11,""))</f>
        <v/>
      </c>
      <c r="C210" s="8">
        <f>IF(B210="","",B210+$B$5)</f>
        <v/>
      </c>
      <c r="D210" s="8">
        <f>IF(B210="","",IF(B210&lt;- $B$5,"Left tangent",IF(B210&lt;=$B$6,"Cubic curve","Right tangent")))</f>
        <v/>
      </c>
      <c r="E210" s="9">
        <f>IF(B210="","",IF(B210&lt;- $B$5,$B$7,IF(B210&lt;=$B$6,100*(3*$F$12*(B210+$B$5)^2+2*$F$13*(B210+$B$5)+$F$6),$B$8)))</f>
        <v/>
      </c>
      <c r="F210" s="10">
        <f>IF(B210="","",IF(B210&lt;- $B$5,$F$6*B210,IF(B210&lt;=$B$6,$F$12*(B210+$B$5)^3+$F$13*(B210+$B$5)^2+$F$6*(B210+$B$5)+$F$8,$F$9+$F$7*(B210-$B$6))))</f>
        <v/>
      </c>
      <c r="G210" s="10">
        <f>IF(F210="","",$B$10+F210)</f>
        <v/>
      </c>
      <c r="H210" s="10">
        <f>IF(B210="","",$B$9+B210)</f>
        <v/>
      </c>
    </row>
    <row r="211">
      <c r="A211" s="8">
        <f>IF(B211="","",A210+1)</f>
        <v/>
      </c>
      <c r="B211" s="8">
        <f>IF(B210="","",IF(B210+$B$11&lt;=$B$6+1E-9,B210+$B$11,""))</f>
        <v/>
      </c>
      <c r="C211" s="8">
        <f>IF(B211="","",B211+$B$5)</f>
        <v/>
      </c>
      <c r="D211" s="8">
        <f>IF(B211="","",IF(B211&lt;- $B$5,"Left tangent",IF(B211&lt;=$B$6,"Cubic curve","Right tangent")))</f>
        <v/>
      </c>
      <c r="E211" s="9">
        <f>IF(B211="","",IF(B211&lt;- $B$5,$B$7,IF(B211&lt;=$B$6,100*(3*$F$12*(B211+$B$5)^2+2*$F$13*(B211+$B$5)+$F$6),$B$8)))</f>
        <v/>
      </c>
      <c r="F211" s="10">
        <f>IF(B211="","",IF(B211&lt;- $B$5,$F$6*B211,IF(B211&lt;=$B$6,$F$12*(B211+$B$5)^3+$F$13*(B211+$B$5)^2+$F$6*(B211+$B$5)+$F$8,$F$9+$F$7*(B211-$B$6))))</f>
        <v/>
      </c>
      <c r="G211" s="10">
        <f>IF(F211="","",$B$10+F211)</f>
        <v/>
      </c>
      <c r="H211" s="10">
        <f>IF(B211="","",$B$9+B211)</f>
        <v/>
      </c>
    </row>
    <row r="212">
      <c r="A212" s="8">
        <f>IF(B212="","",A211+1)</f>
        <v/>
      </c>
      <c r="B212" s="8">
        <f>IF(B211="","",IF(B211+$B$11&lt;=$B$6+1E-9,B211+$B$11,""))</f>
        <v/>
      </c>
      <c r="C212" s="8">
        <f>IF(B212="","",B212+$B$5)</f>
        <v/>
      </c>
      <c r="D212" s="8">
        <f>IF(B212="","",IF(B212&lt;- $B$5,"Left tangent",IF(B212&lt;=$B$6,"Cubic curve","Right tangent")))</f>
        <v/>
      </c>
      <c r="E212" s="9">
        <f>IF(B212="","",IF(B212&lt;- $B$5,$B$7,IF(B212&lt;=$B$6,100*(3*$F$12*(B212+$B$5)^2+2*$F$13*(B212+$B$5)+$F$6),$B$8)))</f>
        <v/>
      </c>
      <c r="F212" s="10">
        <f>IF(B212="","",IF(B212&lt;- $B$5,$F$6*B212,IF(B212&lt;=$B$6,$F$12*(B212+$B$5)^3+$F$13*(B212+$B$5)^2+$F$6*(B212+$B$5)+$F$8,$F$9+$F$7*(B212-$B$6))))</f>
        <v/>
      </c>
      <c r="G212" s="10">
        <f>IF(F212="","",$B$10+F212)</f>
        <v/>
      </c>
      <c r="H212" s="10">
        <f>IF(B212="","",$B$9+B212)</f>
        <v/>
      </c>
    </row>
    <row r="213">
      <c r="A213" s="8">
        <f>IF(B213="","",A212+1)</f>
        <v/>
      </c>
      <c r="B213" s="8">
        <f>IF(B212="","",IF(B212+$B$11&lt;=$B$6+1E-9,B212+$B$11,""))</f>
        <v/>
      </c>
      <c r="C213" s="8">
        <f>IF(B213="","",B213+$B$5)</f>
        <v/>
      </c>
      <c r="D213" s="8">
        <f>IF(B213="","",IF(B213&lt;- $B$5,"Left tangent",IF(B213&lt;=$B$6,"Cubic curve","Right tangent")))</f>
        <v/>
      </c>
      <c r="E213" s="9">
        <f>IF(B213="","",IF(B213&lt;- $B$5,$B$7,IF(B213&lt;=$B$6,100*(3*$F$12*(B213+$B$5)^2+2*$F$13*(B213+$B$5)+$F$6),$B$8)))</f>
        <v/>
      </c>
      <c r="F213" s="10">
        <f>IF(B213="","",IF(B213&lt;- $B$5,$F$6*B213,IF(B213&lt;=$B$6,$F$12*(B213+$B$5)^3+$F$13*(B213+$B$5)^2+$F$6*(B213+$B$5)+$F$8,$F$9+$F$7*(B213-$B$6))))</f>
        <v/>
      </c>
      <c r="G213" s="10">
        <f>IF(F213="","",$B$10+F213)</f>
        <v/>
      </c>
      <c r="H213" s="10">
        <f>IF(B213="","",$B$9+B213)</f>
        <v/>
      </c>
    </row>
    <row r="214">
      <c r="A214" s="8">
        <f>IF(B214="","",A213+1)</f>
        <v/>
      </c>
      <c r="B214" s="8">
        <f>IF(B213="","",IF(B213+$B$11&lt;=$B$6+1E-9,B213+$B$11,""))</f>
        <v/>
      </c>
      <c r="C214" s="8">
        <f>IF(B214="","",B214+$B$5)</f>
        <v/>
      </c>
      <c r="D214" s="8">
        <f>IF(B214="","",IF(B214&lt;- $B$5,"Left tangent",IF(B214&lt;=$B$6,"Cubic curve","Right tangent")))</f>
        <v/>
      </c>
      <c r="E214" s="9">
        <f>IF(B214="","",IF(B214&lt;- $B$5,$B$7,IF(B214&lt;=$B$6,100*(3*$F$12*(B214+$B$5)^2+2*$F$13*(B214+$B$5)+$F$6),$B$8)))</f>
        <v/>
      </c>
      <c r="F214" s="10">
        <f>IF(B214="","",IF(B214&lt;- $B$5,$F$6*B214,IF(B214&lt;=$B$6,$F$12*(B214+$B$5)^3+$F$13*(B214+$B$5)^2+$F$6*(B214+$B$5)+$F$8,$F$9+$F$7*(B214-$B$6))))</f>
        <v/>
      </c>
      <c r="G214" s="10">
        <f>IF(F214="","",$B$10+F214)</f>
        <v/>
      </c>
      <c r="H214" s="10">
        <f>IF(B214="","",$B$9+B214)</f>
        <v/>
      </c>
    </row>
    <row r="215">
      <c r="A215" s="8">
        <f>IF(B215="","",A214+1)</f>
        <v/>
      </c>
      <c r="B215" s="8">
        <f>IF(B214="","",IF(B214+$B$11&lt;=$B$6+1E-9,B214+$B$11,""))</f>
        <v/>
      </c>
      <c r="C215" s="8">
        <f>IF(B215="","",B215+$B$5)</f>
        <v/>
      </c>
      <c r="D215" s="8">
        <f>IF(B215="","",IF(B215&lt;- $B$5,"Left tangent",IF(B215&lt;=$B$6,"Cubic curve","Right tangent")))</f>
        <v/>
      </c>
      <c r="E215" s="9">
        <f>IF(B215="","",IF(B215&lt;- $B$5,$B$7,IF(B215&lt;=$B$6,100*(3*$F$12*(B215+$B$5)^2+2*$F$13*(B215+$B$5)+$F$6),$B$8)))</f>
        <v/>
      </c>
      <c r="F215" s="10">
        <f>IF(B215="","",IF(B215&lt;- $B$5,$F$6*B215,IF(B215&lt;=$B$6,$F$12*(B215+$B$5)^3+$F$13*(B215+$B$5)^2+$F$6*(B215+$B$5)+$F$8,$F$9+$F$7*(B215-$B$6))))</f>
        <v/>
      </c>
      <c r="G215" s="10">
        <f>IF(F215="","",$B$10+F215)</f>
        <v/>
      </c>
      <c r="H215" s="10">
        <f>IF(B215="","",$B$9+B215)</f>
        <v/>
      </c>
    </row>
    <row r="216">
      <c r="A216" s="8">
        <f>IF(B216="","",A215+1)</f>
        <v/>
      </c>
      <c r="B216" s="8">
        <f>IF(B215="","",IF(B215+$B$11&lt;=$B$6+1E-9,B215+$B$11,""))</f>
        <v/>
      </c>
      <c r="C216" s="8">
        <f>IF(B216="","",B216+$B$5)</f>
        <v/>
      </c>
      <c r="D216" s="8">
        <f>IF(B216="","",IF(B216&lt;- $B$5,"Left tangent",IF(B216&lt;=$B$6,"Cubic curve","Right tangent")))</f>
        <v/>
      </c>
      <c r="E216" s="9">
        <f>IF(B216="","",IF(B216&lt;- $B$5,$B$7,IF(B216&lt;=$B$6,100*(3*$F$12*(B216+$B$5)^2+2*$F$13*(B216+$B$5)+$F$6),$B$8)))</f>
        <v/>
      </c>
      <c r="F216" s="10">
        <f>IF(B216="","",IF(B216&lt;- $B$5,$F$6*B216,IF(B216&lt;=$B$6,$F$12*(B216+$B$5)^3+$F$13*(B216+$B$5)^2+$F$6*(B216+$B$5)+$F$8,$F$9+$F$7*(B216-$B$6))))</f>
        <v/>
      </c>
      <c r="G216" s="10">
        <f>IF(F216="","",$B$10+F216)</f>
        <v/>
      </c>
      <c r="H216" s="10">
        <f>IF(B216="","",$B$9+B216)</f>
        <v/>
      </c>
    </row>
    <row r="217">
      <c r="A217" s="8">
        <f>IF(B217="","",A216+1)</f>
        <v/>
      </c>
      <c r="B217" s="8">
        <f>IF(B216="","",IF(B216+$B$11&lt;=$B$6+1E-9,B216+$B$11,""))</f>
        <v/>
      </c>
      <c r="C217" s="8">
        <f>IF(B217="","",B217+$B$5)</f>
        <v/>
      </c>
      <c r="D217" s="8">
        <f>IF(B217="","",IF(B217&lt;- $B$5,"Left tangent",IF(B217&lt;=$B$6,"Cubic curve","Right tangent")))</f>
        <v/>
      </c>
      <c r="E217" s="9">
        <f>IF(B217="","",IF(B217&lt;- $B$5,$B$7,IF(B217&lt;=$B$6,100*(3*$F$12*(B217+$B$5)^2+2*$F$13*(B217+$B$5)+$F$6),$B$8)))</f>
        <v/>
      </c>
      <c r="F217" s="10">
        <f>IF(B217="","",IF(B217&lt;- $B$5,$F$6*B217,IF(B217&lt;=$B$6,$F$12*(B217+$B$5)^3+$F$13*(B217+$B$5)^2+$F$6*(B217+$B$5)+$F$8,$F$9+$F$7*(B217-$B$6))))</f>
        <v/>
      </c>
      <c r="G217" s="10">
        <f>IF(F217="","",$B$10+F217)</f>
        <v/>
      </c>
      <c r="H217" s="10">
        <f>IF(B217="","",$B$9+B217)</f>
        <v/>
      </c>
    </row>
    <row r="218">
      <c r="A218" s="8">
        <f>IF(B218="","",A217+1)</f>
        <v/>
      </c>
      <c r="B218" s="8">
        <f>IF(B217="","",IF(B217+$B$11&lt;=$B$6+1E-9,B217+$B$11,""))</f>
        <v/>
      </c>
      <c r="C218" s="8">
        <f>IF(B218="","",B218+$B$5)</f>
        <v/>
      </c>
      <c r="D218" s="8">
        <f>IF(B218="","",IF(B218&lt;- $B$5,"Left tangent",IF(B218&lt;=$B$6,"Cubic curve","Right tangent")))</f>
        <v/>
      </c>
      <c r="E218" s="9">
        <f>IF(B218="","",IF(B218&lt;- $B$5,$B$7,IF(B218&lt;=$B$6,100*(3*$F$12*(B218+$B$5)^2+2*$F$13*(B218+$B$5)+$F$6),$B$8)))</f>
        <v/>
      </c>
      <c r="F218" s="10">
        <f>IF(B218="","",IF(B218&lt;- $B$5,$F$6*B218,IF(B218&lt;=$B$6,$F$12*(B218+$B$5)^3+$F$13*(B218+$B$5)^2+$F$6*(B218+$B$5)+$F$8,$F$9+$F$7*(B218-$B$6))))</f>
        <v/>
      </c>
      <c r="G218" s="10">
        <f>IF(F218="","",$B$10+F218)</f>
        <v/>
      </c>
      <c r="H218" s="10">
        <f>IF(B218="","",$B$9+B218)</f>
        <v/>
      </c>
    </row>
    <row r="219">
      <c r="A219" s="8">
        <f>IF(B219="","",A218+1)</f>
        <v/>
      </c>
      <c r="B219" s="8">
        <f>IF(B218="","",IF(B218+$B$11&lt;=$B$6+1E-9,B218+$B$11,""))</f>
        <v/>
      </c>
      <c r="C219" s="8">
        <f>IF(B219="","",B219+$B$5)</f>
        <v/>
      </c>
      <c r="D219" s="8">
        <f>IF(B219="","",IF(B219&lt;- $B$5,"Left tangent",IF(B219&lt;=$B$6,"Cubic curve","Right tangent")))</f>
        <v/>
      </c>
      <c r="E219" s="9">
        <f>IF(B219="","",IF(B219&lt;- $B$5,$B$7,IF(B219&lt;=$B$6,100*(3*$F$12*(B219+$B$5)^2+2*$F$13*(B219+$B$5)+$F$6),$B$8)))</f>
        <v/>
      </c>
      <c r="F219" s="10">
        <f>IF(B219="","",IF(B219&lt;- $B$5,$F$6*B219,IF(B219&lt;=$B$6,$F$12*(B219+$B$5)^3+$F$13*(B219+$B$5)^2+$F$6*(B219+$B$5)+$F$8,$F$9+$F$7*(B219-$B$6))))</f>
        <v/>
      </c>
      <c r="G219" s="10">
        <f>IF(F219="","",$B$10+F219)</f>
        <v/>
      </c>
      <c r="H219" s="10">
        <f>IF(B219="","",$B$9+B219)</f>
        <v/>
      </c>
    </row>
    <row r="220">
      <c r="A220" s="8">
        <f>IF(B220="","",A219+1)</f>
        <v/>
      </c>
      <c r="B220" s="8">
        <f>IF(B219="","",IF(B219+$B$11&lt;=$B$6+1E-9,B219+$B$11,""))</f>
        <v/>
      </c>
      <c r="C220" s="8">
        <f>IF(B220="","",B220+$B$5)</f>
        <v/>
      </c>
      <c r="D220" s="8">
        <f>IF(B220="","",IF(B220&lt;- $B$5,"Left tangent",IF(B220&lt;=$B$6,"Cubic curve","Right tangent")))</f>
        <v/>
      </c>
      <c r="E220" s="9">
        <f>IF(B220="","",IF(B220&lt;- $B$5,$B$7,IF(B220&lt;=$B$6,100*(3*$F$12*(B220+$B$5)^2+2*$F$13*(B220+$B$5)+$F$6),$B$8)))</f>
        <v/>
      </c>
      <c r="F220" s="10">
        <f>IF(B220="","",IF(B220&lt;- $B$5,$F$6*B220,IF(B220&lt;=$B$6,$F$12*(B220+$B$5)^3+$F$13*(B220+$B$5)^2+$F$6*(B220+$B$5)+$F$8,$F$9+$F$7*(B220-$B$6))))</f>
        <v/>
      </c>
      <c r="G220" s="10">
        <f>IF(F220="","",$B$10+F220)</f>
        <v/>
      </c>
      <c r="H220" s="10">
        <f>IF(B220="","",$B$9+B220)</f>
        <v/>
      </c>
    </row>
    <row r="221">
      <c r="A221" s="8">
        <f>IF(B221="","",A220+1)</f>
        <v/>
      </c>
      <c r="B221" s="8">
        <f>IF(B220="","",IF(B220+$B$11&lt;=$B$6+1E-9,B220+$B$11,""))</f>
        <v/>
      </c>
      <c r="C221" s="8">
        <f>IF(B221="","",B221+$B$5)</f>
        <v/>
      </c>
      <c r="D221" s="8">
        <f>IF(B221="","",IF(B221&lt;- $B$5,"Left tangent",IF(B221&lt;=$B$6,"Cubic curve","Right tangent")))</f>
        <v/>
      </c>
      <c r="E221" s="9">
        <f>IF(B221="","",IF(B221&lt;- $B$5,$B$7,IF(B221&lt;=$B$6,100*(3*$F$12*(B221+$B$5)^2+2*$F$13*(B221+$B$5)+$F$6),$B$8)))</f>
        <v/>
      </c>
      <c r="F221" s="10">
        <f>IF(B221="","",IF(B221&lt;- $B$5,$F$6*B221,IF(B221&lt;=$B$6,$F$12*(B221+$B$5)^3+$F$13*(B221+$B$5)^2+$F$6*(B221+$B$5)+$F$8,$F$9+$F$7*(B221-$B$6))))</f>
        <v/>
      </c>
      <c r="G221" s="10">
        <f>IF(F221="","",$B$10+F221)</f>
        <v/>
      </c>
      <c r="H221" s="10">
        <f>IF(B221="","",$B$9+B221)</f>
        <v/>
      </c>
    </row>
    <row r="222">
      <c r="A222" s="8">
        <f>IF(B222="","",A221+1)</f>
        <v/>
      </c>
      <c r="B222" s="8">
        <f>IF(B221="","",IF(B221+$B$11&lt;=$B$6+1E-9,B221+$B$11,""))</f>
        <v/>
      </c>
      <c r="C222" s="8">
        <f>IF(B222="","",B222+$B$5)</f>
        <v/>
      </c>
      <c r="D222" s="8">
        <f>IF(B222="","",IF(B222&lt;- $B$5,"Left tangent",IF(B222&lt;=$B$6,"Cubic curve","Right tangent")))</f>
        <v/>
      </c>
      <c r="E222" s="9">
        <f>IF(B222="","",IF(B222&lt;- $B$5,$B$7,IF(B222&lt;=$B$6,100*(3*$F$12*(B222+$B$5)^2+2*$F$13*(B222+$B$5)+$F$6),$B$8)))</f>
        <v/>
      </c>
      <c r="F222" s="10">
        <f>IF(B222="","",IF(B222&lt;- $B$5,$F$6*B222,IF(B222&lt;=$B$6,$F$12*(B222+$B$5)^3+$F$13*(B222+$B$5)^2+$F$6*(B222+$B$5)+$F$8,$F$9+$F$7*(B222-$B$6))))</f>
        <v/>
      </c>
      <c r="G222" s="10">
        <f>IF(F222="","",$B$10+F222)</f>
        <v/>
      </c>
      <c r="H222" s="10">
        <f>IF(B222="","",$B$9+B222)</f>
        <v/>
      </c>
    </row>
    <row r="223">
      <c r="A223" s="8">
        <f>IF(B223="","",A222+1)</f>
        <v/>
      </c>
      <c r="B223" s="8">
        <f>IF(B222="","",IF(B222+$B$11&lt;=$B$6+1E-9,B222+$B$11,""))</f>
        <v/>
      </c>
      <c r="C223" s="8">
        <f>IF(B223="","",B223+$B$5)</f>
        <v/>
      </c>
      <c r="D223" s="8">
        <f>IF(B223="","",IF(B223&lt;- $B$5,"Left tangent",IF(B223&lt;=$B$6,"Cubic curve","Right tangent")))</f>
        <v/>
      </c>
      <c r="E223" s="9">
        <f>IF(B223="","",IF(B223&lt;- $B$5,$B$7,IF(B223&lt;=$B$6,100*(3*$F$12*(B223+$B$5)^2+2*$F$13*(B223+$B$5)+$F$6),$B$8)))</f>
        <v/>
      </c>
      <c r="F223" s="10">
        <f>IF(B223="","",IF(B223&lt;- $B$5,$F$6*B223,IF(B223&lt;=$B$6,$F$12*(B223+$B$5)^3+$F$13*(B223+$B$5)^2+$F$6*(B223+$B$5)+$F$8,$F$9+$F$7*(B223-$B$6))))</f>
        <v/>
      </c>
      <c r="G223" s="10">
        <f>IF(F223="","",$B$10+F223)</f>
        <v/>
      </c>
      <c r="H223" s="10">
        <f>IF(B223="","",$B$9+B223)</f>
        <v/>
      </c>
    </row>
    <row r="224">
      <c r="A224" s="8">
        <f>IF(B224="","",A223+1)</f>
        <v/>
      </c>
      <c r="B224" s="8">
        <f>IF(B223="","",IF(B223+$B$11&lt;=$B$6+1E-9,B223+$B$11,""))</f>
        <v/>
      </c>
      <c r="C224" s="8">
        <f>IF(B224="","",B224+$B$5)</f>
        <v/>
      </c>
      <c r="D224" s="8">
        <f>IF(B224="","",IF(B224&lt;- $B$5,"Left tangent",IF(B224&lt;=$B$6,"Cubic curve","Right tangent")))</f>
        <v/>
      </c>
      <c r="E224" s="9">
        <f>IF(B224="","",IF(B224&lt;- $B$5,$B$7,IF(B224&lt;=$B$6,100*(3*$F$12*(B224+$B$5)^2+2*$F$13*(B224+$B$5)+$F$6),$B$8)))</f>
        <v/>
      </c>
      <c r="F224" s="10">
        <f>IF(B224="","",IF(B224&lt;- $B$5,$F$6*B224,IF(B224&lt;=$B$6,$F$12*(B224+$B$5)^3+$F$13*(B224+$B$5)^2+$F$6*(B224+$B$5)+$F$8,$F$9+$F$7*(B224-$B$6))))</f>
        <v/>
      </c>
      <c r="G224" s="10">
        <f>IF(F224="","",$B$10+F224)</f>
        <v/>
      </c>
      <c r="H224" s="10">
        <f>IF(B224="","",$B$9+B224)</f>
        <v/>
      </c>
    </row>
    <row r="225">
      <c r="A225" s="8">
        <f>IF(B225="","",A224+1)</f>
        <v/>
      </c>
      <c r="B225" s="8">
        <f>IF(B224="","",IF(B224+$B$11&lt;=$B$6+1E-9,B224+$B$11,""))</f>
        <v/>
      </c>
      <c r="C225" s="8">
        <f>IF(B225="","",B225+$B$5)</f>
        <v/>
      </c>
      <c r="D225" s="8">
        <f>IF(B225="","",IF(B225&lt;- $B$5,"Left tangent",IF(B225&lt;=$B$6,"Cubic curve","Right tangent")))</f>
        <v/>
      </c>
      <c r="E225" s="9">
        <f>IF(B225="","",IF(B225&lt;- $B$5,$B$7,IF(B225&lt;=$B$6,100*(3*$F$12*(B225+$B$5)^2+2*$F$13*(B225+$B$5)+$F$6),$B$8)))</f>
        <v/>
      </c>
      <c r="F225" s="10">
        <f>IF(B225="","",IF(B225&lt;- $B$5,$F$6*B225,IF(B225&lt;=$B$6,$F$12*(B225+$B$5)^3+$F$13*(B225+$B$5)^2+$F$6*(B225+$B$5)+$F$8,$F$9+$F$7*(B225-$B$6))))</f>
        <v/>
      </c>
      <c r="G225" s="10">
        <f>IF(F225="","",$B$10+F225)</f>
        <v/>
      </c>
      <c r="H225" s="10">
        <f>IF(B225="","",$B$9+B225)</f>
        <v/>
      </c>
    </row>
    <row r="226">
      <c r="A226" s="8">
        <f>IF(B226="","",A225+1)</f>
        <v/>
      </c>
      <c r="B226" s="8">
        <f>IF(B225="","",IF(B225+$B$11&lt;=$B$6+1E-9,B225+$B$11,""))</f>
        <v/>
      </c>
      <c r="C226" s="8">
        <f>IF(B226="","",B226+$B$5)</f>
        <v/>
      </c>
      <c r="D226" s="8">
        <f>IF(B226="","",IF(B226&lt;- $B$5,"Left tangent",IF(B226&lt;=$B$6,"Cubic curve","Right tangent")))</f>
        <v/>
      </c>
      <c r="E226" s="9">
        <f>IF(B226="","",IF(B226&lt;- $B$5,$B$7,IF(B226&lt;=$B$6,100*(3*$F$12*(B226+$B$5)^2+2*$F$13*(B226+$B$5)+$F$6),$B$8)))</f>
        <v/>
      </c>
      <c r="F226" s="10">
        <f>IF(B226="","",IF(B226&lt;- $B$5,$F$6*B226,IF(B226&lt;=$B$6,$F$12*(B226+$B$5)^3+$F$13*(B226+$B$5)^2+$F$6*(B226+$B$5)+$F$8,$F$9+$F$7*(B226-$B$6))))</f>
        <v/>
      </c>
      <c r="G226" s="10">
        <f>IF(F226="","",$B$10+F226)</f>
        <v/>
      </c>
      <c r="H226" s="10">
        <f>IF(B226="","",$B$9+B226)</f>
        <v/>
      </c>
    </row>
    <row r="227">
      <c r="A227" s="8">
        <f>IF(B227="","",A226+1)</f>
        <v/>
      </c>
      <c r="B227" s="8">
        <f>IF(B226="","",IF(B226+$B$11&lt;=$B$6+1E-9,B226+$B$11,""))</f>
        <v/>
      </c>
      <c r="C227" s="8">
        <f>IF(B227="","",B227+$B$5)</f>
        <v/>
      </c>
      <c r="D227" s="8">
        <f>IF(B227="","",IF(B227&lt;- $B$5,"Left tangent",IF(B227&lt;=$B$6,"Cubic curve","Right tangent")))</f>
        <v/>
      </c>
      <c r="E227" s="9">
        <f>IF(B227="","",IF(B227&lt;- $B$5,$B$7,IF(B227&lt;=$B$6,100*(3*$F$12*(B227+$B$5)^2+2*$F$13*(B227+$B$5)+$F$6),$B$8)))</f>
        <v/>
      </c>
      <c r="F227" s="10">
        <f>IF(B227="","",IF(B227&lt;- $B$5,$F$6*B227,IF(B227&lt;=$B$6,$F$12*(B227+$B$5)^3+$F$13*(B227+$B$5)^2+$F$6*(B227+$B$5)+$F$8,$F$9+$F$7*(B227-$B$6))))</f>
        <v/>
      </c>
      <c r="G227" s="10">
        <f>IF(F227="","",$B$10+F227)</f>
        <v/>
      </c>
      <c r="H227" s="10">
        <f>IF(B227="","",$B$9+B227)</f>
        <v/>
      </c>
    </row>
    <row r="228">
      <c r="A228" s="8">
        <f>IF(B228="","",A227+1)</f>
        <v/>
      </c>
      <c r="B228" s="8">
        <f>IF(B227="","",IF(B227+$B$11&lt;=$B$6+1E-9,B227+$B$11,""))</f>
        <v/>
      </c>
      <c r="C228" s="8">
        <f>IF(B228="","",B228+$B$5)</f>
        <v/>
      </c>
      <c r="D228" s="8">
        <f>IF(B228="","",IF(B228&lt;- $B$5,"Left tangent",IF(B228&lt;=$B$6,"Cubic curve","Right tangent")))</f>
        <v/>
      </c>
      <c r="E228" s="9">
        <f>IF(B228="","",IF(B228&lt;- $B$5,$B$7,IF(B228&lt;=$B$6,100*(3*$F$12*(B228+$B$5)^2+2*$F$13*(B228+$B$5)+$F$6),$B$8)))</f>
        <v/>
      </c>
      <c r="F228" s="10">
        <f>IF(B228="","",IF(B228&lt;- $B$5,$F$6*B228,IF(B228&lt;=$B$6,$F$12*(B228+$B$5)^3+$F$13*(B228+$B$5)^2+$F$6*(B228+$B$5)+$F$8,$F$9+$F$7*(B228-$B$6))))</f>
        <v/>
      </c>
      <c r="G228" s="10">
        <f>IF(F228="","",$B$10+F228)</f>
        <v/>
      </c>
      <c r="H228" s="10">
        <f>IF(B228="","",$B$9+B228)</f>
        <v/>
      </c>
    </row>
    <row r="229">
      <c r="A229" s="8">
        <f>IF(B229="","",A228+1)</f>
        <v/>
      </c>
      <c r="B229" s="8">
        <f>IF(B228="","",IF(B228+$B$11&lt;=$B$6+1E-9,B228+$B$11,""))</f>
        <v/>
      </c>
      <c r="C229" s="8">
        <f>IF(B229="","",B229+$B$5)</f>
        <v/>
      </c>
      <c r="D229" s="8">
        <f>IF(B229="","",IF(B229&lt;- $B$5,"Left tangent",IF(B229&lt;=$B$6,"Cubic curve","Right tangent")))</f>
        <v/>
      </c>
      <c r="E229" s="9">
        <f>IF(B229="","",IF(B229&lt;- $B$5,$B$7,IF(B229&lt;=$B$6,100*(3*$F$12*(B229+$B$5)^2+2*$F$13*(B229+$B$5)+$F$6),$B$8)))</f>
        <v/>
      </c>
      <c r="F229" s="10">
        <f>IF(B229="","",IF(B229&lt;- $B$5,$F$6*B229,IF(B229&lt;=$B$6,$F$12*(B229+$B$5)^3+$F$13*(B229+$B$5)^2+$F$6*(B229+$B$5)+$F$8,$F$9+$F$7*(B229-$B$6))))</f>
        <v/>
      </c>
      <c r="G229" s="10">
        <f>IF(F229="","",$B$10+F229)</f>
        <v/>
      </c>
      <c r="H229" s="10">
        <f>IF(B229="","",$B$9+B229)</f>
        <v/>
      </c>
    </row>
    <row r="230">
      <c r="A230" s="8">
        <f>IF(B230="","",A229+1)</f>
        <v/>
      </c>
      <c r="B230" s="8">
        <f>IF(B229="","",IF(B229+$B$11&lt;=$B$6+1E-9,B229+$B$11,""))</f>
        <v/>
      </c>
      <c r="C230" s="8">
        <f>IF(B230="","",B230+$B$5)</f>
        <v/>
      </c>
      <c r="D230" s="8">
        <f>IF(B230="","",IF(B230&lt;- $B$5,"Left tangent",IF(B230&lt;=$B$6,"Cubic curve","Right tangent")))</f>
        <v/>
      </c>
      <c r="E230" s="9">
        <f>IF(B230="","",IF(B230&lt;- $B$5,$B$7,IF(B230&lt;=$B$6,100*(3*$F$12*(B230+$B$5)^2+2*$F$13*(B230+$B$5)+$F$6),$B$8)))</f>
        <v/>
      </c>
      <c r="F230" s="10">
        <f>IF(B230="","",IF(B230&lt;- $B$5,$F$6*B230,IF(B230&lt;=$B$6,$F$12*(B230+$B$5)^3+$F$13*(B230+$B$5)^2+$F$6*(B230+$B$5)+$F$8,$F$9+$F$7*(B230-$B$6))))</f>
        <v/>
      </c>
      <c r="G230" s="10">
        <f>IF(F230="","",$B$10+F230)</f>
        <v/>
      </c>
      <c r="H230" s="10">
        <f>IF(B230="","",$B$9+B230)</f>
        <v/>
      </c>
    </row>
    <row r="231">
      <c r="A231" s="8">
        <f>IF(B231="","",A230+1)</f>
        <v/>
      </c>
      <c r="B231" s="8">
        <f>IF(B230="","",IF(B230+$B$11&lt;=$B$6+1E-9,B230+$B$11,""))</f>
        <v/>
      </c>
      <c r="C231" s="8">
        <f>IF(B231="","",B231+$B$5)</f>
        <v/>
      </c>
      <c r="D231" s="8">
        <f>IF(B231="","",IF(B231&lt;- $B$5,"Left tangent",IF(B231&lt;=$B$6,"Cubic curve","Right tangent")))</f>
        <v/>
      </c>
      <c r="E231" s="9">
        <f>IF(B231="","",IF(B231&lt;- $B$5,$B$7,IF(B231&lt;=$B$6,100*(3*$F$12*(B231+$B$5)^2+2*$F$13*(B231+$B$5)+$F$6),$B$8)))</f>
        <v/>
      </c>
      <c r="F231" s="10">
        <f>IF(B231="","",IF(B231&lt;- $B$5,$F$6*B231,IF(B231&lt;=$B$6,$F$12*(B231+$B$5)^3+$F$13*(B231+$B$5)^2+$F$6*(B231+$B$5)+$F$8,$F$9+$F$7*(B231-$B$6))))</f>
        <v/>
      </c>
      <c r="G231" s="10">
        <f>IF(F231="","",$B$10+F231)</f>
        <v/>
      </c>
      <c r="H231" s="10">
        <f>IF(B231="","",$B$9+B231)</f>
        <v/>
      </c>
    </row>
    <row r="232">
      <c r="A232" s="8">
        <f>IF(B232="","",A231+1)</f>
        <v/>
      </c>
      <c r="B232" s="8">
        <f>IF(B231="","",IF(B231+$B$11&lt;=$B$6+1E-9,B231+$B$11,""))</f>
        <v/>
      </c>
      <c r="C232" s="8">
        <f>IF(B232="","",B232+$B$5)</f>
        <v/>
      </c>
      <c r="D232" s="8">
        <f>IF(B232="","",IF(B232&lt;- $B$5,"Left tangent",IF(B232&lt;=$B$6,"Cubic curve","Right tangent")))</f>
        <v/>
      </c>
      <c r="E232" s="9">
        <f>IF(B232="","",IF(B232&lt;- $B$5,$B$7,IF(B232&lt;=$B$6,100*(3*$F$12*(B232+$B$5)^2+2*$F$13*(B232+$B$5)+$F$6),$B$8)))</f>
        <v/>
      </c>
      <c r="F232" s="10">
        <f>IF(B232="","",IF(B232&lt;- $B$5,$F$6*B232,IF(B232&lt;=$B$6,$F$12*(B232+$B$5)^3+$F$13*(B232+$B$5)^2+$F$6*(B232+$B$5)+$F$8,$F$9+$F$7*(B232-$B$6))))</f>
        <v/>
      </c>
      <c r="G232" s="10">
        <f>IF(F232="","",$B$10+F232)</f>
        <v/>
      </c>
      <c r="H232" s="10">
        <f>IF(B232="","",$B$9+B232)</f>
        <v/>
      </c>
    </row>
    <row r="233">
      <c r="A233" s="8">
        <f>IF(B233="","",A232+1)</f>
        <v/>
      </c>
      <c r="B233" s="8">
        <f>IF(B232="","",IF(B232+$B$11&lt;=$B$6+1E-9,B232+$B$11,""))</f>
        <v/>
      </c>
      <c r="C233" s="8">
        <f>IF(B233="","",B233+$B$5)</f>
        <v/>
      </c>
      <c r="D233" s="8">
        <f>IF(B233="","",IF(B233&lt;- $B$5,"Left tangent",IF(B233&lt;=$B$6,"Cubic curve","Right tangent")))</f>
        <v/>
      </c>
      <c r="E233" s="9">
        <f>IF(B233="","",IF(B233&lt;- $B$5,$B$7,IF(B233&lt;=$B$6,100*(3*$F$12*(B233+$B$5)^2+2*$F$13*(B233+$B$5)+$F$6),$B$8)))</f>
        <v/>
      </c>
      <c r="F233" s="10">
        <f>IF(B233="","",IF(B233&lt;- $B$5,$F$6*B233,IF(B233&lt;=$B$6,$F$12*(B233+$B$5)^3+$F$13*(B233+$B$5)^2+$F$6*(B233+$B$5)+$F$8,$F$9+$F$7*(B233-$B$6))))</f>
        <v/>
      </c>
      <c r="G233" s="10">
        <f>IF(F233="","",$B$10+F233)</f>
        <v/>
      </c>
      <c r="H233" s="10">
        <f>IF(B233="","",$B$9+B233)</f>
        <v/>
      </c>
    </row>
    <row r="234">
      <c r="A234" s="8">
        <f>IF(B234="","",A233+1)</f>
        <v/>
      </c>
      <c r="B234" s="8">
        <f>IF(B233="","",IF(B233+$B$11&lt;=$B$6+1E-9,B233+$B$11,""))</f>
        <v/>
      </c>
      <c r="C234" s="8">
        <f>IF(B234="","",B234+$B$5)</f>
        <v/>
      </c>
      <c r="D234" s="8">
        <f>IF(B234="","",IF(B234&lt;- $B$5,"Left tangent",IF(B234&lt;=$B$6,"Cubic curve","Right tangent")))</f>
        <v/>
      </c>
      <c r="E234" s="9">
        <f>IF(B234="","",IF(B234&lt;- $B$5,$B$7,IF(B234&lt;=$B$6,100*(3*$F$12*(B234+$B$5)^2+2*$F$13*(B234+$B$5)+$F$6),$B$8)))</f>
        <v/>
      </c>
      <c r="F234" s="10">
        <f>IF(B234="","",IF(B234&lt;- $B$5,$F$6*B234,IF(B234&lt;=$B$6,$F$12*(B234+$B$5)^3+$F$13*(B234+$B$5)^2+$F$6*(B234+$B$5)+$F$8,$F$9+$F$7*(B234-$B$6))))</f>
        <v/>
      </c>
      <c r="G234" s="10">
        <f>IF(F234="","",$B$10+F234)</f>
        <v/>
      </c>
      <c r="H234" s="10">
        <f>IF(B234="","",$B$9+B234)</f>
        <v/>
      </c>
    </row>
    <row r="235">
      <c r="A235" s="8">
        <f>IF(B235="","",A234+1)</f>
        <v/>
      </c>
      <c r="B235" s="8">
        <f>IF(B234="","",IF(B234+$B$11&lt;=$B$6+1E-9,B234+$B$11,""))</f>
        <v/>
      </c>
      <c r="C235" s="8">
        <f>IF(B235="","",B235+$B$5)</f>
        <v/>
      </c>
      <c r="D235" s="8">
        <f>IF(B235="","",IF(B235&lt;- $B$5,"Left tangent",IF(B235&lt;=$B$6,"Cubic curve","Right tangent")))</f>
        <v/>
      </c>
      <c r="E235" s="9">
        <f>IF(B235="","",IF(B235&lt;- $B$5,$B$7,IF(B235&lt;=$B$6,100*(3*$F$12*(B235+$B$5)^2+2*$F$13*(B235+$B$5)+$F$6),$B$8)))</f>
        <v/>
      </c>
      <c r="F235" s="10">
        <f>IF(B235="","",IF(B235&lt;- $B$5,$F$6*B235,IF(B235&lt;=$B$6,$F$12*(B235+$B$5)^3+$F$13*(B235+$B$5)^2+$F$6*(B235+$B$5)+$F$8,$F$9+$F$7*(B235-$B$6))))</f>
        <v/>
      </c>
      <c r="G235" s="10">
        <f>IF(F235="","",$B$10+F235)</f>
        <v/>
      </c>
      <c r="H235" s="10">
        <f>IF(B235="","",$B$9+B235)</f>
        <v/>
      </c>
    </row>
    <row r="236">
      <c r="A236" s="8">
        <f>IF(B236="","",A235+1)</f>
        <v/>
      </c>
      <c r="B236" s="8">
        <f>IF(B235="","",IF(B235+$B$11&lt;=$B$6+1E-9,B235+$B$11,""))</f>
        <v/>
      </c>
      <c r="C236" s="8">
        <f>IF(B236="","",B236+$B$5)</f>
        <v/>
      </c>
      <c r="D236" s="8">
        <f>IF(B236="","",IF(B236&lt;- $B$5,"Left tangent",IF(B236&lt;=$B$6,"Cubic curve","Right tangent")))</f>
        <v/>
      </c>
      <c r="E236" s="9">
        <f>IF(B236="","",IF(B236&lt;- $B$5,$B$7,IF(B236&lt;=$B$6,100*(3*$F$12*(B236+$B$5)^2+2*$F$13*(B236+$B$5)+$F$6),$B$8)))</f>
        <v/>
      </c>
      <c r="F236" s="10">
        <f>IF(B236="","",IF(B236&lt;- $B$5,$F$6*B236,IF(B236&lt;=$B$6,$F$12*(B236+$B$5)^3+$F$13*(B236+$B$5)^2+$F$6*(B236+$B$5)+$F$8,$F$9+$F$7*(B236-$B$6))))</f>
        <v/>
      </c>
      <c r="G236" s="10">
        <f>IF(F236="","",$B$10+F236)</f>
        <v/>
      </c>
      <c r="H236" s="10">
        <f>IF(B236="","",$B$9+B236)</f>
        <v/>
      </c>
    </row>
    <row r="237">
      <c r="A237" s="8">
        <f>IF(B237="","",A236+1)</f>
        <v/>
      </c>
      <c r="B237" s="8">
        <f>IF(B236="","",IF(B236+$B$11&lt;=$B$6+1E-9,B236+$B$11,""))</f>
        <v/>
      </c>
      <c r="C237" s="8">
        <f>IF(B237="","",B237+$B$5)</f>
        <v/>
      </c>
      <c r="D237" s="8">
        <f>IF(B237="","",IF(B237&lt;- $B$5,"Left tangent",IF(B237&lt;=$B$6,"Cubic curve","Right tangent")))</f>
        <v/>
      </c>
      <c r="E237" s="9">
        <f>IF(B237="","",IF(B237&lt;- $B$5,$B$7,IF(B237&lt;=$B$6,100*(3*$F$12*(B237+$B$5)^2+2*$F$13*(B237+$B$5)+$F$6),$B$8)))</f>
        <v/>
      </c>
      <c r="F237" s="10">
        <f>IF(B237="","",IF(B237&lt;- $B$5,$F$6*B237,IF(B237&lt;=$B$6,$F$12*(B237+$B$5)^3+$F$13*(B237+$B$5)^2+$F$6*(B237+$B$5)+$F$8,$F$9+$F$7*(B237-$B$6))))</f>
        <v/>
      </c>
      <c r="G237" s="10">
        <f>IF(F237="","",$B$10+F237)</f>
        <v/>
      </c>
      <c r="H237" s="10">
        <f>IF(B237="","",$B$9+B237)</f>
        <v/>
      </c>
    </row>
    <row r="238">
      <c r="A238" s="8">
        <f>IF(B238="","",A237+1)</f>
        <v/>
      </c>
      <c r="B238" s="8">
        <f>IF(B237="","",IF(B237+$B$11&lt;=$B$6+1E-9,B237+$B$11,""))</f>
        <v/>
      </c>
      <c r="C238" s="8">
        <f>IF(B238="","",B238+$B$5)</f>
        <v/>
      </c>
      <c r="D238" s="8">
        <f>IF(B238="","",IF(B238&lt;- $B$5,"Left tangent",IF(B238&lt;=$B$6,"Cubic curve","Right tangent")))</f>
        <v/>
      </c>
      <c r="E238" s="9">
        <f>IF(B238="","",IF(B238&lt;- $B$5,$B$7,IF(B238&lt;=$B$6,100*(3*$F$12*(B238+$B$5)^2+2*$F$13*(B238+$B$5)+$F$6),$B$8)))</f>
        <v/>
      </c>
      <c r="F238" s="10">
        <f>IF(B238="","",IF(B238&lt;- $B$5,$F$6*B238,IF(B238&lt;=$B$6,$F$12*(B238+$B$5)^3+$F$13*(B238+$B$5)^2+$F$6*(B238+$B$5)+$F$8,$F$9+$F$7*(B238-$B$6))))</f>
        <v/>
      </c>
      <c r="G238" s="10">
        <f>IF(F238="","",$B$10+F238)</f>
        <v/>
      </c>
      <c r="H238" s="10">
        <f>IF(B238="","",$B$9+B238)</f>
        <v/>
      </c>
    </row>
    <row r="239">
      <c r="A239" s="8">
        <f>IF(B239="","",A238+1)</f>
        <v/>
      </c>
      <c r="B239" s="8">
        <f>IF(B238="","",IF(B238+$B$11&lt;=$B$6+1E-9,B238+$B$11,""))</f>
        <v/>
      </c>
      <c r="C239" s="8">
        <f>IF(B239="","",B239+$B$5)</f>
        <v/>
      </c>
      <c r="D239" s="8">
        <f>IF(B239="","",IF(B239&lt;- $B$5,"Left tangent",IF(B239&lt;=$B$6,"Cubic curve","Right tangent")))</f>
        <v/>
      </c>
      <c r="E239" s="9">
        <f>IF(B239="","",IF(B239&lt;- $B$5,$B$7,IF(B239&lt;=$B$6,100*(3*$F$12*(B239+$B$5)^2+2*$F$13*(B239+$B$5)+$F$6),$B$8)))</f>
        <v/>
      </c>
      <c r="F239" s="10">
        <f>IF(B239="","",IF(B239&lt;- $B$5,$F$6*B239,IF(B239&lt;=$B$6,$F$12*(B239+$B$5)^3+$F$13*(B239+$B$5)^2+$F$6*(B239+$B$5)+$F$8,$F$9+$F$7*(B239-$B$6))))</f>
        <v/>
      </c>
      <c r="G239" s="10">
        <f>IF(F239="","",$B$10+F239)</f>
        <v/>
      </c>
      <c r="H239" s="10">
        <f>IF(B239="","",$B$9+B239)</f>
        <v/>
      </c>
    </row>
    <row r="240">
      <c r="A240" s="8">
        <f>IF(B240="","",A239+1)</f>
        <v/>
      </c>
      <c r="B240" s="8">
        <f>IF(B239="","",IF(B239+$B$11&lt;=$B$6+1E-9,B239+$B$11,""))</f>
        <v/>
      </c>
      <c r="C240" s="8">
        <f>IF(B240="","",B240+$B$5)</f>
        <v/>
      </c>
      <c r="D240" s="8">
        <f>IF(B240="","",IF(B240&lt;- $B$5,"Left tangent",IF(B240&lt;=$B$6,"Cubic curve","Right tangent")))</f>
        <v/>
      </c>
      <c r="E240" s="9">
        <f>IF(B240="","",IF(B240&lt;- $B$5,$B$7,IF(B240&lt;=$B$6,100*(3*$F$12*(B240+$B$5)^2+2*$F$13*(B240+$B$5)+$F$6),$B$8)))</f>
        <v/>
      </c>
      <c r="F240" s="10">
        <f>IF(B240="","",IF(B240&lt;- $B$5,$F$6*B240,IF(B240&lt;=$B$6,$F$12*(B240+$B$5)^3+$F$13*(B240+$B$5)^2+$F$6*(B240+$B$5)+$F$8,$F$9+$F$7*(B240-$B$6))))</f>
        <v/>
      </c>
      <c r="G240" s="10">
        <f>IF(F240="","",$B$10+F240)</f>
        <v/>
      </c>
      <c r="H240" s="10">
        <f>IF(B240="","",$B$9+B240)</f>
        <v/>
      </c>
    </row>
    <row r="241">
      <c r="A241" s="8">
        <f>IF(B241="","",A240+1)</f>
        <v/>
      </c>
      <c r="B241" s="8">
        <f>IF(B240="","",IF(B240+$B$11&lt;=$B$6+1E-9,B240+$B$11,""))</f>
        <v/>
      </c>
      <c r="C241" s="8">
        <f>IF(B241="","",B241+$B$5)</f>
        <v/>
      </c>
      <c r="D241" s="8">
        <f>IF(B241="","",IF(B241&lt;- $B$5,"Left tangent",IF(B241&lt;=$B$6,"Cubic curve","Right tangent")))</f>
        <v/>
      </c>
      <c r="E241" s="9">
        <f>IF(B241="","",IF(B241&lt;- $B$5,$B$7,IF(B241&lt;=$B$6,100*(3*$F$12*(B241+$B$5)^2+2*$F$13*(B241+$B$5)+$F$6),$B$8)))</f>
        <v/>
      </c>
      <c r="F241" s="10">
        <f>IF(B241="","",IF(B241&lt;- $B$5,$F$6*B241,IF(B241&lt;=$B$6,$F$12*(B241+$B$5)^3+$F$13*(B241+$B$5)^2+$F$6*(B241+$B$5)+$F$8,$F$9+$F$7*(B241-$B$6))))</f>
        <v/>
      </c>
      <c r="G241" s="10">
        <f>IF(F241="","",$B$10+F241)</f>
        <v/>
      </c>
      <c r="H241" s="10">
        <f>IF(B241="","",$B$9+B241)</f>
        <v/>
      </c>
    </row>
    <row r="242">
      <c r="A242" s="8">
        <f>IF(B242="","",A241+1)</f>
        <v/>
      </c>
      <c r="B242" s="8">
        <f>IF(B241="","",IF(B241+$B$11&lt;=$B$6+1E-9,B241+$B$11,""))</f>
        <v/>
      </c>
      <c r="C242" s="8">
        <f>IF(B242="","",B242+$B$5)</f>
        <v/>
      </c>
      <c r="D242" s="8">
        <f>IF(B242="","",IF(B242&lt;- $B$5,"Left tangent",IF(B242&lt;=$B$6,"Cubic curve","Right tangent")))</f>
        <v/>
      </c>
      <c r="E242" s="9">
        <f>IF(B242="","",IF(B242&lt;- $B$5,$B$7,IF(B242&lt;=$B$6,100*(3*$F$12*(B242+$B$5)^2+2*$F$13*(B242+$B$5)+$F$6),$B$8)))</f>
        <v/>
      </c>
      <c r="F242" s="10">
        <f>IF(B242="","",IF(B242&lt;- $B$5,$F$6*B242,IF(B242&lt;=$B$6,$F$12*(B242+$B$5)^3+$F$13*(B242+$B$5)^2+$F$6*(B242+$B$5)+$F$8,$F$9+$F$7*(B242-$B$6))))</f>
        <v/>
      </c>
      <c r="G242" s="10">
        <f>IF(F242="","",$B$10+F242)</f>
        <v/>
      </c>
      <c r="H242" s="10">
        <f>IF(B242="","",$B$9+B242)</f>
        <v/>
      </c>
    </row>
    <row r="243">
      <c r="A243" s="8">
        <f>IF(B243="","",A242+1)</f>
        <v/>
      </c>
      <c r="B243" s="8">
        <f>IF(B242="","",IF(B242+$B$11&lt;=$B$6+1E-9,B242+$B$11,""))</f>
        <v/>
      </c>
      <c r="C243" s="8">
        <f>IF(B243="","",B243+$B$5)</f>
        <v/>
      </c>
      <c r="D243" s="8">
        <f>IF(B243="","",IF(B243&lt;- $B$5,"Left tangent",IF(B243&lt;=$B$6,"Cubic curve","Right tangent")))</f>
        <v/>
      </c>
      <c r="E243" s="9">
        <f>IF(B243="","",IF(B243&lt;- $B$5,$B$7,IF(B243&lt;=$B$6,100*(3*$F$12*(B243+$B$5)^2+2*$F$13*(B243+$B$5)+$F$6),$B$8)))</f>
        <v/>
      </c>
      <c r="F243" s="10">
        <f>IF(B243="","",IF(B243&lt;- $B$5,$F$6*B243,IF(B243&lt;=$B$6,$F$12*(B243+$B$5)^3+$F$13*(B243+$B$5)^2+$F$6*(B243+$B$5)+$F$8,$F$9+$F$7*(B243-$B$6))))</f>
        <v/>
      </c>
      <c r="G243" s="10">
        <f>IF(F243="","",$B$10+F243)</f>
        <v/>
      </c>
      <c r="H243" s="10">
        <f>IF(B243="","",$B$9+B243)</f>
        <v/>
      </c>
    </row>
    <row r="244">
      <c r="A244" s="8">
        <f>IF(B244="","",A243+1)</f>
        <v/>
      </c>
      <c r="B244" s="8">
        <f>IF(B243="","",IF(B243+$B$11&lt;=$B$6+1E-9,B243+$B$11,""))</f>
        <v/>
      </c>
      <c r="C244" s="8">
        <f>IF(B244="","",B244+$B$5)</f>
        <v/>
      </c>
      <c r="D244" s="8">
        <f>IF(B244="","",IF(B244&lt;- $B$5,"Left tangent",IF(B244&lt;=$B$6,"Cubic curve","Right tangent")))</f>
        <v/>
      </c>
      <c r="E244" s="9">
        <f>IF(B244="","",IF(B244&lt;- $B$5,$B$7,IF(B244&lt;=$B$6,100*(3*$F$12*(B244+$B$5)^2+2*$F$13*(B244+$B$5)+$F$6),$B$8)))</f>
        <v/>
      </c>
      <c r="F244" s="10">
        <f>IF(B244="","",IF(B244&lt;- $B$5,$F$6*B244,IF(B244&lt;=$B$6,$F$12*(B244+$B$5)^3+$F$13*(B244+$B$5)^2+$F$6*(B244+$B$5)+$F$8,$F$9+$F$7*(B244-$B$6))))</f>
        <v/>
      </c>
      <c r="G244" s="10">
        <f>IF(F244="","",$B$10+F244)</f>
        <v/>
      </c>
      <c r="H244" s="10">
        <f>IF(B244="","",$B$9+B244)</f>
        <v/>
      </c>
    </row>
    <row r="245">
      <c r="A245" s="8">
        <f>IF(B245="","",A244+1)</f>
        <v/>
      </c>
      <c r="B245" s="8">
        <f>IF(B244="","",IF(B244+$B$11&lt;=$B$6+1E-9,B244+$B$11,""))</f>
        <v/>
      </c>
      <c r="C245" s="8">
        <f>IF(B245="","",B245+$B$5)</f>
        <v/>
      </c>
      <c r="D245" s="8">
        <f>IF(B245="","",IF(B245&lt;- $B$5,"Left tangent",IF(B245&lt;=$B$6,"Cubic curve","Right tangent")))</f>
        <v/>
      </c>
      <c r="E245" s="9">
        <f>IF(B245="","",IF(B245&lt;- $B$5,$B$7,IF(B245&lt;=$B$6,100*(3*$F$12*(B245+$B$5)^2+2*$F$13*(B245+$B$5)+$F$6),$B$8)))</f>
        <v/>
      </c>
      <c r="F245" s="10">
        <f>IF(B245="","",IF(B245&lt;- $B$5,$F$6*B245,IF(B245&lt;=$B$6,$F$12*(B245+$B$5)^3+$F$13*(B245+$B$5)^2+$F$6*(B245+$B$5)+$F$8,$F$9+$F$7*(B245-$B$6))))</f>
        <v/>
      </c>
      <c r="G245" s="10">
        <f>IF(F245="","",$B$10+F245)</f>
        <v/>
      </c>
      <c r="H245" s="10">
        <f>IF(B245="","",$B$9+B245)</f>
        <v/>
      </c>
    </row>
    <row r="246">
      <c r="A246" s="8">
        <f>IF(B246="","",A245+1)</f>
        <v/>
      </c>
      <c r="B246" s="8">
        <f>IF(B245="","",IF(B245+$B$11&lt;=$B$6+1E-9,B245+$B$11,""))</f>
        <v/>
      </c>
      <c r="C246" s="8">
        <f>IF(B246="","",B246+$B$5)</f>
        <v/>
      </c>
      <c r="D246" s="8">
        <f>IF(B246="","",IF(B246&lt;- $B$5,"Left tangent",IF(B246&lt;=$B$6,"Cubic curve","Right tangent")))</f>
        <v/>
      </c>
      <c r="E246" s="9">
        <f>IF(B246="","",IF(B246&lt;- $B$5,$B$7,IF(B246&lt;=$B$6,100*(3*$F$12*(B246+$B$5)^2+2*$F$13*(B246+$B$5)+$F$6),$B$8)))</f>
        <v/>
      </c>
      <c r="F246" s="10">
        <f>IF(B246="","",IF(B246&lt;- $B$5,$F$6*B246,IF(B246&lt;=$B$6,$F$12*(B246+$B$5)^3+$F$13*(B246+$B$5)^2+$F$6*(B246+$B$5)+$F$8,$F$9+$F$7*(B246-$B$6))))</f>
        <v/>
      </c>
      <c r="G246" s="10">
        <f>IF(F246="","",$B$10+F246)</f>
        <v/>
      </c>
      <c r="H246" s="10">
        <f>IF(B246="","",$B$9+B246)</f>
        <v/>
      </c>
    </row>
    <row r="247">
      <c r="A247" s="8">
        <f>IF(B247="","",A246+1)</f>
        <v/>
      </c>
      <c r="B247" s="8">
        <f>IF(B246="","",IF(B246+$B$11&lt;=$B$6+1E-9,B246+$B$11,""))</f>
        <v/>
      </c>
      <c r="C247" s="8">
        <f>IF(B247="","",B247+$B$5)</f>
        <v/>
      </c>
      <c r="D247" s="8">
        <f>IF(B247="","",IF(B247&lt;- $B$5,"Left tangent",IF(B247&lt;=$B$6,"Cubic curve","Right tangent")))</f>
        <v/>
      </c>
      <c r="E247" s="9">
        <f>IF(B247="","",IF(B247&lt;- $B$5,$B$7,IF(B247&lt;=$B$6,100*(3*$F$12*(B247+$B$5)^2+2*$F$13*(B247+$B$5)+$F$6),$B$8)))</f>
        <v/>
      </c>
      <c r="F247" s="10">
        <f>IF(B247="","",IF(B247&lt;- $B$5,$F$6*B247,IF(B247&lt;=$B$6,$F$12*(B247+$B$5)^3+$F$13*(B247+$B$5)^2+$F$6*(B247+$B$5)+$F$8,$F$9+$F$7*(B247-$B$6))))</f>
        <v/>
      </c>
      <c r="G247" s="10">
        <f>IF(F247="","",$B$10+F247)</f>
        <v/>
      </c>
      <c r="H247" s="10">
        <f>IF(B247="","",$B$9+B247)</f>
        <v/>
      </c>
    </row>
    <row r="248">
      <c r="A248" s="8">
        <f>IF(B248="","",A247+1)</f>
        <v/>
      </c>
      <c r="B248" s="8">
        <f>IF(B247="","",IF(B247+$B$11&lt;=$B$6+1E-9,B247+$B$11,""))</f>
        <v/>
      </c>
      <c r="C248" s="8">
        <f>IF(B248="","",B248+$B$5)</f>
        <v/>
      </c>
      <c r="D248" s="8">
        <f>IF(B248="","",IF(B248&lt;- $B$5,"Left tangent",IF(B248&lt;=$B$6,"Cubic curve","Right tangent")))</f>
        <v/>
      </c>
      <c r="E248" s="9">
        <f>IF(B248="","",IF(B248&lt;- $B$5,$B$7,IF(B248&lt;=$B$6,100*(3*$F$12*(B248+$B$5)^2+2*$F$13*(B248+$B$5)+$F$6),$B$8)))</f>
        <v/>
      </c>
      <c r="F248" s="10">
        <f>IF(B248="","",IF(B248&lt;- $B$5,$F$6*B248,IF(B248&lt;=$B$6,$F$12*(B248+$B$5)^3+$F$13*(B248+$B$5)^2+$F$6*(B248+$B$5)+$F$8,$F$9+$F$7*(B248-$B$6))))</f>
        <v/>
      </c>
      <c r="G248" s="10">
        <f>IF(F248="","",$B$10+F248)</f>
        <v/>
      </c>
      <c r="H248" s="10">
        <f>IF(B248="","",$B$9+B248)</f>
        <v/>
      </c>
    </row>
    <row r="249">
      <c r="A249" s="8">
        <f>IF(B249="","",A248+1)</f>
        <v/>
      </c>
      <c r="B249" s="8">
        <f>IF(B248="","",IF(B248+$B$11&lt;=$B$6+1E-9,B248+$B$11,""))</f>
        <v/>
      </c>
      <c r="C249" s="8">
        <f>IF(B249="","",B249+$B$5)</f>
        <v/>
      </c>
      <c r="D249" s="8">
        <f>IF(B249="","",IF(B249&lt;- $B$5,"Left tangent",IF(B249&lt;=$B$6,"Cubic curve","Right tangent")))</f>
        <v/>
      </c>
      <c r="E249" s="9">
        <f>IF(B249="","",IF(B249&lt;- $B$5,$B$7,IF(B249&lt;=$B$6,100*(3*$F$12*(B249+$B$5)^2+2*$F$13*(B249+$B$5)+$F$6),$B$8)))</f>
        <v/>
      </c>
      <c r="F249" s="10">
        <f>IF(B249="","",IF(B249&lt;- $B$5,$F$6*B249,IF(B249&lt;=$B$6,$F$12*(B249+$B$5)^3+$F$13*(B249+$B$5)^2+$F$6*(B249+$B$5)+$F$8,$F$9+$F$7*(B249-$B$6))))</f>
        <v/>
      </c>
      <c r="G249" s="10">
        <f>IF(F249="","",$B$10+F249)</f>
        <v/>
      </c>
      <c r="H249" s="10">
        <f>IF(B249="","",$B$9+B249)</f>
        <v/>
      </c>
    </row>
    <row r="250">
      <c r="A250" s="8">
        <f>IF(B250="","",A249+1)</f>
        <v/>
      </c>
      <c r="B250" s="8">
        <f>IF(B249="","",IF(B249+$B$11&lt;=$B$6+1E-9,B249+$B$11,""))</f>
        <v/>
      </c>
      <c r="C250" s="8">
        <f>IF(B250="","",B250+$B$5)</f>
        <v/>
      </c>
      <c r="D250" s="8">
        <f>IF(B250="","",IF(B250&lt;- $B$5,"Left tangent",IF(B250&lt;=$B$6,"Cubic curve","Right tangent")))</f>
        <v/>
      </c>
      <c r="E250" s="9">
        <f>IF(B250="","",IF(B250&lt;- $B$5,$B$7,IF(B250&lt;=$B$6,100*(3*$F$12*(B250+$B$5)^2+2*$F$13*(B250+$B$5)+$F$6),$B$8)))</f>
        <v/>
      </c>
      <c r="F250" s="10">
        <f>IF(B250="","",IF(B250&lt;- $B$5,$F$6*B250,IF(B250&lt;=$B$6,$F$12*(B250+$B$5)^3+$F$13*(B250+$B$5)^2+$F$6*(B250+$B$5)+$F$8,$F$9+$F$7*(B250-$B$6))))</f>
        <v/>
      </c>
      <c r="G250" s="10">
        <f>IF(F250="","",$B$10+F250)</f>
        <v/>
      </c>
      <c r="H250" s="10">
        <f>IF(B250="","",$B$9+B250)</f>
        <v/>
      </c>
    </row>
    <row r="251">
      <c r="A251" s="8">
        <f>IF(B251="","",A250+1)</f>
        <v/>
      </c>
      <c r="B251" s="8">
        <f>IF(B250="","",IF(B250+$B$11&lt;=$B$6+1E-9,B250+$B$11,""))</f>
        <v/>
      </c>
      <c r="C251" s="8">
        <f>IF(B251="","",B251+$B$5)</f>
        <v/>
      </c>
      <c r="D251" s="8">
        <f>IF(B251="","",IF(B251&lt;- $B$5,"Left tangent",IF(B251&lt;=$B$6,"Cubic curve","Right tangent")))</f>
        <v/>
      </c>
      <c r="E251" s="9">
        <f>IF(B251="","",IF(B251&lt;- $B$5,$B$7,IF(B251&lt;=$B$6,100*(3*$F$12*(B251+$B$5)^2+2*$F$13*(B251+$B$5)+$F$6),$B$8)))</f>
        <v/>
      </c>
      <c r="F251" s="10">
        <f>IF(B251="","",IF(B251&lt;- $B$5,$F$6*B251,IF(B251&lt;=$B$6,$F$12*(B251+$B$5)^3+$F$13*(B251+$B$5)^2+$F$6*(B251+$B$5)+$F$8,$F$9+$F$7*(B251-$B$6))))</f>
        <v/>
      </c>
      <c r="G251" s="10">
        <f>IF(F251="","",$B$10+F251)</f>
        <v/>
      </c>
      <c r="H251" s="10">
        <f>IF(B251="","",$B$9+B251)</f>
        <v/>
      </c>
    </row>
    <row r="252">
      <c r="A252" s="8">
        <f>IF(B252="","",A251+1)</f>
        <v/>
      </c>
      <c r="B252" s="8">
        <f>IF(B251="","",IF(B251+$B$11&lt;=$B$6+1E-9,B251+$B$11,""))</f>
        <v/>
      </c>
      <c r="C252" s="8">
        <f>IF(B252="","",B252+$B$5)</f>
        <v/>
      </c>
      <c r="D252" s="8">
        <f>IF(B252="","",IF(B252&lt;- $B$5,"Left tangent",IF(B252&lt;=$B$6,"Cubic curve","Right tangent")))</f>
        <v/>
      </c>
      <c r="E252" s="9">
        <f>IF(B252="","",IF(B252&lt;- $B$5,$B$7,IF(B252&lt;=$B$6,100*(3*$F$12*(B252+$B$5)^2+2*$F$13*(B252+$B$5)+$F$6),$B$8)))</f>
        <v/>
      </c>
      <c r="F252" s="10">
        <f>IF(B252="","",IF(B252&lt;- $B$5,$F$6*B252,IF(B252&lt;=$B$6,$F$12*(B252+$B$5)^3+$F$13*(B252+$B$5)^2+$F$6*(B252+$B$5)+$F$8,$F$9+$F$7*(B252-$B$6))))</f>
        <v/>
      </c>
      <c r="G252" s="10">
        <f>IF(F252="","",$B$10+F252)</f>
        <v/>
      </c>
      <c r="H252" s="10">
        <f>IF(B252="","",$B$9+B252)</f>
        <v/>
      </c>
    </row>
    <row r="253">
      <c r="A253" s="8">
        <f>IF(B253="","",A252+1)</f>
        <v/>
      </c>
      <c r="B253" s="8">
        <f>IF(B252="","",IF(B252+$B$11&lt;=$B$6+1E-9,B252+$B$11,""))</f>
        <v/>
      </c>
      <c r="C253" s="8">
        <f>IF(B253="","",B253+$B$5)</f>
        <v/>
      </c>
      <c r="D253" s="8">
        <f>IF(B253="","",IF(B253&lt;- $B$5,"Left tangent",IF(B253&lt;=$B$6,"Cubic curve","Right tangent")))</f>
        <v/>
      </c>
      <c r="E253" s="9">
        <f>IF(B253="","",IF(B253&lt;- $B$5,$B$7,IF(B253&lt;=$B$6,100*(3*$F$12*(B253+$B$5)^2+2*$F$13*(B253+$B$5)+$F$6),$B$8)))</f>
        <v/>
      </c>
      <c r="F253" s="10">
        <f>IF(B253="","",IF(B253&lt;- $B$5,$F$6*B253,IF(B253&lt;=$B$6,$F$12*(B253+$B$5)^3+$F$13*(B253+$B$5)^2+$F$6*(B253+$B$5)+$F$8,$F$9+$F$7*(B253-$B$6))))</f>
        <v/>
      </c>
      <c r="G253" s="10">
        <f>IF(F253="","",$B$10+F253)</f>
        <v/>
      </c>
      <c r="H253" s="10">
        <f>IF(B253="","",$B$9+B253)</f>
        <v/>
      </c>
    </row>
    <row r="254">
      <c r="A254" s="8">
        <f>IF(B254="","",A253+1)</f>
        <v/>
      </c>
      <c r="B254" s="8">
        <f>IF(B253="","",IF(B253+$B$11&lt;=$B$6+1E-9,B253+$B$11,""))</f>
        <v/>
      </c>
      <c r="C254" s="8">
        <f>IF(B254="","",B254+$B$5)</f>
        <v/>
      </c>
      <c r="D254" s="8">
        <f>IF(B254="","",IF(B254&lt;- $B$5,"Left tangent",IF(B254&lt;=$B$6,"Cubic curve","Right tangent")))</f>
        <v/>
      </c>
      <c r="E254" s="9">
        <f>IF(B254="","",IF(B254&lt;- $B$5,$B$7,IF(B254&lt;=$B$6,100*(3*$F$12*(B254+$B$5)^2+2*$F$13*(B254+$B$5)+$F$6),$B$8)))</f>
        <v/>
      </c>
      <c r="F254" s="10">
        <f>IF(B254="","",IF(B254&lt;- $B$5,$F$6*B254,IF(B254&lt;=$B$6,$F$12*(B254+$B$5)^3+$F$13*(B254+$B$5)^2+$F$6*(B254+$B$5)+$F$8,$F$9+$F$7*(B254-$B$6))))</f>
        <v/>
      </c>
      <c r="G254" s="10">
        <f>IF(F254="","",$B$10+F254)</f>
        <v/>
      </c>
      <c r="H254" s="10">
        <f>IF(B254="","",$B$9+B254)</f>
        <v/>
      </c>
    </row>
    <row r="255">
      <c r="A255" s="8">
        <f>IF(B255="","",A254+1)</f>
        <v/>
      </c>
      <c r="B255" s="8">
        <f>IF(B254="","",IF(B254+$B$11&lt;=$B$6+1E-9,B254+$B$11,""))</f>
        <v/>
      </c>
      <c r="C255" s="8">
        <f>IF(B255="","",B255+$B$5)</f>
        <v/>
      </c>
      <c r="D255" s="8">
        <f>IF(B255="","",IF(B255&lt;- $B$5,"Left tangent",IF(B255&lt;=$B$6,"Cubic curve","Right tangent")))</f>
        <v/>
      </c>
      <c r="E255" s="9">
        <f>IF(B255="","",IF(B255&lt;- $B$5,$B$7,IF(B255&lt;=$B$6,100*(3*$F$12*(B255+$B$5)^2+2*$F$13*(B255+$B$5)+$F$6),$B$8)))</f>
        <v/>
      </c>
      <c r="F255" s="10">
        <f>IF(B255="","",IF(B255&lt;- $B$5,$F$6*B255,IF(B255&lt;=$B$6,$F$12*(B255+$B$5)^3+$F$13*(B255+$B$5)^2+$F$6*(B255+$B$5)+$F$8,$F$9+$F$7*(B255-$B$6))))</f>
        <v/>
      </c>
      <c r="G255" s="10">
        <f>IF(F255="","",$B$10+F255)</f>
        <v/>
      </c>
      <c r="H255" s="10">
        <f>IF(B255="","",$B$9+B255)</f>
        <v/>
      </c>
    </row>
    <row r="256">
      <c r="A256" s="8">
        <f>IF(B256="","",A255+1)</f>
        <v/>
      </c>
      <c r="B256" s="8">
        <f>IF(B255="","",IF(B255+$B$11&lt;=$B$6+1E-9,B255+$B$11,""))</f>
        <v/>
      </c>
      <c r="C256" s="8">
        <f>IF(B256="","",B256+$B$5)</f>
        <v/>
      </c>
      <c r="D256" s="8">
        <f>IF(B256="","",IF(B256&lt;- $B$5,"Left tangent",IF(B256&lt;=$B$6,"Cubic curve","Right tangent")))</f>
        <v/>
      </c>
      <c r="E256" s="9">
        <f>IF(B256="","",IF(B256&lt;- $B$5,$B$7,IF(B256&lt;=$B$6,100*(3*$F$12*(B256+$B$5)^2+2*$F$13*(B256+$B$5)+$F$6),$B$8)))</f>
        <v/>
      </c>
      <c r="F256" s="10">
        <f>IF(B256="","",IF(B256&lt;- $B$5,$F$6*B256,IF(B256&lt;=$B$6,$F$12*(B256+$B$5)^3+$F$13*(B256+$B$5)^2+$F$6*(B256+$B$5)+$F$8,$F$9+$F$7*(B256-$B$6))))</f>
        <v/>
      </c>
      <c r="G256" s="10">
        <f>IF(F256="","",$B$10+F256)</f>
        <v/>
      </c>
      <c r="H256" s="10">
        <f>IF(B256="","",$B$9+B256)</f>
        <v/>
      </c>
    </row>
    <row r="257">
      <c r="A257" s="8">
        <f>IF(B257="","",A256+1)</f>
        <v/>
      </c>
      <c r="B257" s="8">
        <f>IF(B256="","",IF(B256+$B$11&lt;=$B$6+1E-9,B256+$B$11,""))</f>
        <v/>
      </c>
      <c r="C257" s="8">
        <f>IF(B257="","",B257+$B$5)</f>
        <v/>
      </c>
      <c r="D257" s="8">
        <f>IF(B257="","",IF(B257&lt;- $B$5,"Left tangent",IF(B257&lt;=$B$6,"Cubic curve","Right tangent")))</f>
        <v/>
      </c>
      <c r="E257" s="9">
        <f>IF(B257="","",IF(B257&lt;- $B$5,$B$7,IF(B257&lt;=$B$6,100*(3*$F$12*(B257+$B$5)^2+2*$F$13*(B257+$B$5)+$F$6),$B$8)))</f>
        <v/>
      </c>
      <c r="F257" s="10">
        <f>IF(B257="","",IF(B257&lt;- $B$5,$F$6*B257,IF(B257&lt;=$B$6,$F$12*(B257+$B$5)^3+$F$13*(B257+$B$5)^2+$F$6*(B257+$B$5)+$F$8,$F$9+$F$7*(B257-$B$6))))</f>
        <v/>
      </c>
      <c r="G257" s="10">
        <f>IF(F257="","",$B$10+F257)</f>
        <v/>
      </c>
      <c r="H257" s="10">
        <f>IF(B257="","",$B$9+B257)</f>
        <v/>
      </c>
    </row>
    <row r="258">
      <c r="A258" s="8">
        <f>IF(B258="","",A257+1)</f>
        <v/>
      </c>
      <c r="B258" s="8">
        <f>IF(B257="","",IF(B257+$B$11&lt;=$B$6+1E-9,B257+$B$11,""))</f>
        <v/>
      </c>
      <c r="C258" s="8">
        <f>IF(B258="","",B258+$B$5)</f>
        <v/>
      </c>
      <c r="D258" s="8">
        <f>IF(B258="","",IF(B258&lt;- $B$5,"Left tangent",IF(B258&lt;=$B$6,"Cubic curve","Right tangent")))</f>
        <v/>
      </c>
      <c r="E258" s="9">
        <f>IF(B258="","",IF(B258&lt;- $B$5,$B$7,IF(B258&lt;=$B$6,100*(3*$F$12*(B258+$B$5)^2+2*$F$13*(B258+$B$5)+$F$6),$B$8)))</f>
        <v/>
      </c>
      <c r="F258" s="10">
        <f>IF(B258="","",IF(B258&lt;- $B$5,$F$6*B258,IF(B258&lt;=$B$6,$F$12*(B258+$B$5)^3+$F$13*(B258+$B$5)^2+$F$6*(B258+$B$5)+$F$8,$F$9+$F$7*(B258-$B$6))))</f>
        <v/>
      </c>
      <c r="G258" s="10">
        <f>IF(F258="","",$B$10+F258)</f>
        <v/>
      </c>
      <c r="H258" s="10">
        <f>IF(B258="","",$B$9+B258)</f>
        <v/>
      </c>
    </row>
    <row r="259">
      <c r="A259" s="8">
        <f>IF(B259="","",A258+1)</f>
        <v/>
      </c>
      <c r="B259" s="8">
        <f>IF(B258="","",IF(B258+$B$11&lt;=$B$6+1E-9,B258+$B$11,""))</f>
        <v/>
      </c>
      <c r="C259" s="8">
        <f>IF(B259="","",B259+$B$5)</f>
        <v/>
      </c>
      <c r="D259" s="8">
        <f>IF(B259="","",IF(B259&lt;- $B$5,"Left tangent",IF(B259&lt;=$B$6,"Cubic curve","Right tangent")))</f>
        <v/>
      </c>
      <c r="E259" s="9">
        <f>IF(B259="","",IF(B259&lt;- $B$5,$B$7,IF(B259&lt;=$B$6,100*(3*$F$12*(B259+$B$5)^2+2*$F$13*(B259+$B$5)+$F$6),$B$8)))</f>
        <v/>
      </c>
      <c r="F259" s="10">
        <f>IF(B259="","",IF(B259&lt;- $B$5,$F$6*B259,IF(B259&lt;=$B$6,$F$12*(B259+$B$5)^3+$F$13*(B259+$B$5)^2+$F$6*(B259+$B$5)+$F$8,$F$9+$F$7*(B259-$B$6))))</f>
        <v/>
      </c>
      <c r="G259" s="10">
        <f>IF(F259="","",$B$10+F259)</f>
        <v/>
      </c>
      <c r="H259" s="10">
        <f>IF(B259="","",$B$9+B259)</f>
        <v/>
      </c>
    </row>
    <row r="260">
      <c r="A260" s="8">
        <f>IF(B260="","",A259+1)</f>
        <v/>
      </c>
      <c r="B260" s="8">
        <f>IF(B259="","",IF(B259+$B$11&lt;=$B$6+1E-9,B259+$B$11,""))</f>
        <v/>
      </c>
      <c r="C260" s="8">
        <f>IF(B260="","",B260+$B$5)</f>
        <v/>
      </c>
      <c r="D260" s="8">
        <f>IF(B260="","",IF(B260&lt;- $B$5,"Left tangent",IF(B260&lt;=$B$6,"Cubic curve","Right tangent")))</f>
        <v/>
      </c>
      <c r="E260" s="9">
        <f>IF(B260="","",IF(B260&lt;- $B$5,$B$7,IF(B260&lt;=$B$6,100*(3*$F$12*(B260+$B$5)^2+2*$F$13*(B260+$B$5)+$F$6),$B$8)))</f>
        <v/>
      </c>
      <c r="F260" s="10">
        <f>IF(B260="","",IF(B260&lt;- $B$5,$F$6*B260,IF(B260&lt;=$B$6,$F$12*(B260+$B$5)^3+$F$13*(B260+$B$5)^2+$F$6*(B260+$B$5)+$F$8,$F$9+$F$7*(B260-$B$6))))</f>
        <v/>
      </c>
      <c r="G260" s="10">
        <f>IF(F260="","",$B$10+F260)</f>
        <v/>
      </c>
      <c r="H260" s="10">
        <f>IF(B260="","",$B$9+B260)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2026-06-10T09:26:51Z</dcterms:created>
  <dcterms:modified xsi:type="dcterms:W3CDTF">2026-06-10T09:26:51Z</dcterms:modified>
</cp:coreProperties>
</file>