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ticalCurveTool" sheetId="1" state="visible" r:id="rId1"/>
    <sheet name="SymmetricParabolaQui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pivotButton="0" quotePrefix="0" xfId="0"/>
    <xf numFmtId="0" fontId="2" fillId="0" borderId="0" pivotButton="0" quotePrefix="0" xfId="0"/>
    <xf numFmtId="164" fontId="0" fillId="4" borderId="1" pivotButton="0" quotePrefix="0" xfId="0"/>
    <xf numFmtId="0" fontId="0" fillId="5" borderId="1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0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8" customWidth="1" min="4" max="4"/>
    <col width="14" customWidth="1" min="5" max="5"/>
    <col width="22" customWidth="1" min="6" max="6"/>
    <col width="22" customWidth="1" min="7" max="7"/>
    <col width="14" customWidth="1" min="8" max="8"/>
  </cols>
  <sheetData>
    <row r="1">
      <c r="A1" s="1" t="inlineStr">
        <is>
          <t>Vertical Curve Calculator (any left/right lengths and slopes)</t>
        </is>
      </c>
    </row>
    <row r="2">
      <c r="A2" s="2" t="inlineStr">
        <is>
          <t>Method: cubic transition that exactly matches both tangent grades and elevations at PVC/PVT even when lengths are asymmetric.</t>
        </is>
      </c>
    </row>
    <row r="4">
      <c r="A4" s="3" t="inlineStr">
        <is>
          <t>INPUTS</t>
        </is>
      </c>
      <c r="E4" s="3" t="inlineStr">
        <is>
          <t>CALCULATED PARAMETERS</t>
        </is>
      </c>
    </row>
    <row r="5">
      <c r="A5" t="inlineStr">
        <is>
          <t>Left tangent length from PVI (L_left)</t>
        </is>
      </c>
      <c r="B5" s="4" t="n">
        <v>5</v>
      </c>
      <c r="C5" t="inlineStr">
        <is>
          <t>m</t>
        </is>
      </c>
      <c r="E5" t="inlineStr">
        <is>
          <t>Total curve length L = L_left + L_right</t>
        </is>
      </c>
      <c r="F5" s="5">
        <f>B5+B6</f>
        <v/>
      </c>
    </row>
    <row r="6">
      <c r="A6" t="inlineStr">
        <is>
          <t>Right tangent length from PVI (L_right)</t>
        </is>
      </c>
      <c r="B6" s="4" t="n">
        <v>9</v>
      </c>
      <c r="C6" t="inlineStr">
        <is>
          <t>m</t>
        </is>
      </c>
      <c r="E6" t="inlineStr">
        <is>
          <t>g1 (decimal)</t>
        </is>
      </c>
      <c r="F6" s="5">
        <f>B7/100</f>
        <v/>
      </c>
    </row>
    <row r="7">
      <c r="A7" t="inlineStr">
        <is>
          <t>Left grade g1</t>
        </is>
      </c>
      <c r="B7" s="4" t="n">
        <v>-1</v>
      </c>
      <c r="C7" t="inlineStr">
        <is>
          <t>%</t>
        </is>
      </c>
      <c r="E7" t="inlineStr">
        <is>
          <t>g2 (decimal)</t>
        </is>
      </c>
      <c r="F7" s="5">
        <f>B8/100</f>
        <v/>
      </c>
    </row>
    <row r="8">
      <c r="A8" t="inlineStr">
        <is>
          <t>Right grade g2</t>
        </is>
      </c>
      <c r="B8" s="4" t="n">
        <v>5</v>
      </c>
      <c r="C8" t="inlineStr">
        <is>
          <t>%</t>
        </is>
      </c>
      <c r="E8" t="inlineStr">
        <is>
          <t>Z_PVC relative to PVI</t>
        </is>
      </c>
      <c r="F8" s="5">
        <f>-F6*B5</f>
        <v/>
      </c>
    </row>
    <row r="9">
      <c r="A9" t="inlineStr">
        <is>
          <t>Station at PVI (optional)</t>
        </is>
      </c>
      <c r="B9" s="4" t="n">
        <v>0</v>
      </c>
      <c r="C9" t="inlineStr">
        <is>
          <t>m</t>
        </is>
      </c>
      <c r="E9" t="inlineStr">
        <is>
          <t>Z_PVT relative to PVI</t>
        </is>
      </c>
      <c r="F9" s="5">
        <f>F7*B6</f>
        <v/>
      </c>
    </row>
    <row r="10">
      <c r="A10" t="inlineStr">
        <is>
          <t>Elevation at PVI (optional)</t>
        </is>
      </c>
      <c r="B10" s="4" t="n">
        <v>100</v>
      </c>
      <c r="C10" t="inlineStr">
        <is>
          <t>m</t>
        </is>
      </c>
      <c r="E10" t="inlineStr">
        <is>
          <t>Δz = Z_PVT - Z_PVC - g1*L</t>
        </is>
      </c>
      <c r="F10" s="5">
        <f>F9-F8-F6*F5</f>
        <v/>
      </c>
    </row>
    <row r="11">
      <c r="A11" t="inlineStr">
        <is>
          <t>Output table increment step</t>
        </is>
      </c>
      <c r="B11" s="4" t="n">
        <v>1</v>
      </c>
      <c r="C11" t="inlineStr">
        <is>
          <t>m</t>
        </is>
      </c>
      <c r="E11" t="inlineStr">
        <is>
          <t>Δg = g2 - g1</t>
        </is>
      </c>
      <c r="F11" s="5">
        <f>F7-F6</f>
        <v/>
      </c>
    </row>
    <row r="12">
      <c r="B12" s="6" t="n"/>
      <c r="E12" t="inlineStr">
        <is>
          <t>Cubic coefficient a</t>
        </is>
      </c>
      <c r="F12" s="5">
        <f>IF(F5=0,"",(F11*F5-2*F10)/F5^3)</f>
        <v/>
      </c>
    </row>
    <row r="13">
      <c r="B13" s="6" t="n"/>
      <c r="E13" t="inlineStr">
        <is>
          <t>Cubic coefficient b</t>
        </is>
      </c>
      <c r="F13" s="5">
        <f>IF(F5=0,"",(3*F10-F11*F5)/F5^2)</f>
        <v/>
      </c>
    </row>
    <row r="14">
      <c r="B14" s="6" t="n"/>
      <c r="E14" t="inlineStr">
        <is>
          <t>Status</t>
        </is>
      </c>
      <c r="F14" s="5">
        <f>IF(OR(B5&lt;=0,B6&lt;=0,B11&lt;=0),"CHECK INPUTS: lengths and step must be &gt; 0","OK")</f>
        <v/>
      </c>
    </row>
    <row r="16">
      <c r="A16" t="inlineStr">
        <is>
          <t>Note:</t>
        </is>
      </c>
      <c r="B16" t="inlineStr">
        <is>
          <t>For relative profile only, use column F. For absolute elevations, use column G.</t>
        </is>
      </c>
    </row>
    <row r="17">
      <c r="A17" t="inlineStr">
        <is>
          <t>Optional check:</t>
        </is>
      </c>
      <c r="B17" t="inlineStr">
        <is>
          <t>If you need strict geometric compliance (K criteria), verify separately against your governing standard.</t>
        </is>
      </c>
    </row>
    <row r="18">
      <c r="A18" s="7" t="inlineStr">
        <is>
          <t>Point #</t>
        </is>
      </c>
      <c r="B18" s="7" t="inlineStr">
        <is>
          <t>s from PVI (m)</t>
        </is>
      </c>
      <c r="C18" s="7" t="inlineStr">
        <is>
          <t>x from PVC (m)</t>
        </is>
      </c>
      <c r="D18" s="7" t="inlineStr">
        <is>
          <t>Zone</t>
        </is>
      </c>
      <c r="E18" s="7" t="inlineStr">
        <is>
          <t>Grade (%)</t>
        </is>
      </c>
      <c r="F18" s="7" t="inlineStr">
        <is>
          <t>Z relative to PVI (m)</t>
        </is>
      </c>
      <c r="G18" s="7" t="inlineStr">
        <is>
          <t>Absolute Elevation (m)</t>
        </is>
      </c>
      <c r="H18" s="7" t="inlineStr">
        <is>
          <t>Station (m)</t>
        </is>
      </c>
    </row>
    <row r="19">
      <c r="A19" s="8" t="n">
        <v>1</v>
      </c>
      <c r="B19" s="8">
        <f>-$B$5</f>
        <v/>
      </c>
      <c r="C19" s="8">
        <f>IF(B19="","",B19+$B$5)</f>
        <v/>
      </c>
      <c r="D19" s="8">
        <f>IF(B19="","",IF(B19&lt;- $B$5,"Left tangent",IF(B19&lt;=$B$6,"Cubic curve","Right tangent")))</f>
        <v/>
      </c>
      <c r="E19" s="9">
        <f>IF(B19="","",IF(B19&lt;- $B$5,$B$7,IF(B19&lt;=$B$6,100*(3*$F$12*(B19+$B$5)^2+2*$F$13*(B19+$B$5)+$F$6),$B$8)))</f>
        <v/>
      </c>
      <c r="F19" s="10">
        <f>IF(B19="","",IF(B19&lt;- $B$5,$F$6*B19,IF(B19&lt;=$B$6,$F$12*(B19+$B$5)^3+$F$13*(B19+$B$5)^2+$F$6*(B19+$B$5)+$F$8,$F$9+$F$7*(B19-$B$6))))</f>
        <v/>
      </c>
      <c r="G19" s="10">
        <f>IF(F19="","",$B$10+F19)</f>
        <v/>
      </c>
      <c r="H19" s="10">
        <f>IF(B19="","",$B$9+B19)</f>
        <v/>
      </c>
    </row>
    <row r="20">
      <c r="A20" s="8">
        <f>IF(B20="","",A19+1)</f>
        <v/>
      </c>
      <c r="B20" s="8">
        <f>IF(B19="","",IF(B19+$B$11&lt;=$B$6+1E-9,B19+$B$11,""))</f>
        <v/>
      </c>
      <c r="C20" s="8">
        <f>IF(B20="","",B20+$B$5)</f>
        <v/>
      </c>
      <c r="D20" s="8">
        <f>IF(B20="","",IF(B20&lt;- $B$5,"Left tangent",IF(B20&lt;=$B$6,"Cubic curve","Right tangent")))</f>
        <v/>
      </c>
      <c r="E20" s="9">
        <f>IF(B20="","",IF(B20&lt;- $B$5,$B$7,IF(B20&lt;=$B$6,100*(3*$F$12*(B20+$B$5)^2+2*$F$13*(B20+$B$5)+$F$6),$B$8)))</f>
        <v/>
      </c>
      <c r="F20" s="10">
        <f>IF(B20="","",IF(B20&lt;- $B$5,$F$6*B20,IF(B20&lt;=$B$6,$F$12*(B20+$B$5)^3+$F$13*(B20+$B$5)^2+$F$6*(B20+$B$5)+$F$8,$F$9+$F$7*(B20-$B$6))))</f>
        <v/>
      </c>
      <c r="G20" s="10">
        <f>IF(F20="","",$B$10+F20)</f>
        <v/>
      </c>
      <c r="H20" s="10">
        <f>IF(B20="","",$B$9+B20)</f>
        <v/>
      </c>
    </row>
    <row r="21">
      <c r="A21" s="8">
        <f>IF(B21="","",A20+1)</f>
        <v/>
      </c>
      <c r="B21" s="8">
        <f>IF(B20="","",IF(B20+$B$11&lt;=$B$6+1E-9,B20+$B$11,""))</f>
        <v/>
      </c>
      <c r="C21" s="8">
        <f>IF(B21="","",B21+$B$5)</f>
        <v/>
      </c>
      <c r="D21" s="8">
        <f>IF(B21="","",IF(B21&lt;- $B$5,"Left tangent",IF(B21&lt;=$B$6,"Cubic curve","Right tangent")))</f>
        <v/>
      </c>
      <c r="E21" s="9">
        <f>IF(B21="","",IF(B21&lt;- $B$5,$B$7,IF(B21&lt;=$B$6,100*(3*$F$12*(B21+$B$5)^2+2*$F$13*(B21+$B$5)+$F$6),$B$8)))</f>
        <v/>
      </c>
      <c r="F21" s="10">
        <f>IF(B21="","",IF(B21&lt;- $B$5,$F$6*B21,IF(B21&lt;=$B$6,$F$12*(B21+$B$5)^3+$F$13*(B21+$B$5)^2+$F$6*(B21+$B$5)+$F$8,$F$9+$F$7*(B21-$B$6))))</f>
        <v/>
      </c>
      <c r="G21" s="10">
        <f>IF(F21="","",$B$10+F21)</f>
        <v/>
      </c>
      <c r="H21" s="10">
        <f>IF(B21="","",$B$9+B21)</f>
        <v/>
      </c>
    </row>
    <row r="22">
      <c r="A22" s="8">
        <f>IF(B22="","",A21+1)</f>
        <v/>
      </c>
      <c r="B22" s="8">
        <f>IF(B21="","",IF(B21+$B$11&lt;=$B$6+1E-9,B21+$B$11,""))</f>
        <v/>
      </c>
      <c r="C22" s="8">
        <f>IF(B22="","",B22+$B$5)</f>
        <v/>
      </c>
      <c r="D22" s="8">
        <f>IF(B22="","",IF(B22&lt;- $B$5,"Left tangent",IF(B22&lt;=$B$6,"Cubic curve","Right tangent")))</f>
        <v/>
      </c>
      <c r="E22" s="9">
        <f>IF(B22="","",IF(B22&lt;- $B$5,$B$7,IF(B22&lt;=$B$6,100*(3*$F$12*(B22+$B$5)^2+2*$F$13*(B22+$B$5)+$F$6),$B$8)))</f>
        <v/>
      </c>
      <c r="F22" s="10">
        <f>IF(B22="","",IF(B22&lt;- $B$5,$F$6*B22,IF(B22&lt;=$B$6,$F$12*(B22+$B$5)^3+$F$13*(B22+$B$5)^2+$F$6*(B22+$B$5)+$F$8,$F$9+$F$7*(B22-$B$6))))</f>
        <v/>
      </c>
      <c r="G22" s="10">
        <f>IF(F22="","",$B$10+F22)</f>
        <v/>
      </c>
      <c r="H22" s="10">
        <f>IF(B22="","",$B$9+B22)</f>
        <v/>
      </c>
    </row>
    <row r="23">
      <c r="A23" s="8">
        <f>IF(B23="","",A22+1)</f>
        <v/>
      </c>
      <c r="B23" s="8">
        <f>IF(B22="","",IF(B22+$B$11&lt;=$B$6+1E-9,B22+$B$11,""))</f>
        <v/>
      </c>
      <c r="C23" s="8">
        <f>IF(B23="","",B23+$B$5)</f>
        <v/>
      </c>
      <c r="D23" s="8">
        <f>IF(B23="","",IF(B23&lt;- $B$5,"Left tangent",IF(B23&lt;=$B$6,"Cubic curve","Right tangent")))</f>
        <v/>
      </c>
      <c r="E23" s="9">
        <f>IF(B23="","",IF(B23&lt;- $B$5,$B$7,IF(B23&lt;=$B$6,100*(3*$F$12*(B23+$B$5)^2+2*$F$13*(B23+$B$5)+$F$6),$B$8)))</f>
        <v/>
      </c>
      <c r="F23" s="10">
        <f>IF(B23="","",IF(B23&lt;- $B$5,$F$6*B23,IF(B23&lt;=$B$6,$F$12*(B23+$B$5)^3+$F$13*(B23+$B$5)^2+$F$6*(B23+$B$5)+$F$8,$F$9+$F$7*(B23-$B$6))))</f>
        <v/>
      </c>
      <c r="G23" s="10">
        <f>IF(F23="","",$B$10+F23)</f>
        <v/>
      </c>
      <c r="H23" s="10">
        <f>IF(B23="","",$B$9+B23)</f>
        <v/>
      </c>
    </row>
    <row r="24">
      <c r="A24" s="8">
        <f>IF(B24="","",A23+1)</f>
        <v/>
      </c>
      <c r="B24" s="8">
        <f>IF(B23="","",IF(B23+$B$11&lt;=$B$6+1E-9,B23+$B$11,""))</f>
        <v/>
      </c>
      <c r="C24" s="8">
        <f>IF(B24="","",B24+$B$5)</f>
        <v/>
      </c>
      <c r="D24" s="8">
        <f>IF(B24="","",IF(B24&lt;- $B$5,"Left tangent",IF(B24&lt;=$B$6,"Cubic curve","Right tangent")))</f>
        <v/>
      </c>
      <c r="E24" s="9">
        <f>IF(B24="","",IF(B24&lt;- $B$5,$B$7,IF(B24&lt;=$B$6,100*(3*$F$12*(B24+$B$5)^2+2*$F$13*(B24+$B$5)+$F$6),$B$8)))</f>
        <v/>
      </c>
      <c r="F24" s="10">
        <f>IF(B24="","",IF(B24&lt;- $B$5,$F$6*B24,IF(B24&lt;=$B$6,$F$12*(B24+$B$5)^3+$F$13*(B24+$B$5)^2+$F$6*(B24+$B$5)+$F$8,$F$9+$F$7*(B24-$B$6))))</f>
        <v/>
      </c>
      <c r="G24" s="10">
        <f>IF(F24="","",$B$10+F24)</f>
        <v/>
      </c>
      <c r="H24" s="10">
        <f>IF(B24="","",$B$9+B24)</f>
        <v/>
      </c>
    </row>
    <row r="25">
      <c r="A25" s="8">
        <f>IF(B25="","",A24+1)</f>
        <v/>
      </c>
      <c r="B25" s="8">
        <f>IF(B24="","",IF(B24+$B$11&lt;=$B$6+1E-9,B24+$B$11,""))</f>
        <v/>
      </c>
      <c r="C25" s="8">
        <f>IF(B25="","",B25+$B$5)</f>
        <v/>
      </c>
      <c r="D25" s="8">
        <f>IF(B25="","",IF(B25&lt;- $B$5,"Left tangent",IF(B25&lt;=$B$6,"Cubic curve","Right tangent")))</f>
        <v/>
      </c>
      <c r="E25" s="9">
        <f>IF(B25="","",IF(B25&lt;- $B$5,$B$7,IF(B25&lt;=$B$6,100*(3*$F$12*(B25+$B$5)^2+2*$F$13*(B25+$B$5)+$F$6),$B$8)))</f>
        <v/>
      </c>
      <c r="F25" s="10">
        <f>IF(B25="","",IF(B25&lt;- $B$5,$F$6*B25,IF(B25&lt;=$B$6,$F$12*(B25+$B$5)^3+$F$13*(B25+$B$5)^2+$F$6*(B25+$B$5)+$F$8,$F$9+$F$7*(B25-$B$6))))</f>
        <v/>
      </c>
      <c r="G25" s="10">
        <f>IF(F25="","",$B$10+F25)</f>
        <v/>
      </c>
      <c r="H25" s="10">
        <f>IF(B25="","",$B$9+B25)</f>
        <v/>
      </c>
    </row>
    <row r="26">
      <c r="A26" s="8">
        <f>IF(B26="","",A25+1)</f>
        <v/>
      </c>
      <c r="B26" s="8">
        <f>IF(B25="","",IF(B25+$B$11&lt;=$B$6+1E-9,B25+$B$11,""))</f>
        <v/>
      </c>
      <c r="C26" s="8">
        <f>IF(B26="","",B26+$B$5)</f>
        <v/>
      </c>
      <c r="D26" s="8">
        <f>IF(B26="","",IF(B26&lt;- $B$5,"Left tangent",IF(B26&lt;=$B$6,"Cubic curve","Right tangent")))</f>
        <v/>
      </c>
      <c r="E26" s="9">
        <f>IF(B26="","",IF(B26&lt;- $B$5,$B$7,IF(B26&lt;=$B$6,100*(3*$F$12*(B26+$B$5)^2+2*$F$13*(B26+$B$5)+$F$6),$B$8)))</f>
        <v/>
      </c>
      <c r="F26" s="10">
        <f>IF(B26="","",IF(B26&lt;- $B$5,$F$6*B26,IF(B26&lt;=$B$6,$F$12*(B26+$B$5)^3+$F$13*(B26+$B$5)^2+$F$6*(B26+$B$5)+$F$8,$F$9+$F$7*(B26-$B$6))))</f>
        <v/>
      </c>
      <c r="G26" s="10">
        <f>IF(F26="","",$B$10+F26)</f>
        <v/>
      </c>
      <c r="H26" s="10">
        <f>IF(B26="","",$B$9+B26)</f>
        <v/>
      </c>
    </row>
    <row r="27">
      <c r="A27" s="8">
        <f>IF(B27="","",A26+1)</f>
        <v/>
      </c>
      <c r="B27" s="8">
        <f>IF(B26="","",IF(B26+$B$11&lt;=$B$6+1E-9,B26+$B$11,""))</f>
        <v/>
      </c>
      <c r="C27" s="8">
        <f>IF(B27="","",B27+$B$5)</f>
        <v/>
      </c>
      <c r="D27" s="8">
        <f>IF(B27="","",IF(B27&lt;- $B$5,"Left tangent",IF(B27&lt;=$B$6,"Cubic curve","Right tangent")))</f>
        <v/>
      </c>
      <c r="E27" s="9">
        <f>IF(B27="","",IF(B27&lt;- $B$5,$B$7,IF(B27&lt;=$B$6,100*(3*$F$12*(B27+$B$5)^2+2*$F$13*(B27+$B$5)+$F$6),$B$8)))</f>
        <v/>
      </c>
      <c r="F27" s="10">
        <f>IF(B27="","",IF(B27&lt;- $B$5,$F$6*B27,IF(B27&lt;=$B$6,$F$12*(B27+$B$5)^3+$F$13*(B27+$B$5)^2+$F$6*(B27+$B$5)+$F$8,$F$9+$F$7*(B27-$B$6))))</f>
        <v/>
      </c>
      <c r="G27" s="10">
        <f>IF(F27="","",$B$10+F27)</f>
        <v/>
      </c>
      <c r="H27" s="10">
        <f>IF(B27="","",$B$9+B27)</f>
        <v/>
      </c>
    </row>
    <row r="28">
      <c r="A28" s="8">
        <f>IF(B28="","",A27+1)</f>
        <v/>
      </c>
      <c r="B28" s="8">
        <f>IF(B27="","",IF(B27+$B$11&lt;=$B$6+1E-9,B27+$B$11,""))</f>
        <v/>
      </c>
      <c r="C28" s="8">
        <f>IF(B28="","",B28+$B$5)</f>
        <v/>
      </c>
      <c r="D28" s="8">
        <f>IF(B28="","",IF(B28&lt;- $B$5,"Left tangent",IF(B28&lt;=$B$6,"Cubic curve","Right tangent")))</f>
        <v/>
      </c>
      <c r="E28" s="9">
        <f>IF(B28="","",IF(B28&lt;- $B$5,$B$7,IF(B28&lt;=$B$6,100*(3*$F$12*(B28+$B$5)^2+2*$F$13*(B28+$B$5)+$F$6),$B$8)))</f>
        <v/>
      </c>
      <c r="F28" s="10">
        <f>IF(B28="","",IF(B28&lt;- $B$5,$F$6*B28,IF(B28&lt;=$B$6,$F$12*(B28+$B$5)^3+$F$13*(B28+$B$5)^2+$F$6*(B28+$B$5)+$F$8,$F$9+$F$7*(B28-$B$6))))</f>
        <v/>
      </c>
      <c r="G28" s="10">
        <f>IF(F28="","",$B$10+F28)</f>
        <v/>
      </c>
      <c r="H28" s="10">
        <f>IF(B28="","",$B$9+B28)</f>
        <v/>
      </c>
    </row>
    <row r="29">
      <c r="A29" s="8">
        <f>IF(B29="","",A28+1)</f>
        <v/>
      </c>
      <c r="B29" s="8">
        <f>IF(B28="","",IF(B28+$B$11&lt;=$B$6+1E-9,B28+$B$11,""))</f>
        <v/>
      </c>
      <c r="C29" s="8">
        <f>IF(B29="","",B29+$B$5)</f>
        <v/>
      </c>
      <c r="D29" s="8">
        <f>IF(B29="","",IF(B29&lt;- $B$5,"Left tangent",IF(B29&lt;=$B$6,"Cubic curve","Right tangent")))</f>
        <v/>
      </c>
      <c r="E29" s="9">
        <f>IF(B29="","",IF(B29&lt;- $B$5,$B$7,IF(B29&lt;=$B$6,100*(3*$F$12*(B29+$B$5)^2+2*$F$13*(B29+$B$5)+$F$6),$B$8)))</f>
        <v/>
      </c>
      <c r="F29" s="10">
        <f>IF(B29="","",IF(B29&lt;- $B$5,$F$6*B29,IF(B29&lt;=$B$6,$F$12*(B29+$B$5)^3+$F$13*(B29+$B$5)^2+$F$6*(B29+$B$5)+$F$8,$F$9+$F$7*(B29-$B$6))))</f>
        <v/>
      </c>
      <c r="G29" s="10">
        <f>IF(F29="","",$B$10+F29)</f>
        <v/>
      </c>
      <c r="H29" s="10">
        <f>IF(B29="","",$B$9+B29)</f>
        <v/>
      </c>
    </row>
    <row r="30">
      <c r="A30" s="8">
        <f>IF(B30="","",A29+1)</f>
        <v/>
      </c>
      <c r="B30" s="8">
        <f>IF(B29="","",IF(B29+$B$11&lt;=$B$6+1E-9,B29+$B$11,""))</f>
        <v/>
      </c>
      <c r="C30" s="8">
        <f>IF(B30="","",B30+$B$5)</f>
        <v/>
      </c>
      <c r="D30" s="8">
        <f>IF(B30="","",IF(B30&lt;- $B$5,"Left tangent",IF(B30&lt;=$B$6,"Cubic curve","Right tangent")))</f>
        <v/>
      </c>
      <c r="E30" s="9">
        <f>IF(B30="","",IF(B30&lt;- $B$5,$B$7,IF(B30&lt;=$B$6,100*(3*$F$12*(B30+$B$5)^2+2*$F$13*(B30+$B$5)+$F$6),$B$8)))</f>
        <v/>
      </c>
      <c r="F30" s="10">
        <f>IF(B30="","",IF(B30&lt;- $B$5,$F$6*B30,IF(B30&lt;=$B$6,$F$12*(B30+$B$5)^3+$F$13*(B30+$B$5)^2+$F$6*(B30+$B$5)+$F$8,$F$9+$F$7*(B30-$B$6))))</f>
        <v/>
      </c>
      <c r="G30" s="10">
        <f>IF(F30="","",$B$10+F30)</f>
        <v/>
      </c>
      <c r="H30" s="10">
        <f>IF(B30="","",$B$9+B30)</f>
        <v/>
      </c>
    </row>
    <row r="31">
      <c r="A31" s="8">
        <f>IF(B31="","",A30+1)</f>
        <v/>
      </c>
      <c r="B31" s="8">
        <f>IF(B30="","",IF(B30+$B$11&lt;=$B$6+1E-9,B30+$B$11,""))</f>
        <v/>
      </c>
      <c r="C31" s="8">
        <f>IF(B31="","",B31+$B$5)</f>
        <v/>
      </c>
      <c r="D31" s="8">
        <f>IF(B31="","",IF(B31&lt;- $B$5,"Left tangent",IF(B31&lt;=$B$6,"Cubic curve","Right tangent")))</f>
        <v/>
      </c>
      <c r="E31" s="9">
        <f>IF(B31="","",IF(B31&lt;- $B$5,$B$7,IF(B31&lt;=$B$6,100*(3*$F$12*(B31+$B$5)^2+2*$F$13*(B31+$B$5)+$F$6),$B$8)))</f>
        <v/>
      </c>
      <c r="F31" s="10">
        <f>IF(B31="","",IF(B31&lt;- $B$5,$F$6*B31,IF(B31&lt;=$B$6,$F$12*(B31+$B$5)^3+$F$13*(B31+$B$5)^2+$F$6*(B31+$B$5)+$F$8,$F$9+$F$7*(B31-$B$6))))</f>
        <v/>
      </c>
      <c r="G31" s="10">
        <f>IF(F31="","",$B$10+F31)</f>
        <v/>
      </c>
      <c r="H31" s="10">
        <f>IF(B31="","",$B$9+B31)</f>
        <v/>
      </c>
    </row>
    <row r="32">
      <c r="A32" s="8">
        <f>IF(B32="","",A31+1)</f>
        <v/>
      </c>
      <c r="B32" s="8">
        <f>IF(B31="","",IF(B31+$B$11&lt;=$B$6+1E-9,B31+$B$11,""))</f>
        <v/>
      </c>
      <c r="C32" s="8">
        <f>IF(B32="","",B32+$B$5)</f>
        <v/>
      </c>
      <c r="D32" s="8">
        <f>IF(B32="","",IF(B32&lt;- $B$5,"Left tangent",IF(B32&lt;=$B$6,"Cubic curve","Right tangent")))</f>
        <v/>
      </c>
      <c r="E32" s="9">
        <f>IF(B32="","",IF(B32&lt;- $B$5,$B$7,IF(B32&lt;=$B$6,100*(3*$F$12*(B32+$B$5)^2+2*$F$13*(B32+$B$5)+$F$6),$B$8)))</f>
        <v/>
      </c>
      <c r="F32" s="10">
        <f>IF(B32="","",IF(B32&lt;- $B$5,$F$6*B32,IF(B32&lt;=$B$6,$F$12*(B32+$B$5)^3+$F$13*(B32+$B$5)^2+$F$6*(B32+$B$5)+$F$8,$F$9+$F$7*(B32-$B$6))))</f>
        <v/>
      </c>
      <c r="G32" s="10">
        <f>IF(F32="","",$B$10+F32)</f>
        <v/>
      </c>
      <c r="H32" s="10">
        <f>IF(B32="","",$B$9+B32)</f>
        <v/>
      </c>
    </row>
    <row r="33">
      <c r="A33" s="8">
        <f>IF(B33="","",A32+1)</f>
        <v/>
      </c>
      <c r="B33" s="8">
        <f>IF(B32="","",IF(B32+$B$11&lt;=$B$6+1E-9,B32+$B$11,""))</f>
        <v/>
      </c>
      <c r="C33" s="8">
        <f>IF(B33="","",B33+$B$5)</f>
        <v/>
      </c>
      <c r="D33" s="8">
        <f>IF(B33="","",IF(B33&lt;- $B$5,"Left tangent",IF(B33&lt;=$B$6,"Cubic curve","Right tangent")))</f>
        <v/>
      </c>
      <c r="E33" s="9">
        <f>IF(B33="","",IF(B33&lt;- $B$5,$B$7,IF(B33&lt;=$B$6,100*(3*$F$12*(B33+$B$5)^2+2*$F$13*(B33+$B$5)+$F$6),$B$8)))</f>
        <v/>
      </c>
      <c r="F33" s="10">
        <f>IF(B33="","",IF(B33&lt;- $B$5,$F$6*B33,IF(B33&lt;=$B$6,$F$12*(B33+$B$5)^3+$F$13*(B33+$B$5)^2+$F$6*(B33+$B$5)+$F$8,$F$9+$F$7*(B33-$B$6))))</f>
        <v/>
      </c>
      <c r="G33" s="10">
        <f>IF(F33="","",$B$10+F33)</f>
        <v/>
      </c>
      <c r="H33" s="10">
        <f>IF(B33="","",$B$9+B33)</f>
        <v/>
      </c>
    </row>
    <row r="34">
      <c r="A34" s="8">
        <f>IF(B34="","",A33+1)</f>
        <v/>
      </c>
      <c r="B34" s="8">
        <f>IF(B33="","",IF(B33+$B$11&lt;=$B$6+1E-9,B33+$B$11,""))</f>
        <v/>
      </c>
      <c r="C34" s="8">
        <f>IF(B34="","",B34+$B$5)</f>
        <v/>
      </c>
      <c r="D34" s="8">
        <f>IF(B34="","",IF(B34&lt;- $B$5,"Left tangent",IF(B34&lt;=$B$6,"Cubic curve","Right tangent")))</f>
        <v/>
      </c>
      <c r="E34" s="9">
        <f>IF(B34="","",IF(B34&lt;- $B$5,$B$7,IF(B34&lt;=$B$6,100*(3*$F$12*(B34+$B$5)^2+2*$F$13*(B34+$B$5)+$F$6),$B$8)))</f>
        <v/>
      </c>
      <c r="F34" s="10">
        <f>IF(B34="","",IF(B34&lt;- $B$5,$F$6*B34,IF(B34&lt;=$B$6,$F$12*(B34+$B$5)^3+$F$13*(B34+$B$5)^2+$F$6*(B34+$B$5)+$F$8,$F$9+$F$7*(B34-$B$6))))</f>
        <v/>
      </c>
      <c r="G34" s="10">
        <f>IF(F34="","",$B$10+F34)</f>
        <v/>
      </c>
      <c r="H34" s="10">
        <f>IF(B34="","",$B$9+B34)</f>
        <v/>
      </c>
    </row>
    <row r="35">
      <c r="A35" s="8">
        <f>IF(B35="","",A34+1)</f>
        <v/>
      </c>
      <c r="B35" s="8">
        <f>IF(B34="","",IF(B34+$B$11&lt;=$B$6+1E-9,B34+$B$11,""))</f>
        <v/>
      </c>
      <c r="C35" s="8">
        <f>IF(B35="","",B35+$B$5)</f>
        <v/>
      </c>
      <c r="D35" s="8">
        <f>IF(B35="","",IF(B35&lt;- $B$5,"Left tangent",IF(B35&lt;=$B$6,"Cubic curve","Right tangent")))</f>
        <v/>
      </c>
      <c r="E35" s="9">
        <f>IF(B35="","",IF(B35&lt;- $B$5,$B$7,IF(B35&lt;=$B$6,100*(3*$F$12*(B35+$B$5)^2+2*$F$13*(B35+$B$5)+$F$6),$B$8)))</f>
        <v/>
      </c>
      <c r="F35" s="10">
        <f>IF(B35="","",IF(B35&lt;- $B$5,$F$6*B35,IF(B35&lt;=$B$6,$F$12*(B35+$B$5)^3+$F$13*(B35+$B$5)^2+$F$6*(B35+$B$5)+$F$8,$F$9+$F$7*(B35-$B$6))))</f>
        <v/>
      </c>
      <c r="G35" s="10">
        <f>IF(F35="","",$B$10+F35)</f>
        <v/>
      </c>
      <c r="H35" s="10">
        <f>IF(B35="","",$B$9+B35)</f>
        <v/>
      </c>
    </row>
    <row r="36">
      <c r="A36" s="8">
        <f>IF(B36="","",A35+1)</f>
        <v/>
      </c>
      <c r="B36" s="8">
        <f>IF(B35="","",IF(B35+$B$11&lt;=$B$6+1E-9,B35+$B$11,""))</f>
        <v/>
      </c>
      <c r="C36" s="8">
        <f>IF(B36="","",B36+$B$5)</f>
        <v/>
      </c>
      <c r="D36" s="8">
        <f>IF(B36="","",IF(B36&lt;- $B$5,"Left tangent",IF(B36&lt;=$B$6,"Cubic curve","Right tangent")))</f>
        <v/>
      </c>
      <c r="E36" s="9">
        <f>IF(B36="","",IF(B36&lt;- $B$5,$B$7,IF(B36&lt;=$B$6,100*(3*$F$12*(B36+$B$5)^2+2*$F$13*(B36+$B$5)+$F$6),$B$8)))</f>
        <v/>
      </c>
      <c r="F36" s="10">
        <f>IF(B36="","",IF(B36&lt;- $B$5,$F$6*B36,IF(B36&lt;=$B$6,$F$12*(B36+$B$5)^3+$F$13*(B36+$B$5)^2+$F$6*(B36+$B$5)+$F$8,$F$9+$F$7*(B36-$B$6))))</f>
        <v/>
      </c>
      <c r="G36" s="10">
        <f>IF(F36="","",$B$10+F36)</f>
        <v/>
      </c>
      <c r="H36" s="10">
        <f>IF(B36="","",$B$9+B36)</f>
        <v/>
      </c>
    </row>
    <row r="37">
      <c r="A37" s="8">
        <f>IF(B37="","",A36+1)</f>
        <v/>
      </c>
      <c r="B37" s="8">
        <f>IF(B36="","",IF(B36+$B$11&lt;=$B$6+1E-9,B36+$B$11,""))</f>
        <v/>
      </c>
      <c r="C37" s="8">
        <f>IF(B37="","",B37+$B$5)</f>
        <v/>
      </c>
      <c r="D37" s="8">
        <f>IF(B37="","",IF(B37&lt;- $B$5,"Left tangent",IF(B37&lt;=$B$6,"Cubic curve","Right tangent")))</f>
        <v/>
      </c>
      <c r="E37" s="9">
        <f>IF(B37="","",IF(B37&lt;- $B$5,$B$7,IF(B37&lt;=$B$6,100*(3*$F$12*(B37+$B$5)^2+2*$F$13*(B37+$B$5)+$F$6),$B$8)))</f>
        <v/>
      </c>
      <c r="F37" s="10">
        <f>IF(B37="","",IF(B37&lt;- $B$5,$F$6*B37,IF(B37&lt;=$B$6,$F$12*(B37+$B$5)^3+$F$13*(B37+$B$5)^2+$F$6*(B37+$B$5)+$F$8,$F$9+$F$7*(B37-$B$6))))</f>
        <v/>
      </c>
      <c r="G37" s="10">
        <f>IF(F37="","",$B$10+F37)</f>
        <v/>
      </c>
      <c r="H37" s="10">
        <f>IF(B37="","",$B$9+B37)</f>
        <v/>
      </c>
    </row>
    <row r="38">
      <c r="A38" s="8">
        <f>IF(B38="","",A37+1)</f>
        <v/>
      </c>
      <c r="B38" s="8">
        <f>IF(B37="","",IF(B37+$B$11&lt;=$B$6+1E-9,B37+$B$11,""))</f>
        <v/>
      </c>
      <c r="C38" s="8">
        <f>IF(B38="","",B38+$B$5)</f>
        <v/>
      </c>
      <c r="D38" s="8">
        <f>IF(B38="","",IF(B38&lt;- $B$5,"Left tangent",IF(B38&lt;=$B$6,"Cubic curve","Right tangent")))</f>
        <v/>
      </c>
      <c r="E38" s="9">
        <f>IF(B38="","",IF(B38&lt;- $B$5,$B$7,IF(B38&lt;=$B$6,100*(3*$F$12*(B38+$B$5)^2+2*$F$13*(B38+$B$5)+$F$6),$B$8)))</f>
        <v/>
      </c>
      <c r="F38" s="10">
        <f>IF(B38="","",IF(B38&lt;- $B$5,$F$6*B38,IF(B38&lt;=$B$6,$F$12*(B38+$B$5)^3+$F$13*(B38+$B$5)^2+$F$6*(B38+$B$5)+$F$8,$F$9+$F$7*(B38-$B$6))))</f>
        <v/>
      </c>
      <c r="G38" s="10">
        <f>IF(F38="","",$B$10+F38)</f>
        <v/>
      </c>
      <c r="H38" s="10">
        <f>IF(B38="","",$B$9+B38)</f>
        <v/>
      </c>
    </row>
    <row r="39">
      <c r="A39" s="8">
        <f>IF(B39="","",A38+1)</f>
        <v/>
      </c>
      <c r="B39" s="8">
        <f>IF(B38="","",IF(B38+$B$11&lt;=$B$6+1E-9,B38+$B$11,""))</f>
        <v/>
      </c>
      <c r="C39" s="8">
        <f>IF(B39="","",B39+$B$5)</f>
        <v/>
      </c>
      <c r="D39" s="8">
        <f>IF(B39="","",IF(B39&lt;- $B$5,"Left tangent",IF(B39&lt;=$B$6,"Cubic curve","Right tangent")))</f>
        <v/>
      </c>
      <c r="E39" s="9">
        <f>IF(B39="","",IF(B39&lt;- $B$5,$B$7,IF(B39&lt;=$B$6,100*(3*$F$12*(B39+$B$5)^2+2*$F$13*(B39+$B$5)+$F$6),$B$8)))</f>
        <v/>
      </c>
      <c r="F39" s="10">
        <f>IF(B39="","",IF(B39&lt;- $B$5,$F$6*B39,IF(B39&lt;=$B$6,$F$12*(B39+$B$5)^3+$F$13*(B39+$B$5)^2+$F$6*(B39+$B$5)+$F$8,$F$9+$F$7*(B39-$B$6))))</f>
        <v/>
      </c>
      <c r="G39" s="10">
        <f>IF(F39="","",$B$10+F39)</f>
        <v/>
      </c>
      <c r="H39" s="10">
        <f>IF(B39="","",$B$9+B39)</f>
        <v/>
      </c>
    </row>
    <row r="40">
      <c r="A40" s="8">
        <f>IF(B40="","",A39+1)</f>
        <v/>
      </c>
      <c r="B40" s="8">
        <f>IF(B39="","",IF(B39+$B$11&lt;=$B$6+1E-9,B39+$B$11,""))</f>
        <v/>
      </c>
      <c r="C40" s="8">
        <f>IF(B40="","",B40+$B$5)</f>
        <v/>
      </c>
      <c r="D40" s="8">
        <f>IF(B40="","",IF(B40&lt;- $B$5,"Left tangent",IF(B40&lt;=$B$6,"Cubic curve","Right tangent")))</f>
        <v/>
      </c>
      <c r="E40" s="9">
        <f>IF(B40="","",IF(B40&lt;- $B$5,$B$7,IF(B40&lt;=$B$6,100*(3*$F$12*(B40+$B$5)^2+2*$F$13*(B40+$B$5)+$F$6),$B$8)))</f>
        <v/>
      </c>
      <c r="F40" s="10">
        <f>IF(B40="","",IF(B40&lt;- $B$5,$F$6*B40,IF(B40&lt;=$B$6,$F$12*(B40+$B$5)^3+$F$13*(B40+$B$5)^2+$F$6*(B40+$B$5)+$F$8,$F$9+$F$7*(B40-$B$6))))</f>
        <v/>
      </c>
      <c r="G40" s="10">
        <f>IF(F40="","",$B$10+F40)</f>
        <v/>
      </c>
      <c r="H40" s="10">
        <f>IF(B40="","",$B$9+B40)</f>
        <v/>
      </c>
    </row>
    <row r="41">
      <c r="A41" s="8">
        <f>IF(B41="","",A40+1)</f>
        <v/>
      </c>
      <c r="B41" s="8">
        <f>IF(B40="","",IF(B40+$B$11&lt;=$B$6+1E-9,B40+$B$11,""))</f>
        <v/>
      </c>
      <c r="C41" s="8">
        <f>IF(B41="","",B41+$B$5)</f>
        <v/>
      </c>
      <c r="D41" s="8">
        <f>IF(B41="","",IF(B41&lt;- $B$5,"Left tangent",IF(B41&lt;=$B$6,"Cubic curve","Right tangent")))</f>
        <v/>
      </c>
      <c r="E41" s="9">
        <f>IF(B41="","",IF(B41&lt;- $B$5,$B$7,IF(B41&lt;=$B$6,100*(3*$F$12*(B41+$B$5)^2+2*$F$13*(B41+$B$5)+$F$6),$B$8)))</f>
        <v/>
      </c>
      <c r="F41" s="10">
        <f>IF(B41="","",IF(B41&lt;- $B$5,$F$6*B41,IF(B41&lt;=$B$6,$F$12*(B41+$B$5)^3+$F$13*(B41+$B$5)^2+$F$6*(B41+$B$5)+$F$8,$F$9+$F$7*(B41-$B$6))))</f>
        <v/>
      </c>
      <c r="G41" s="10">
        <f>IF(F41="","",$B$10+F41)</f>
        <v/>
      </c>
      <c r="H41" s="10">
        <f>IF(B41="","",$B$9+B41)</f>
        <v/>
      </c>
    </row>
    <row r="42">
      <c r="A42" s="8">
        <f>IF(B42="","",A41+1)</f>
        <v/>
      </c>
      <c r="B42" s="8">
        <f>IF(B41="","",IF(B41+$B$11&lt;=$B$6+1E-9,B41+$B$11,""))</f>
        <v/>
      </c>
      <c r="C42" s="8">
        <f>IF(B42="","",B42+$B$5)</f>
        <v/>
      </c>
      <c r="D42" s="8">
        <f>IF(B42="","",IF(B42&lt;- $B$5,"Left tangent",IF(B42&lt;=$B$6,"Cubic curve","Right tangent")))</f>
        <v/>
      </c>
      <c r="E42" s="9">
        <f>IF(B42="","",IF(B42&lt;- $B$5,$B$7,IF(B42&lt;=$B$6,100*(3*$F$12*(B42+$B$5)^2+2*$F$13*(B42+$B$5)+$F$6),$B$8)))</f>
        <v/>
      </c>
      <c r="F42" s="10">
        <f>IF(B42="","",IF(B42&lt;- $B$5,$F$6*B42,IF(B42&lt;=$B$6,$F$12*(B42+$B$5)^3+$F$13*(B42+$B$5)^2+$F$6*(B42+$B$5)+$F$8,$F$9+$F$7*(B42-$B$6))))</f>
        <v/>
      </c>
      <c r="G42" s="10">
        <f>IF(F42="","",$B$10+F42)</f>
        <v/>
      </c>
      <c r="H42" s="10">
        <f>IF(B42="","",$B$9+B42)</f>
        <v/>
      </c>
    </row>
    <row r="43">
      <c r="A43" s="8">
        <f>IF(B43="","",A42+1)</f>
        <v/>
      </c>
      <c r="B43" s="8">
        <f>IF(B42="","",IF(B42+$B$11&lt;=$B$6+1E-9,B42+$B$11,""))</f>
        <v/>
      </c>
      <c r="C43" s="8">
        <f>IF(B43="","",B43+$B$5)</f>
        <v/>
      </c>
      <c r="D43" s="8">
        <f>IF(B43="","",IF(B43&lt;- $B$5,"Left tangent",IF(B43&lt;=$B$6,"Cubic curve","Right tangent")))</f>
        <v/>
      </c>
      <c r="E43" s="9">
        <f>IF(B43="","",IF(B43&lt;- $B$5,$B$7,IF(B43&lt;=$B$6,100*(3*$F$12*(B43+$B$5)^2+2*$F$13*(B43+$B$5)+$F$6),$B$8)))</f>
        <v/>
      </c>
      <c r="F43" s="10">
        <f>IF(B43="","",IF(B43&lt;- $B$5,$F$6*B43,IF(B43&lt;=$B$6,$F$12*(B43+$B$5)^3+$F$13*(B43+$B$5)^2+$F$6*(B43+$B$5)+$F$8,$F$9+$F$7*(B43-$B$6))))</f>
        <v/>
      </c>
      <c r="G43" s="10">
        <f>IF(F43="","",$B$10+F43)</f>
        <v/>
      </c>
      <c r="H43" s="10">
        <f>IF(B43="","",$B$9+B43)</f>
        <v/>
      </c>
    </row>
    <row r="44">
      <c r="A44" s="8">
        <f>IF(B44="","",A43+1)</f>
        <v/>
      </c>
      <c r="B44" s="8">
        <f>IF(B43="","",IF(B43+$B$11&lt;=$B$6+1E-9,B43+$B$11,""))</f>
        <v/>
      </c>
      <c r="C44" s="8">
        <f>IF(B44="","",B44+$B$5)</f>
        <v/>
      </c>
      <c r="D44" s="8">
        <f>IF(B44="","",IF(B44&lt;- $B$5,"Left tangent",IF(B44&lt;=$B$6,"Cubic curve","Right tangent")))</f>
        <v/>
      </c>
      <c r="E44" s="9">
        <f>IF(B44="","",IF(B44&lt;- $B$5,$B$7,IF(B44&lt;=$B$6,100*(3*$F$12*(B44+$B$5)^2+2*$F$13*(B44+$B$5)+$F$6),$B$8)))</f>
        <v/>
      </c>
      <c r="F44" s="10">
        <f>IF(B44="","",IF(B44&lt;- $B$5,$F$6*B44,IF(B44&lt;=$B$6,$F$12*(B44+$B$5)^3+$F$13*(B44+$B$5)^2+$F$6*(B44+$B$5)+$F$8,$F$9+$F$7*(B44-$B$6))))</f>
        <v/>
      </c>
      <c r="G44" s="10">
        <f>IF(F44="","",$B$10+F44)</f>
        <v/>
      </c>
      <c r="H44" s="10">
        <f>IF(B44="","",$B$9+B44)</f>
        <v/>
      </c>
    </row>
    <row r="45">
      <c r="A45" s="8">
        <f>IF(B45="","",A44+1)</f>
        <v/>
      </c>
      <c r="B45" s="8">
        <f>IF(B44="","",IF(B44+$B$11&lt;=$B$6+1E-9,B44+$B$11,""))</f>
        <v/>
      </c>
      <c r="C45" s="8">
        <f>IF(B45="","",B45+$B$5)</f>
        <v/>
      </c>
      <c r="D45" s="8">
        <f>IF(B45="","",IF(B45&lt;- $B$5,"Left tangent",IF(B45&lt;=$B$6,"Cubic curve","Right tangent")))</f>
        <v/>
      </c>
      <c r="E45" s="9">
        <f>IF(B45="","",IF(B45&lt;- $B$5,$B$7,IF(B45&lt;=$B$6,100*(3*$F$12*(B45+$B$5)^2+2*$F$13*(B45+$B$5)+$F$6),$B$8)))</f>
        <v/>
      </c>
      <c r="F45" s="10">
        <f>IF(B45="","",IF(B45&lt;- $B$5,$F$6*B45,IF(B45&lt;=$B$6,$F$12*(B45+$B$5)^3+$F$13*(B45+$B$5)^2+$F$6*(B45+$B$5)+$F$8,$F$9+$F$7*(B45-$B$6))))</f>
        <v/>
      </c>
      <c r="G45" s="10">
        <f>IF(F45="","",$B$10+F45)</f>
        <v/>
      </c>
      <c r="H45" s="10">
        <f>IF(B45="","",$B$9+B45)</f>
        <v/>
      </c>
    </row>
    <row r="46">
      <c r="A46" s="8">
        <f>IF(B46="","",A45+1)</f>
        <v/>
      </c>
      <c r="B46" s="8">
        <f>IF(B45="","",IF(B45+$B$11&lt;=$B$6+1E-9,B45+$B$11,""))</f>
        <v/>
      </c>
      <c r="C46" s="8">
        <f>IF(B46="","",B46+$B$5)</f>
        <v/>
      </c>
      <c r="D46" s="8">
        <f>IF(B46="","",IF(B46&lt;- $B$5,"Left tangent",IF(B46&lt;=$B$6,"Cubic curve","Right tangent")))</f>
        <v/>
      </c>
      <c r="E46" s="9">
        <f>IF(B46="","",IF(B46&lt;- $B$5,$B$7,IF(B46&lt;=$B$6,100*(3*$F$12*(B46+$B$5)^2+2*$F$13*(B46+$B$5)+$F$6),$B$8)))</f>
        <v/>
      </c>
      <c r="F46" s="10">
        <f>IF(B46="","",IF(B46&lt;- $B$5,$F$6*B46,IF(B46&lt;=$B$6,$F$12*(B46+$B$5)^3+$F$13*(B46+$B$5)^2+$F$6*(B46+$B$5)+$F$8,$F$9+$F$7*(B46-$B$6))))</f>
        <v/>
      </c>
      <c r="G46" s="10">
        <f>IF(F46="","",$B$10+F46)</f>
        <v/>
      </c>
      <c r="H46" s="10">
        <f>IF(B46="","",$B$9+B46)</f>
        <v/>
      </c>
    </row>
    <row r="47">
      <c r="A47" s="8">
        <f>IF(B47="","",A46+1)</f>
        <v/>
      </c>
      <c r="B47" s="8">
        <f>IF(B46="","",IF(B46+$B$11&lt;=$B$6+1E-9,B46+$B$11,""))</f>
        <v/>
      </c>
      <c r="C47" s="8">
        <f>IF(B47="","",B47+$B$5)</f>
        <v/>
      </c>
      <c r="D47" s="8">
        <f>IF(B47="","",IF(B47&lt;- $B$5,"Left tangent",IF(B47&lt;=$B$6,"Cubic curve","Right tangent")))</f>
        <v/>
      </c>
      <c r="E47" s="9">
        <f>IF(B47="","",IF(B47&lt;- $B$5,$B$7,IF(B47&lt;=$B$6,100*(3*$F$12*(B47+$B$5)^2+2*$F$13*(B47+$B$5)+$F$6),$B$8)))</f>
        <v/>
      </c>
      <c r="F47" s="10">
        <f>IF(B47="","",IF(B47&lt;- $B$5,$F$6*B47,IF(B47&lt;=$B$6,$F$12*(B47+$B$5)^3+$F$13*(B47+$B$5)^2+$F$6*(B47+$B$5)+$F$8,$F$9+$F$7*(B47-$B$6))))</f>
        <v/>
      </c>
      <c r="G47" s="10">
        <f>IF(F47="","",$B$10+F47)</f>
        <v/>
      </c>
      <c r="H47" s="10">
        <f>IF(B47="","",$B$9+B47)</f>
        <v/>
      </c>
    </row>
    <row r="48">
      <c r="A48" s="8">
        <f>IF(B48="","",A47+1)</f>
        <v/>
      </c>
      <c r="B48" s="8">
        <f>IF(B47="","",IF(B47+$B$11&lt;=$B$6+1E-9,B47+$B$11,""))</f>
        <v/>
      </c>
      <c r="C48" s="8">
        <f>IF(B48="","",B48+$B$5)</f>
        <v/>
      </c>
      <c r="D48" s="8">
        <f>IF(B48="","",IF(B48&lt;- $B$5,"Left tangent",IF(B48&lt;=$B$6,"Cubic curve","Right tangent")))</f>
        <v/>
      </c>
      <c r="E48" s="9">
        <f>IF(B48="","",IF(B48&lt;- $B$5,$B$7,IF(B48&lt;=$B$6,100*(3*$F$12*(B48+$B$5)^2+2*$F$13*(B48+$B$5)+$F$6),$B$8)))</f>
        <v/>
      </c>
      <c r="F48" s="10">
        <f>IF(B48="","",IF(B48&lt;- $B$5,$F$6*B48,IF(B48&lt;=$B$6,$F$12*(B48+$B$5)^3+$F$13*(B48+$B$5)^2+$F$6*(B48+$B$5)+$F$8,$F$9+$F$7*(B48-$B$6))))</f>
        <v/>
      </c>
      <c r="G48" s="10">
        <f>IF(F48="","",$B$10+F48)</f>
        <v/>
      </c>
      <c r="H48" s="10">
        <f>IF(B48="","",$B$9+B48)</f>
        <v/>
      </c>
    </row>
    <row r="49">
      <c r="A49" s="8">
        <f>IF(B49="","",A48+1)</f>
        <v/>
      </c>
      <c r="B49" s="8">
        <f>IF(B48="","",IF(B48+$B$11&lt;=$B$6+1E-9,B48+$B$11,""))</f>
        <v/>
      </c>
      <c r="C49" s="8">
        <f>IF(B49="","",B49+$B$5)</f>
        <v/>
      </c>
      <c r="D49" s="8">
        <f>IF(B49="","",IF(B49&lt;- $B$5,"Left tangent",IF(B49&lt;=$B$6,"Cubic curve","Right tangent")))</f>
        <v/>
      </c>
      <c r="E49" s="9">
        <f>IF(B49="","",IF(B49&lt;- $B$5,$B$7,IF(B49&lt;=$B$6,100*(3*$F$12*(B49+$B$5)^2+2*$F$13*(B49+$B$5)+$F$6),$B$8)))</f>
        <v/>
      </c>
      <c r="F49" s="10">
        <f>IF(B49="","",IF(B49&lt;- $B$5,$F$6*B49,IF(B49&lt;=$B$6,$F$12*(B49+$B$5)^3+$F$13*(B49+$B$5)^2+$F$6*(B49+$B$5)+$F$8,$F$9+$F$7*(B49-$B$6))))</f>
        <v/>
      </c>
      <c r="G49" s="10">
        <f>IF(F49="","",$B$10+F49)</f>
        <v/>
      </c>
      <c r="H49" s="10">
        <f>IF(B49="","",$B$9+B49)</f>
        <v/>
      </c>
    </row>
    <row r="50">
      <c r="A50" s="8">
        <f>IF(B50="","",A49+1)</f>
        <v/>
      </c>
      <c r="B50" s="8">
        <f>IF(B49="","",IF(B49+$B$11&lt;=$B$6+1E-9,B49+$B$11,""))</f>
        <v/>
      </c>
      <c r="C50" s="8">
        <f>IF(B50="","",B50+$B$5)</f>
        <v/>
      </c>
      <c r="D50" s="8">
        <f>IF(B50="","",IF(B50&lt;- $B$5,"Left tangent",IF(B50&lt;=$B$6,"Cubic curve","Right tangent")))</f>
        <v/>
      </c>
      <c r="E50" s="9">
        <f>IF(B50="","",IF(B50&lt;- $B$5,$B$7,IF(B50&lt;=$B$6,100*(3*$F$12*(B50+$B$5)^2+2*$F$13*(B50+$B$5)+$F$6),$B$8)))</f>
        <v/>
      </c>
      <c r="F50" s="10">
        <f>IF(B50="","",IF(B50&lt;- $B$5,$F$6*B50,IF(B50&lt;=$B$6,$F$12*(B50+$B$5)^3+$F$13*(B50+$B$5)^2+$F$6*(B50+$B$5)+$F$8,$F$9+$F$7*(B50-$B$6))))</f>
        <v/>
      </c>
      <c r="G50" s="10">
        <f>IF(F50="","",$B$10+F50)</f>
        <v/>
      </c>
      <c r="H50" s="10">
        <f>IF(B50="","",$B$9+B50)</f>
        <v/>
      </c>
    </row>
    <row r="51">
      <c r="A51" s="8">
        <f>IF(B51="","",A50+1)</f>
        <v/>
      </c>
      <c r="B51" s="8">
        <f>IF(B50="","",IF(B50+$B$11&lt;=$B$6+1E-9,B50+$B$11,""))</f>
        <v/>
      </c>
      <c r="C51" s="8">
        <f>IF(B51="","",B51+$B$5)</f>
        <v/>
      </c>
      <c r="D51" s="8">
        <f>IF(B51="","",IF(B51&lt;- $B$5,"Left tangent",IF(B51&lt;=$B$6,"Cubic curve","Right tangent")))</f>
        <v/>
      </c>
      <c r="E51" s="9">
        <f>IF(B51="","",IF(B51&lt;- $B$5,$B$7,IF(B51&lt;=$B$6,100*(3*$F$12*(B51+$B$5)^2+2*$F$13*(B51+$B$5)+$F$6),$B$8)))</f>
        <v/>
      </c>
      <c r="F51" s="10">
        <f>IF(B51="","",IF(B51&lt;- $B$5,$F$6*B51,IF(B51&lt;=$B$6,$F$12*(B51+$B$5)^3+$F$13*(B51+$B$5)^2+$F$6*(B51+$B$5)+$F$8,$F$9+$F$7*(B51-$B$6))))</f>
        <v/>
      </c>
      <c r="G51" s="10">
        <f>IF(F51="","",$B$10+F51)</f>
        <v/>
      </c>
      <c r="H51" s="10">
        <f>IF(B51="","",$B$9+B51)</f>
        <v/>
      </c>
    </row>
    <row r="52">
      <c r="A52" s="8">
        <f>IF(B52="","",A51+1)</f>
        <v/>
      </c>
      <c r="B52" s="8">
        <f>IF(B51="","",IF(B51+$B$11&lt;=$B$6+1E-9,B51+$B$11,""))</f>
        <v/>
      </c>
      <c r="C52" s="8">
        <f>IF(B52="","",B52+$B$5)</f>
        <v/>
      </c>
      <c r="D52" s="8">
        <f>IF(B52="","",IF(B52&lt;- $B$5,"Left tangent",IF(B52&lt;=$B$6,"Cubic curve","Right tangent")))</f>
        <v/>
      </c>
      <c r="E52" s="9">
        <f>IF(B52="","",IF(B52&lt;- $B$5,$B$7,IF(B52&lt;=$B$6,100*(3*$F$12*(B52+$B$5)^2+2*$F$13*(B52+$B$5)+$F$6),$B$8)))</f>
        <v/>
      </c>
      <c r="F52" s="10">
        <f>IF(B52="","",IF(B52&lt;- $B$5,$F$6*B52,IF(B52&lt;=$B$6,$F$12*(B52+$B$5)^3+$F$13*(B52+$B$5)^2+$F$6*(B52+$B$5)+$F$8,$F$9+$F$7*(B52-$B$6))))</f>
        <v/>
      </c>
      <c r="G52" s="10">
        <f>IF(F52="","",$B$10+F52)</f>
        <v/>
      </c>
      <c r="H52" s="10">
        <f>IF(B52="","",$B$9+B52)</f>
        <v/>
      </c>
    </row>
    <row r="53">
      <c r="A53" s="8">
        <f>IF(B53="","",A52+1)</f>
        <v/>
      </c>
      <c r="B53" s="8">
        <f>IF(B52="","",IF(B52+$B$11&lt;=$B$6+1E-9,B52+$B$11,""))</f>
        <v/>
      </c>
      <c r="C53" s="8">
        <f>IF(B53="","",B53+$B$5)</f>
        <v/>
      </c>
      <c r="D53" s="8">
        <f>IF(B53="","",IF(B53&lt;- $B$5,"Left tangent",IF(B53&lt;=$B$6,"Cubic curve","Right tangent")))</f>
        <v/>
      </c>
      <c r="E53" s="9">
        <f>IF(B53="","",IF(B53&lt;- $B$5,$B$7,IF(B53&lt;=$B$6,100*(3*$F$12*(B53+$B$5)^2+2*$F$13*(B53+$B$5)+$F$6),$B$8)))</f>
        <v/>
      </c>
      <c r="F53" s="10">
        <f>IF(B53="","",IF(B53&lt;- $B$5,$F$6*B53,IF(B53&lt;=$B$6,$F$12*(B53+$B$5)^3+$F$13*(B53+$B$5)^2+$F$6*(B53+$B$5)+$F$8,$F$9+$F$7*(B53-$B$6))))</f>
        <v/>
      </c>
      <c r="G53" s="10">
        <f>IF(F53="","",$B$10+F53)</f>
        <v/>
      </c>
      <c r="H53" s="10">
        <f>IF(B53="","",$B$9+B53)</f>
        <v/>
      </c>
    </row>
    <row r="54">
      <c r="A54" s="8">
        <f>IF(B54="","",A53+1)</f>
        <v/>
      </c>
      <c r="B54" s="8">
        <f>IF(B53="","",IF(B53+$B$11&lt;=$B$6+1E-9,B53+$B$11,""))</f>
        <v/>
      </c>
      <c r="C54" s="8">
        <f>IF(B54="","",B54+$B$5)</f>
        <v/>
      </c>
      <c r="D54" s="8">
        <f>IF(B54="","",IF(B54&lt;- $B$5,"Left tangent",IF(B54&lt;=$B$6,"Cubic curve","Right tangent")))</f>
        <v/>
      </c>
      <c r="E54" s="9">
        <f>IF(B54="","",IF(B54&lt;- $B$5,$B$7,IF(B54&lt;=$B$6,100*(3*$F$12*(B54+$B$5)^2+2*$F$13*(B54+$B$5)+$F$6),$B$8)))</f>
        <v/>
      </c>
      <c r="F54" s="10">
        <f>IF(B54="","",IF(B54&lt;- $B$5,$F$6*B54,IF(B54&lt;=$B$6,$F$12*(B54+$B$5)^3+$F$13*(B54+$B$5)^2+$F$6*(B54+$B$5)+$F$8,$F$9+$F$7*(B54-$B$6))))</f>
        <v/>
      </c>
      <c r="G54" s="10">
        <f>IF(F54="","",$B$10+F54)</f>
        <v/>
      </c>
      <c r="H54" s="10">
        <f>IF(B54="","",$B$9+B54)</f>
        <v/>
      </c>
    </row>
    <row r="55">
      <c r="A55" s="8">
        <f>IF(B55="","",A54+1)</f>
        <v/>
      </c>
      <c r="B55" s="8">
        <f>IF(B54="","",IF(B54+$B$11&lt;=$B$6+1E-9,B54+$B$11,""))</f>
        <v/>
      </c>
      <c r="C55" s="8">
        <f>IF(B55="","",B55+$B$5)</f>
        <v/>
      </c>
      <c r="D55" s="8">
        <f>IF(B55="","",IF(B55&lt;- $B$5,"Left tangent",IF(B55&lt;=$B$6,"Cubic curve","Right tangent")))</f>
        <v/>
      </c>
      <c r="E55" s="9">
        <f>IF(B55="","",IF(B55&lt;- $B$5,$B$7,IF(B55&lt;=$B$6,100*(3*$F$12*(B55+$B$5)^2+2*$F$13*(B55+$B$5)+$F$6),$B$8)))</f>
        <v/>
      </c>
      <c r="F55" s="10">
        <f>IF(B55="","",IF(B55&lt;- $B$5,$F$6*B55,IF(B55&lt;=$B$6,$F$12*(B55+$B$5)^3+$F$13*(B55+$B$5)^2+$F$6*(B55+$B$5)+$F$8,$F$9+$F$7*(B55-$B$6))))</f>
        <v/>
      </c>
      <c r="G55" s="10">
        <f>IF(F55="","",$B$10+F55)</f>
        <v/>
      </c>
      <c r="H55" s="10">
        <f>IF(B55="","",$B$9+B55)</f>
        <v/>
      </c>
    </row>
    <row r="56">
      <c r="A56" s="8">
        <f>IF(B56="","",A55+1)</f>
        <v/>
      </c>
      <c r="B56" s="8">
        <f>IF(B55="","",IF(B55+$B$11&lt;=$B$6+1E-9,B55+$B$11,""))</f>
        <v/>
      </c>
      <c r="C56" s="8">
        <f>IF(B56="","",B56+$B$5)</f>
        <v/>
      </c>
      <c r="D56" s="8">
        <f>IF(B56="","",IF(B56&lt;- $B$5,"Left tangent",IF(B56&lt;=$B$6,"Cubic curve","Right tangent")))</f>
        <v/>
      </c>
      <c r="E56" s="9">
        <f>IF(B56="","",IF(B56&lt;- $B$5,$B$7,IF(B56&lt;=$B$6,100*(3*$F$12*(B56+$B$5)^2+2*$F$13*(B56+$B$5)+$F$6),$B$8)))</f>
        <v/>
      </c>
      <c r="F56" s="10">
        <f>IF(B56="","",IF(B56&lt;- $B$5,$F$6*B56,IF(B56&lt;=$B$6,$F$12*(B56+$B$5)^3+$F$13*(B56+$B$5)^2+$F$6*(B56+$B$5)+$F$8,$F$9+$F$7*(B56-$B$6))))</f>
        <v/>
      </c>
      <c r="G56" s="10">
        <f>IF(F56="","",$B$10+F56)</f>
        <v/>
      </c>
      <c r="H56" s="10">
        <f>IF(B56="","",$B$9+B56)</f>
        <v/>
      </c>
    </row>
    <row r="57">
      <c r="A57" s="8">
        <f>IF(B57="","",A56+1)</f>
        <v/>
      </c>
      <c r="B57" s="8">
        <f>IF(B56="","",IF(B56+$B$11&lt;=$B$6+1E-9,B56+$B$11,""))</f>
        <v/>
      </c>
      <c r="C57" s="8">
        <f>IF(B57="","",B57+$B$5)</f>
        <v/>
      </c>
      <c r="D57" s="8">
        <f>IF(B57="","",IF(B57&lt;- $B$5,"Left tangent",IF(B57&lt;=$B$6,"Cubic curve","Right tangent")))</f>
        <v/>
      </c>
      <c r="E57" s="9">
        <f>IF(B57="","",IF(B57&lt;- $B$5,$B$7,IF(B57&lt;=$B$6,100*(3*$F$12*(B57+$B$5)^2+2*$F$13*(B57+$B$5)+$F$6),$B$8)))</f>
        <v/>
      </c>
      <c r="F57" s="10">
        <f>IF(B57="","",IF(B57&lt;- $B$5,$F$6*B57,IF(B57&lt;=$B$6,$F$12*(B57+$B$5)^3+$F$13*(B57+$B$5)^2+$F$6*(B57+$B$5)+$F$8,$F$9+$F$7*(B57-$B$6))))</f>
        <v/>
      </c>
      <c r="G57" s="10">
        <f>IF(F57="","",$B$10+F57)</f>
        <v/>
      </c>
      <c r="H57" s="10">
        <f>IF(B57="","",$B$9+B57)</f>
        <v/>
      </c>
    </row>
    <row r="58">
      <c r="A58" s="8">
        <f>IF(B58="","",A57+1)</f>
        <v/>
      </c>
      <c r="B58" s="8">
        <f>IF(B57="","",IF(B57+$B$11&lt;=$B$6+1E-9,B57+$B$11,""))</f>
        <v/>
      </c>
      <c r="C58" s="8">
        <f>IF(B58="","",B58+$B$5)</f>
        <v/>
      </c>
      <c r="D58" s="8">
        <f>IF(B58="","",IF(B58&lt;- $B$5,"Left tangent",IF(B58&lt;=$B$6,"Cubic curve","Right tangent")))</f>
        <v/>
      </c>
      <c r="E58" s="9">
        <f>IF(B58="","",IF(B58&lt;- $B$5,$B$7,IF(B58&lt;=$B$6,100*(3*$F$12*(B58+$B$5)^2+2*$F$13*(B58+$B$5)+$F$6),$B$8)))</f>
        <v/>
      </c>
      <c r="F58" s="10">
        <f>IF(B58="","",IF(B58&lt;- $B$5,$F$6*B58,IF(B58&lt;=$B$6,$F$12*(B58+$B$5)^3+$F$13*(B58+$B$5)^2+$F$6*(B58+$B$5)+$F$8,$F$9+$F$7*(B58-$B$6))))</f>
        <v/>
      </c>
      <c r="G58" s="10">
        <f>IF(F58="","",$B$10+F58)</f>
        <v/>
      </c>
      <c r="H58" s="10">
        <f>IF(B58="","",$B$9+B58)</f>
        <v/>
      </c>
    </row>
    <row r="59">
      <c r="A59" s="8">
        <f>IF(B59="","",A58+1)</f>
        <v/>
      </c>
      <c r="B59" s="8">
        <f>IF(B58="","",IF(B58+$B$11&lt;=$B$6+1E-9,B58+$B$11,""))</f>
        <v/>
      </c>
      <c r="C59" s="8">
        <f>IF(B59="","",B59+$B$5)</f>
        <v/>
      </c>
      <c r="D59" s="8">
        <f>IF(B59="","",IF(B59&lt;- $B$5,"Left tangent",IF(B59&lt;=$B$6,"Cubic curve","Right tangent")))</f>
        <v/>
      </c>
      <c r="E59" s="9">
        <f>IF(B59="","",IF(B59&lt;- $B$5,$B$7,IF(B59&lt;=$B$6,100*(3*$F$12*(B59+$B$5)^2+2*$F$13*(B59+$B$5)+$F$6),$B$8)))</f>
        <v/>
      </c>
      <c r="F59" s="10">
        <f>IF(B59="","",IF(B59&lt;- $B$5,$F$6*B59,IF(B59&lt;=$B$6,$F$12*(B59+$B$5)^3+$F$13*(B59+$B$5)^2+$F$6*(B59+$B$5)+$F$8,$F$9+$F$7*(B59-$B$6))))</f>
        <v/>
      </c>
      <c r="G59" s="10">
        <f>IF(F59="","",$B$10+F59)</f>
        <v/>
      </c>
      <c r="H59" s="10">
        <f>IF(B59="","",$B$9+B59)</f>
        <v/>
      </c>
    </row>
    <row r="60">
      <c r="A60" s="8">
        <f>IF(B60="","",A59+1)</f>
        <v/>
      </c>
      <c r="B60" s="8">
        <f>IF(B59="","",IF(B59+$B$11&lt;=$B$6+1E-9,B59+$B$11,""))</f>
        <v/>
      </c>
      <c r="C60" s="8">
        <f>IF(B60="","",B60+$B$5)</f>
        <v/>
      </c>
      <c r="D60" s="8">
        <f>IF(B60="","",IF(B60&lt;- $B$5,"Left tangent",IF(B60&lt;=$B$6,"Cubic curve","Right tangent")))</f>
        <v/>
      </c>
      <c r="E60" s="9">
        <f>IF(B60="","",IF(B60&lt;- $B$5,$B$7,IF(B60&lt;=$B$6,100*(3*$F$12*(B60+$B$5)^2+2*$F$13*(B60+$B$5)+$F$6),$B$8)))</f>
        <v/>
      </c>
      <c r="F60" s="10">
        <f>IF(B60="","",IF(B60&lt;- $B$5,$F$6*B60,IF(B60&lt;=$B$6,$F$12*(B60+$B$5)^3+$F$13*(B60+$B$5)^2+$F$6*(B60+$B$5)+$F$8,$F$9+$F$7*(B60-$B$6))))</f>
        <v/>
      </c>
      <c r="G60" s="10">
        <f>IF(F60="","",$B$10+F60)</f>
        <v/>
      </c>
      <c r="H60" s="10">
        <f>IF(B60="","",$B$9+B60)</f>
        <v/>
      </c>
    </row>
    <row r="61">
      <c r="A61" s="8">
        <f>IF(B61="","",A60+1)</f>
        <v/>
      </c>
      <c r="B61" s="8">
        <f>IF(B60="","",IF(B60+$B$11&lt;=$B$6+1E-9,B60+$B$11,""))</f>
        <v/>
      </c>
      <c r="C61" s="8">
        <f>IF(B61="","",B61+$B$5)</f>
        <v/>
      </c>
      <c r="D61" s="8">
        <f>IF(B61="","",IF(B61&lt;- $B$5,"Left tangent",IF(B61&lt;=$B$6,"Cubic curve","Right tangent")))</f>
        <v/>
      </c>
      <c r="E61" s="9">
        <f>IF(B61="","",IF(B61&lt;- $B$5,$B$7,IF(B61&lt;=$B$6,100*(3*$F$12*(B61+$B$5)^2+2*$F$13*(B61+$B$5)+$F$6),$B$8)))</f>
        <v/>
      </c>
      <c r="F61" s="10">
        <f>IF(B61="","",IF(B61&lt;- $B$5,$F$6*B61,IF(B61&lt;=$B$6,$F$12*(B61+$B$5)^3+$F$13*(B61+$B$5)^2+$F$6*(B61+$B$5)+$F$8,$F$9+$F$7*(B61-$B$6))))</f>
        <v/>
      </c>
      <c r="G61" s="10">
        <f>IF(F61="","",$B$10+F61)</f>
        <v/>
      </c>
      <c r="H61" s="10">
        <f>IF(B61="","",$B$9+B61)</f>
        <v/>
      </c>
    </row>
    <row r="62">
      <c r="A62" s="8">
        <f>IF(B62="","",A61+1)</f>
        <v/>
      </c>
      <c r="B62" s="8">
        <f>IF(B61="","",IF(B61+$B$11&lt;=$B$6+1E-9,B61+$B$11,""))</f>
        <v/>
      </c>
      <c r="C62" s="8">
        <f>IF(B62="","",B62+$B$5)</f>
        <v/>
      </c>
      <c r="D62" s="8">
        <f>IF(B62="","",IF(B62&lt;- $B$5,"Left tangent",IF(B62&lt;=$B$6,"Cubic curve","Right tangent")))</f>
        <v/>
      </c>
      <c r="E62" s="9">
        <f>IF(B62="","",IF(B62&lt;- $B$5,$B$7,IF(B62&lt;=$B$6,100*(3*$F$12*(B62+$B$5)^2+2*$F$13*(B62+$B$5)+$F$6),$B$8)))</f>
        <v/>
      </c>
      <c r="F62" s="10">
        <f>IF(B62="","",IF(B62&lt;- $B$5,$F$6*B62,IF(B62&lt;=$B$6,$F$12*(B62+$B$5)^3+$F$13*(B62+$B$5)^2+$F$6*(B62+$B$5)+$F$8,$F$9+$F$7*(B62-$B$6))))</f>
        <v/>
      </c>
      <c r="G62" s="10">
        <f>IF(F62="","",$B$10+F62)</f>
        <v/>
      </c>
      <c r="H62" s="10">
        <f>IF(B62="","",$B$9+B62)</f>
        <v/>
      </c>
    </row>
    <row r="63">
      <c r="A63" s="8">
        <f>IF(B63="","",A62+1)</f>
        <v/>
      </c>
      <c r="B63" s="8">
        <f>IF(B62="","",IF(B62+$B$11&lt;=$B$6+1E-9,B62+$B$11,""))</f>
        <v/>
      </c>
      <c r="C63" s="8">
        <f>IF(B63="","",B63+$B$5)</f>
        <v/>
      </c>
      <c r="D63" s="8">
        <f>IF(B63="","",IF(B63&lt;- $B$5,"Left tangent",IF(B63&lt;=$B$6,"Cubic curve","Right tangent")))</f>
        <v/>
      </c>
      <c r="E63" s="9">
        <f>IF(B63="","",IF(B63&lt;- $B$5,$B$7,IF(B63&lt;=$B$6,100*(3*$F$12*(B63+$B$5)^2+2*$F$13*(B63+$B$5)+$F$6),$B$8)))</f>
        <v/>
      </c>
      <c r="F63" s="10">
        <f>IF(B63="","",IF(B63&lt;- $B$5,$F$6*B63,IF(B63&lt;=$B$6,$F$12*(B63+$B$5)^3+$F$13*(B63+$B$5)^2+$F$6*(B63+$B$5)+$F$8,$F$9+$F$7*(B63-$B$6))))</f>
        <v/>
      </c>
      <c r="G63" s="10">
        <f>IF(F63="","",$B$10+F63)</f>
        <v/>
      </c>
      <c r="H63" s="10">
        <f>IF(B63="","",$B$9+B63)</f>
        <v/>
      </c>
    </row>
    <row r="64">
      <c r="A64" s="8">
        <f>IF(B64="","",A63+1)</f>
        <v/>
      </c>
      <c r="B64" s="8">
        <f>IF(B63="","",IF(B63+$B$11&lt;=$B$6+1E-9,B63+$B$11,""))</f>
        <v/>
      </c>
      <c r="C64" s="8">
        <f>IF(B64="","",B64+$B$5)</f>
        <v/>
      </c>
      <c r="D64" s="8">
        <f>IF(B64="","",IF(B64&lt;- $B$5,"Left tangent",IF(B64&lt;=$B$6,"Cubic curve","Right tangent")))</f>
        <v/>
      </c>
      <c r="E64" s="9">
        <f>IF(B64="","",IF(B64&lt;- $B$5,$B$7,IF(B64&lt;=$B$6,100*(3*$F$12*(B64+$B$5)^2+2*$F$13*(B64+$B$5)+$F$6),$B$8)))</f>
        <v/>
      </c>
      <c r="F64" s="10">
        <f>IF(B64="","",IF(B64&lt;- $B$5,$F$6*B64,IF(B64&lt;=$B$6,$F$12*(B64+$B$5)^3+$F$13*(B64+$B$5)^2+$F$6*(B64+$B$5)+$F$8,$F$9+$F$7*(B64-$B$6))))</f>
        <v/>
      </c>
      <c r="G64" s="10">
        <f>IF(F64="","",$B$10+F64)</f>
        <v/>
      </c>
      <c r="H64" s="10">
        <f>IF(B64="","",$B$9+B64)</f>
        <v/>
      </c>
    </row>
    <row r="65">
      <c r="A65" s="8">
        <f>IF(B65="","",A64+1)</f>
        <v/>
      </c>
      <c r="B65" s="8">
        <f>IF(B64="","",IF(B64+$B$11&lt;=$B$6+1E-9,B64+$B$11,""))</f>
        <v/>
      </c>
      <c r="C65" s="8">
        <f>IF(B65="","",B65+$B$5)</f>
        <v/>
      </c>
      <c r="D65" s="8">
        <f>IF(B65="","",IF(B65&lt;- $B$5,"Left tangent",IF(B65&lt;=$B$6,"Cubic curve","Right tangent")))</f>
        <v/>
      </c>
      <c r="E65" s="9">
        <f>IF(B65="","",IF(B65&lt;- $B$5,$B$7,IF(B65&lt;=$B$6,100*(3*$F$12*(B65+$B$5)^2+2*$F$13*(B65+$B$5)+$F$6),$B$8)))</f>
        <v/>
      </c>
      <c r="F65" s="10">
        <f>IF(B65="","",IF(B65&lt;- $B$5,$F$6*B65,IF(B65&lt;=$B$6,$F$12*(B65+$B$5)^3+$F$13*(B65+$B$5)^2+$F$6*(B65+$B$5)+$F$8,$F$9+$F$7*(B65-$B$6))))</f>
        <v/>
      </c>
      <c r="G65" s="10">
        <f>IF(F65="","",$B$10+F65)</f>
        <v/>
      </c>
      <c r="H65" s="10">
        <f>IF(B65="","",$B$9+B65)</f>
        <v/>
      </c>
    </row>
    <row r="66">
      <c r="A66" s="8">
        <f>IF(B66="","",A65+1)</f>
        <v/>
      </c>
      <c r="B66" s="8">
        <f>IF(B65="","",IF(B65+$B$11&lt;=$B$6+1E-9,B65+$B$11,""))</f>
        <v/>
      </c>
      <c r="C66" s="8">
        <f>IF(B66="","",B66+$B$5)</f>
        <v/>
      </c>
      <c r="D66" s="8">
        <f>IF(B66="","",IF(B66&lt;- $B$5,"Left tangent",IF(B66&lt;=$B$6,"Cubic curve","Right tangent")))</f>
        <v/>
      </c>
      <c r="E66" s="9">
        <f>IF(B66="","",IF(B66&lt;- $B$5,$B$7,IF(B66&lt;=$B$6,100*(3*$F$12*(B66+$B$5)^2+2*$F$13*(B66+$B$5)+$F$6),$B$8)))</f>
        <v/>
      </c>
      <c r="F66" s="10">
        <f>IF(B66="","",IF(B66&lt;- $B$5,$F$6*B66,IF(B66&lt;=$B$6,$F$12*(B66+$B$5)^3+$F$13*(B66+$B$5)^2+$F$6*(B66+$B$5)+$F$8,$F$9+$F$7*(B66-$B$6))))</f>
        <v/>
      </c>
      <c r="G66" s="10">
        <f>IF(F66="","",$B$10+F66)</f>
        <v/>
      </c>
      <c r="H66" s="10">
        <f>IF(B66="","",$B$9+B66)</f>
        <v/>
      </c>
    </row>
    <row r="67">
      <c r="A67" s="8">
        <f>IF(B67="","",A66+1)</f>
        <v/>
      </c>
      <c r="B67" s="8">
        <f>IF(B66="","",IF(B66+$B$11&lt;=$B$6+1E-9,B66+$B$11,""))</f>
        <v/>
      </c>
      <c r="C67" s="8">
        <f>IF(B67="","",B67+$B$5)</f>
        <v/>
      </c>
      <c r="D67" s="8">
        <f>IF(B67="","",IF(B67&lt;- $B$5,"Left tangent",IF(B67&lt;=$B$6,"Cubic curve","Right tangent")))</f>
        <v/>
      </c>
      <c r="E67" s="9">
        <f>IF(B67="","",IF(B67&lt;- $B$5,$B$7,IF(B67&lt;=$B$6,100*(3*$F$12*(B67+$B$5)^2+2*$F$13*(B67+$B$5)+$F$6),$B$8)))</f>
        <v/>
      </c>
      <c r="F67" s="10">
        <f>IF(B67="","",IF(B67&lt;- $B$5,$F$6*B67,IF(B67&lt;=$B$6,$F$12*(B67+$B$5)^3+$F$13*(B67+$B$5)^2+$F$6*(B67+$B$5)+$F$8,$F$9+$F$7*(B67-$B$6))))</f>
        <v/>
      </c>
      <c r="G67" s="10">
        <f>IF(F67="","",$B$10+F67)</f>
        <v/>
      </c>
      <c r="H67" s="10">
        <f>IF(B67="","",$B$9+B67)</f>
        <v/>
      </c>
    </row>
    <row r="68">
      <c r="A68" s="8">
        <f>IF(B68="","",A67+1)</f>
        <v/>
      </c>
      <c r="B68" s="8">
        <f>IF(B67="","",IF(B67+$B$11&lt;=$B$6+1E-9,B67+$B$11,""))</f>
        <v/>
      </c>
      <c r="C68" s="8">
        <f>IF(B68="","",B68+$B$5)</f>
        <v/>
      </c>
      <c r="D68" s="8">
        <f>IF(B68="","",IF(B68&lt;- $B$5,"Left tangent",IF(B68&lt;=$B$6,"Cubic curve","Right tangent")))</f>
        <v/>
      </c>
      <c r="E68" s="9">
        <f>IF(B68="","",IF(B68&lt;- $B$5,$B$7,IF(B68&lt;=$B$6,100*(3*$F$12*(B68+$B$5)^2+2*$F$13*(B68+$B$5)+$F$6),$B$8)))</f>
        <v/>
      </c>
      <c r="F68" s="10">
        <f>IF(B68="","",IF(B68&lt;- $B$5,$F$6*B68,IF(B68&lt;=$B$6,$F$12*(B68+$B$5)^3+$F$13*(B68+$B$5)^2+$F$6*(B68+$B$5)+$F$8,$F$9+$F$7*(B68-$B$6))))</f>
        <v/>
      </c>
      <c r="G68" s="10">
        <f>IF(F68="","",$B$10+F68)</f>
        <v/>
      </c>
      <c r="H68" s="10">
        <f>IF(B68="","",$B$9+B68)</f>
        <v/>
      </c>
    </row>
    <row r="69">
      <c r="A69" s="8">
        <f>IF(B69="","",A68+1)</f>
        <v/>
      </c>
      <c r="B69" s="8">
        <f>IF(B68="","",IF(B68+$B$11&lt;=$B$6+1E-9,B68+$B$11,""))</f>
        <v/>
      </c>
      <c r="C69" s="8">
        <f>IF(B69="","",B69+$B$5)</f>
        <v/>
      </c>
      <c r="D69" s="8">
        <f>IF(B69="","",IF(B69&lt;- $B$5,"Left tangent",IF(B69&lt;=$B$6,"Cubic curve","Right tangent")))</f>
        <v/>
      </c>
      <c r="E69" s="9">
        <f>IF(B69="","",IF(B69&lt;- $B$5,$B$7,IF(B69&lt;=$B$6,100*(3*$F$12*(B69+$B$5)^2+2*$F$13*(B69+$B$5)+$F$6),$B$8)))</f>
        <v/>
      </c>
      <c r="F69" s="10">
        <f>IF(B69="","",IF(B69&lt;- $B$5,$F$6*B69,IF(B69&lt;=$B$6,$F$12*(B69+$B$5)^3+$F$13*(B69+$B$5)^2+$F$6*(B69+$B$5)+$F$8,$F$9+$F$7*(B69-$B$6))))</f>
        <v/>
      </c>
      <c r="G69" s="10">
        <f>IF(F69="","",$B$10+F69)</f>
        <v/>
      </c>
      <c r="H69" s="10">
        <f>IF(B69="","",$B$9+B69)</f>
        <v/>
      </c>
    </row>
    <row r="70">
      <c r="A70" s="8">
        <f>IF(B70="","",A69+1)</f>
        <v/>
      </c>
      <c r="B70" s="8">
        <f>IF(B69="","",IF(B69+$B$11&lt;=$B$6+1E-9,B69+$B$11,""))</f>
        <v/>
      </c>
      <c r="C70" s="8">
        <f>IF(B70="","",B70+$B$5)</f>
        <v/>
      </c>
      <c r="D70" s="8">
        <f>IF(B70="","",IF(B70&lt;- $B$5,"Left tangent",IF(B70&lt;=$B$6,"Cubic curve","Right tangent")))</f>
        <v/>
      </c>
      <c r="E70" s="9">
        <f>IF(B70="","",IF(B70&lt;- $B$5,$B$7,IF(B70&lt;=$B$6,100*(3*$F$12*(B70+$B$5)^2+2*$F$13*(B70+$B$5)+$F$6),$B$8)))</f>
        <v/>
      </c>
      <c r="F70" s="10">
        <f>IF(B70="","",IF(B70&lt;- $B$5,$F$6*B70,IF(B70&lt;=$B$6,$F$12*(B70+$B$5)^3+$F$13*(B70+$B$5)^2+$F$6*(B70+$B$5)+$F$8,$F$9+$F$7*(B70-$B$6))))</f>
        <v/>
      </c>
      <c r="G70" s="10">
        <f>IF(F70="","",$B$10+F70)</f>
        <v/>
      </c>
      <c r="H70" s="10">
        <f>IF(B70="","",$B$9+B70)</f>
        <v/>
      </c>
    </row>
    <row r="71">
      <c r="A71" s="8">
        <f>IF(B71="","",A70+1)</f>
        <v/>
      </c>
      <c r="B71" s="8">
        <f>IF(B70="","",IF(B70+$B$11&lt;=$B$6+1E-9,B70+$B$11,""))</f>
        <v/>
      </c>
      <c r="C71" s="8">
        <f>IF(B71="","",B71+$B$5)</f>
        <v/>
      </c>
      <c r="D71" s="8">
        <f>IF(B71="","",IF(B71&lt;- $B$5,"Left tangent",IF(B71&lt;=$B$6,"Cubic curve","Right tangent")))</f>
        <v/>
      </c>
      <c r="E71" s="9">
        <f>IF(B71="","",IF(B71&lt;- $B$5,$B$7,IF(B71&lt;=$B$6,100*(3*$F$12*(B71+$B$5)^2+2*$F$13*(B71+$B$5)+$F$6),$B$8)))</f>
        <v/>
      </c>
      <c r="F71" s="10">
        <f>IF(B71="","",IF(B71&lt;- $B$5,$F$6*B71,IF(B71&lt;=$B$6,$F$12*(B71+$B$5)^3+$F$13*(B71+$B$5)^2+$F$6*(B71+$B$5)+$F$8,$F$9+$F$7*(B71-$B$6))))</f>
        <v/>
      </c>
      <c r="G71" s="10">
        <f>IF(F71="","",$B$10+F71)</f>
        <v/>
      </c>
      <c r="H71" s="10">
        <f>IF(B71="","",$B$9+B71)</f>
        <v/>
      </c>
    </row>
    <row r="72">
      <c r="A72" s="8">
        <f>IF(B72="","",A71+1)</f>
        <v/>
      </c>
      <c r="B72" s="8">
        <f>IF(B71="","",IF(B71+$B$11&lt;=$B$6+1E-9,B71+$B$11,""))</f>
        <v/>
      </c>
      <c r="C72" s="8">
        <f>IF(B72="","",B72+$B$5)</f>
        <v/>
      </c>
      <c r="D72" s="8">
        <f>IF(B72="","",IF(B72&lt;- $B$5,"Left tangent",IF(B72&lt;=$B$6,"Cubic curve","Right tangent")))</f>
        <v/>
      </c>
      <c r="E72" s="9">
        <f>IF(B72="","",IF(B72&lt;- $B$5,$B$7,IF(B72&lt;=$B$6,100*(3*$F$12*(B72+$B$5)^2+2*$F$13*(B72+$B$5)+$F$6),$B$8)))</f>
        <v/>
      </c>
      <c r="F72" s="10">
        <f>IF(B72="","",IF(B72&lt;- $B$5,$F$6*B72,IF(B72&lt;=$B$6,$F$12*(B72+$B$5)^3+$F$13*(B72+$B$5)^2+$F$6*(B72+$B$5)+$F$8,$F$9+$F$7*(B72-$B$6))))</f>
        <v/>
      </c>
      <c r="G72" s="10">
        <f>IF(F72="","",$B$10+F72)</f>
        <v/>
      </c>
      <c r="H72" s="10">
        <f>IF(B72="","",$B$9+B72)</f>
        <v/>
      </c>
    </row>
    <row r="73">
      <c r="A73" s="8">
        <f>IF(B73="","",A72+1)</f>
        <v/>
      </c>
      <c r="B73" s="8">
        <f>IF(B72="","",IF(B72+$B$11&lt;=$B$6+1E-9,B72+$B$11,""))</f>
        <v/>
      </c>
      <c r="C73" s="8">
        <f>IF(B73="","",B73+$B$5)</f>
        <v/>
      </c>
      <c r="D73" s="8">
        <f>IF(B73="","",IF(B73&lt;- $B$5,"Left tangent",IF(B73&lt;=$B$6,"Cubic curve","Right tangent")))</f>
        <v/>
      </c>
      <c r="E73" s="9">
        <f>IF(B73="","",IF(B73&lt;- $B$5,$B$7,IF(B73&lt;=$B$6,100*(3*$F$12*(B73+$B$5)^2+2*$F$13*(B73+$B$5)+$F$6),$B$8)))</f>
        <v/>
      </c>
      <c r="F73" s="10">
        <f>IF(B73="","",IF(B73&lt;- $B$5,$F$6*B73,IF(B73&lt;=$B$6,$F$12*(B73+$B$5)^3+$F$13*(B73+$B$5)^2+$F$6*(B73+$B$5)+$F$8,$F$9+$F$7*(B73-$B$6))))</f>
        <v/>
      </c>
      <c r="G73" s="10">
        <f>IF(F73="","",$B$10+F73)</f>
        <v/>
      </c>
      <c r="H73" s="10">
        <f>IF(B73="","",$B$9+B73)</f>
        <v/>
      </c>
    </row>
    <row r="74">
      <c r="A74" s="8">
        <f>IF(B74="","",A73+1)</f>
        <v/>
      </c>
      <c r="B74" s="8">
        <f>IF(B73="","",IF(B73+$B$11&lt;=$B$6+1E-9,B73+$B$11,""))</f>
        <v/>
      </c>
      <c r="C74" s="8">
        <f>IF(B74="","",B74+$B$5)</f>
        <v/>
      </c>
      <c r="D74" s="8">
        <f>IF(B74="","",IF(B74&lt;- $B$5,"Left tangent",IF(B74&lt;=$B$6,"Cubic curve","Right tangent")))</f>
        <v/>
      </c>
      <c r="E74" s="9">
        <f>IF(B74="","",IF(B74&lt;- $B$5,$B$7,IF(B74&lt;=$B$6,100*(3*$F$12*(B74+$B$5)^2+2*$F$13*(B74+$B$5)+$F$6),$B$8)))</f>
        <v/>
      </c>
      <c r="F74" s="10">
        <f>IF(B74="","",IF(B74&lt;- $B$5,$F$6*B74,IF(B74&lt;=$B$6,$F$12*(B74+$B$5)^3+$F$13*(B74+$B$5)^2+$F$6*(B74+$B$5)+$F$8,$F$9+$F$7*(B74-$B$6))))</f>
        <v/>
      </c>
      <c r="G74" s="10">
        <f>IF(F74="","",$B$10+F74)</f>
        <v/>
      </c>
      <c r="H74" s="10">
        <f>IF(B74="","",$B$9+B74)</f>
        <v/>
      </c>
    </row>
    <row r="75">
      <c r="A75" s="8">
        <f>IF(B75="","",A74+1)</f>
        <v/>
      </c>
      <c r="B75" s="8">
        <f>IF(B74="","",IF(B74+$B$11&lt;=$B$6+1E-9,B74+$B$11,""))</f>
        <v/>
      </c>
      <c r="C75" s="8">
        <f>IF(B75="","",B75+$B$5)</f>
        <v/>
      </c>
      <c r="D75" s="8">
        <f>IF(B75="","",IF(B75&lt;- $B$5,"Left tangent",IF(B75&lt;=$B$6,"Cubic curve","Right tangent")))</f>
        <v/>
      </c>
      <c r="E75" s="9">
        <f>IF(B75="","",IF(B75&lt;- $B$5,$B$7,IF(B75&lt;=$B$6,100*(3*$F$12*(B75+$B$5)^2+2*$F$13*(B75+$B$5)+$F$6),$B$8)))</f>
        <v/>
      </c>
      <c r="F75" s="10">
        <f>IF(B75="","",IF(B75&lt;- $B$5,$F$6*B75,IF(B75&lt;=$B$6,$F$12*(B75+$B$5)^3+$F$13*(B75+$B$5)^2+$F$6*(B75+$B$5)+$F$8,$F$9+$F$7*(B75-$B$6))))</f>
        <v/>
      </c>
      <c r="G75" s="10">
        <f>IF(F75="","",$B$10+F75)</f>
        <v/>
      </c>
      <c r="H75" s="10">
        <f>IF(B75="","",$B$9+B75)</f>
        <v/>
      </c>
    </row>
    <row r="76">
      <c r="A76" s="8">
        <f>IF(B76="","",A75+1)</f>
        <v/>
      </c>
      <c r="B76" s="8">
        <f>IF(B75="","",IF(B75+$B$11&lt;=$B$6+1E-9,B75+$B$11,""))</f>
        <v/>
      </c>
      <c r="C76" s="8">
        <f>IF(B76="","",B76+$B$5)</f>
        <v/>
      </c>
      <c r="D76" s="8">
        <f>IF(B76="","",IF(B76&lt;- $B$5,"Left tangent",IF(B76&lt;=$B$6,"Cubic curve","Right tangent")))</f>
        <v/>
      </c>
      <c r="E76" s="9">
        <f>IF(B76="","",IF(B76&lt;- $B$5,$B$7,IF(B76&lt;=$B$6,100*(3*$F$12*(B76+$B$5)^2+2*$F$13*(B76+$B$5)+$F$6),$B$8)))</f>
        <v/>
      </c>
      <c r="F76" s="10">
        <f>IF(B76="","",IF(B76&lt;- $B$5,$F$6*B76,IF(B76&lt;=$B$6,$F$12*(B76+$B$5)^3+$F$13*(B76+$B$5)^2+$F$6*(B76+$B$5)+$F$8,$F$9+$F$7*(B76-$B$6))))</f>
        <v/>
      </c>
      <c r="G76" s="10">
        <f>IF(F76="","",$B$10+F76)</f>
        <v/>
      </c>
      <c r="H76" s="10">
        <f>IF(B76="","",$B$9+B76)</f>
        <v/>
      </c>
    </row>
    <row r="77">
      <c r="A77" s="8">
        <f>IF(B77="","",A76+1)</f>
        <v/>
      </c>
      <c r="B77" s="8">
        <f>IF(B76="","",IF(B76+$B$11&lt;=$B$6+1E-9,B76+$B$11,""))</f>
        <v/>
      </c>
      <c r="C77" s="8">
        <f>IF(B77="","",B77+$B$5)</f>
        <v/>
      </c>
      <c r="D77" s="8">
        <f>IF(B77="","",IF(B77&lt;- $B$5,"Left tangent",IF(B77&lt;=$B$6,"Cubic curve","Right tangent")))</f>
        <v/>
      </c>
      <c r="E77" s="9">
        <f>IF(B77="","",IF(B77&lt;- $B$5,$B$7,IF(B77&lt;=$B$6,100*(3*$F$12*(B77+$B$5)^2+2*$F$13*(B77+$B$5)+$F$6),$B$8)))</f>
        <v/>
      </c>
      <c r="F77" s="10">
        <f>IF(B77="","",IF(B77&lt;- $B$5,$F$6*B77,IF(B77&lt;=$B$6,$F$12*(B77+$B$5)^3+$F$13*(B77+$B$5)^2+$F$6*(B77+$B$5)+$F$8,$F$9+$F$7*(B77-$B$6))))</f>
        <v/>
      </c>
      <c r="G77" s="10">
        <f>IF(F77="","",$B$10+F77)</f>
        <v/>
      </c>
      <c r="H77" s="10">
        <f>IF(B77="","",$B$9+B77)</f>
        <v/>
      </c>
    </row>
    <row r="78">
      <c r="A78" s="8">
        <f>IF(B78="","",A77+1)</f>
        <v/>
      </c>
      <c r="B78" s="8">
        <f>IF(B77="","",IF(B77+$B$11&lt;=$B$6+1E-9,B77+$B$11,""))</f>
        <v/>
      </c>
      <c r="C78" s="8">
        <f>IF(B78="","",B78+$B$5)</f>
        <v/>
      </c>
      <c r="D78" s="8">
        <f>IF(B78="","",IF(B78&lt;- $B$5,"Left tangent",IF(B78&lt;=$B$6,"Cubic curve","Right tangent")))</f>
        <v/>
      </c>
      <c r="E78" s="9">
        <f>IF(B78="","",IF(B78&lt;- $B$5,$B$7,IF(B78&lt;=$B$6,100*(3*$F$12*(B78+$B$5)^2+2*$F$13*(B78+$B$5)+$F$6),$B$8)))</f>
        <v/>
      </c>
      <c r="F78" s="10">
        <f>IF(B78="","",IF(B78&lt;- $B$5,$F$6*B78,IF(B78&lt;=$B$6,$F$12*(B78+$B$5)^3+$F$13*(B78+$B$5)^2+$F$6*(B78+$B$5)+$F$8,$F$9+$F$7*(B78-$B$6))))</f>
        <v/>
      </c>
      <c r="G78" s="10">
        <f>IF(F78="","",$B$10+F78)</f>
        <v/>
      </c>
      <c r="H78" s="10">
        <f>IF(B78="","",$B$9+B78)</f>
        <v/>
      </c>
    </row>
    <row r="79">
      <c r="A79" s="8">
        <f>IF(B79="","",A78+1)</f>
        <v/>
      </c>
      <c r="B79" s="8">
        <f>IF(B78="","",IF(B78+$B$11&lt;=$B$6+1E-9,B78+$B$11,""))</f>
        <v/>
      </c>
      <c r="C79" s="8">
        <f>IF(B79="","",B79+$B$5)</f>
        <v/>
      </c>
      <c r="D79" s="8">
        <f>IF(B79="","",IF(B79&lt;- $B$5,"Left tangent",IF(B79&lt;=$B$6,"Cubic curve","Right tangent")))</f>
        <v/>
      </c>
      <c r="E79" s="9">
        <f>IF(B79="","",IF(B79&lt;- $B$5,$B$7,IF(B79&lt;=$B$6,100*(3*$F$12*(B79+$B$5)^2+2*$F$13*(B79+$B$5)+$F$6),$B$8)))</f>
        <v/>
      </c>
      <c r="F79" s="10">
        <f>IF(B79="","",IF(B79&lt;- $B$5,$F$6*B79,IF(B79&lt;=$B$6,$F$12*(B79+$B$5)^3+$F$13*(B79+$B$5)^2+$F$6*(B79+$B$5)+$F$8,$F$9+$F$7*(B79-$B$6))))</f>
        <v/>
      </c>
      <c r="G79" s="10">
        <f>IF(F79="","",$B$10+F79)</f>
        <v/>
      </c>
      <c r="H79" s="10">
        <f>IF(B79="","",$B$9+B79)</f>
        <v/>
      </c>
    </row>
    <row r="80">
      <c r="A80" s="8">
        <f>IF(B80="","",A79+1)</f>
        <v/>
      </c>
      <c r="B80" s="8">
        <f>IF(B79="","",IF(B79+$B$11&lt;=$B$6+1E-9,B79+$B$11,""))</f>
        <v/>
      </c>
      <c r="C80" s="8">
        <f>IF(B80="","",B80+$B$5)</f>
        <v/>
      </c>
      <c r="D80" s="8">
        <f>IF(B80="","",IF(B80&lt;- $B$5,"Left tangent",IF(B80&lt;=$B$6,"Cubic curve","Right tangent")))</f>
        <v/>
      </c>
      <c r="E80" s="9">
        <f>IF(B80="","",IF(B80&lt;- $B$5,$B$7,IF(B80&lt;=$B$6,100*(3*$F$12*(B80+$B$5)^2+2*$F$13*(B80+$B$5)+$F$6),$B$8)))</f>
        <v/>
      </c>
      <c r="F80" s="10">
        <f>IF(B80="","",IF(B80&lt;- $B$5,$F$6*B80,IF(B80&lt;=$B$6,$F$12*(B80+$B$5)^3+$F$13*(B80+$B$5)^2+$F$6*(B80+$B$5)+$F$8,$F$9+$F$7*(B80-$B$6))))</f>
        <v/>
      </c>
      <c r="G80" s="10">
        <f>IF(F80="","",$B$10+F80)</f>
        <v/>
      </c>
      <c r="H80" s="10">
        <f>IF(B80="","",$B$9+B80)</f>
        <v/>
      </c>
    </row>
    <row r="81">
      <c r="A81" s="8">
        <f>IF(B81="","",A80+1)</f>
        <v/>
      </c>
      <c r="B81" s="8">
        <f>IF(B80="","",IF(B80+$B$11&lt;=$B$6+1E-9,B80+$B$11,""))</f>
        <v/>
      </c>
      <c r="C81" s="8">
        <f>IF(B81="","",B81+$B$5)</f>
        <v/>
      </c>
      <c r="D81" s="8">
        <f>IF(B81="","",IF(B81&lt;- $B$5,"Left tangent",IF(B81&lt;=$B$6,"Cubic curve","Right tangent")))</f>
        <v/>
      </c>
      <c r="E81" s="9">
        <f>IF(B81="","",IF(B81&lt;- $B$5,$B$7,IF(B81&lt;=$B$6,100*(3*$F$12*(B81+$B$5)^2+2*$F$13*(B81+$B$5)+$F$6),$B$8)))</f>
        <v/>
      </c>
      <c r="F81" s="10">
        <f>IF(B81="","",IF(B81&lt;- $B$5,$F$6*B81,IF(B81&lt;=$B$6,$F$12*(B81+$B$5)^3+$F$13*(B81+$B$5)^2+$F$6*(B81+$B$5)+$F$8,$F$9+$F$7*(B81-$B$6))))</f>
        <v/>
      </c>
      <c r="G81" s="10">
        <f>IF(F81="","",$B$10+F81)</f>
        <v/>
      </c>
      <c r="H81" s="10">
        <f>IF(B81="","",$B$9+B81)</f>
        <v/>
      </c>
    </row>
    <row r="82">
      <c r="A82" s="8">
        <f>IF(B82="","",A81+1)</f>
        <v/>
      </c>
      <c r="B82" s="8">
        <f>IF(B81="","",IF(B81+$B$11&lt;=$B$6+1E-9,B81+$B$11,""))</f>
        <v/>
      </c>
      <c r="C82" s="8">
        <f>IF(B82="","",B82+$B$5)</f>
        <v/>
      </c>
      <c r="D82" s="8">
        <f>IF(B82="","",IF(B82&lt;- $B$5,"Left tangent",IF(B82&lt;=$B$6,"Cubic curve","Right tangent")))</f>
        <v/>
      </c>
      <c r="E82" s="9">
        <f>IF(B82="","",IF(B82&lt;- $B$5,$B$7,IF(B82&lt;=$B$6,100*(3*$F$12*(B82+$B$5)^2+2*$F$13*(B82+$B$5)+$F$6),$B$8)))</f>
        <v/>
      </c>
      <c r="F82" s="10">
        <f>IF(B82="","",IF(B82&lt;- $B$5,$F$6*B82,IF(B82&lt;=$B$6,$F$12*(B82+$B$5)^3+$F$13*(B82+$B$5)^2+$F$6*(B82+$B$5)+$F$8,$F$9+$F$7*(B82-$B$6))))</f>
        <v/>
      </c>
      <c r="G82" s="10">
        <f>IF(F82="","",$B$10+F82)</f>
        <v/>
      </c>
      <c r="H82" s="10">
        <f>IF(B82="","",$B$9+B82)</f>
        <v/>
      </c>
    </row>
    <row r="83">
      <c r="A83" s="8">
        <f>IF(B83="","",A82+1)</f>
        <v/>
      </c>
      <c r="B83" s="8">
        <f>IF(B82="","",IF(B82+$B$11&lt;=$B$6+1E-9,B82+$B$11,""))</f>
        <v/>
      </c>
      <c r="C83" s="8">
        <f>IF(B83="","",B83+$B$5)</f>
        <v/>
      </c>
      <c r="D83" s="8">
        <f>IF(B83="","",IF(B83&lt;- $B$5,"Left tangent",IF(B83&lt;=$B$6,"Cubic curve","Right tangent")))</f>
        <v/>
      </c>
      <c r="E83" s="9">
        <f>IF(B83="","",IF(B83&lt;- $B$5,$B$7,IF(B83&lt;=$B$6,100*(3*$F$12*(B83+$B$5)^2+2*$F$13*(B83+$B$5)+$F$6),$B$8)))</f>
        <v/>
      </c>
      <c r="F83" s="10">
        <f>IF(B83="","",IF(B83&lt;- $B$5,$F$6*B83,IF(B83&lt;=$B$6,$F$12*(B83+$B$5)^3+$F$13*(B83+$B$5)^2+$F$6*(B83+$B$5)+$F$8,$F$9+$F$7*(B83-$B$6))))</f>
        <v/>
      </c>
      <c r="G83" s="10">
        <f>IF(F83="","",$B$10+F83)</f>
        <v/>
      </c>
      <c r="H83" s="10">
        <f>IF(B83="","",$B$9+B83)</f>
        <v/>
      </c>
    </row>
    <row r="84">
      <c r="A84" s="8">
        <f>IF(B84="","",A83+1)</f>
        <v/>
      </c>
      <c r="B84" s="8">
        <f>IF(B83="","",IF(B83+$B$11&lt;=$B$6+1E-9,B83+$B$11,""))</f>
        <v/>
      </c>
      <c r="C84" s="8">
        <f>IF(B84="","",B84+$B$5)</f>
        <v/>
      </c>
      <c r="D84" s="8">
        <f>IF(B84="","",IF(B84&lt;- $B$5,"Left tangent",IF(B84&lt;=$B$6,"Cubic curve","Right tangent")))</f>
        <v/>
      </c>
      <c r="E84" s="9">
        <f>IF(B84="","",IF(B84&lt;- $B$5,$B$7,IF(B84&lt;=$B$6,100*(3*$F$12*(B84+$B$5)^2+2*$F$13*(B84+$B$5)+$F$6),$B$8)))</f>
        <v/>
      </c>
      <c r="F84" s="10">
        <f>IF(B84="","",IF(B84&lt;- $B$5,$F$6*B84,IF(B84&lt;=$B$6,$F$12*(B84+$B$5)^3+$F$13*(B84+$B$5)^2+$F$6*(B84+$B$5)+$F$8,$F$9+$F$7*(B84-$B$6))))</f>
        <v/>
      </c>
      <c r="G84" s="10">
        <f>IF(F84="","",$B$10+F84)</f>
        <v/>
      </c>
      <c r="H84" s="10">
        <f>IF(B84="","",$B$9+B84)</f>
        <v/>
      </c>
    </row>
    <row r="85">
      <c r="A85" s="8">
        <f>IF(B85="","",A84+1)</f>
        <v/>
      </c>
      <c r="B85" s="8">
        <f>IF(B84="","",IF(B84+$B$11&lt;=$B$6+1E-9,B84+$B$11,""))</f>
        <v/>
      </c>
      <c r="C85" s="8">
        <f>IF(B85="","",B85+$B$5)</f>
        <v/>
      </c>
      <c r="D85" s="8">
        <f>IF(B85="","",IF(B85&lt;- $B$5,"Left tangent",IF(B85&lt;=$B$6,"Cubic curve","Right tangent")))</f>
        <v/>
      </c>
      <c r="E85" s="9">
        <f>IF(B85="","",IF(B85&lt;- $B$5,$B$7,IF(B85&lt;=$B$6,100*(3*$F$12*(B85+$B$5)^2+2*$F$13*(B85+$B$5)+$F$6),$B$8)))</f>
        <v/>
      </c>
      <c r="F85" s="10">
        <f>IF(B85="","",IF(B85&lt;- $B$5,$F$6*B85,IF(B85&lt;=$B$6,$F$12*(B85+$B$5)^3+$F$13*(B85+$B$5)^2+$F$6*(B85+$B$5)+$F$8,$F$9+$F$7*(B85-$B$6))))</f>
        <v/>
      </c>
      <c r="G85" s="10">
        <f>IF(F85="","",$B$10+F85)</f>
        <v/>
      </c>
      <c r="H85" s="10">
        <f>IF(B85="","",$B$9+B85)</f>
        <v/>
      </c>
    </row>
    <row r="86">
      <c r="A86" s="8">
        <f>IF(B86="","",A85+1)</f>
        <v/>
      </c>
      <c r="B86" s="8">
        <f>IF(B85="","",IF(B85+$B$11&lt;=$B$6+1E-9,B85+$B$11,""))</f>
        <v/>
      </c>
      <c r="C86" s="8">
        <f>IF(B86="","",B86+$B$5)</f>
        <v/>
      </c>
      <c r="D86" s="8">
        <f>IF(B86="","",IF(B86&lt;- $B$5,"Left tangent",IF(B86&lt;=$B$6,"Cubic curve","Right tangent")))</f>
        <v/>
      </c>
      <c r="E86" s="9">
        <f>IF(B86="","",IF(B86&lt;- $B$5,$B$7,IF(B86&lt;=$B$6,100*(3*$F$12*(B86+$B$5)^2+2*$F$13*(B86+$B$5)+$F$6),$B$8)))</f>
        <v/>
      </c>
      <c r="F86" s="10">
        <f>IF(B86="","",IF(B86&lt;- $B$5,$F$6*B86,IF(B86&lt;=$B$6,$F$12*(B86+$B$5)^3+$F$13*(B86+$B$5)^2+$F$6*(B86+$B$5)+$F$8,$F$9+$F$7*(B86-$B$6))))</f>
        <v/>
      </c>
      <c r="G86" s="10">
        <f>IF(F86="","",$B$10+F86)</f>
        <v/>
      </c>
      <c r="H86" s="10">
        <f>IF(B86="","",$B$9+B86)</f>
        <v/>
      </c>
    </row>
    <row r="87">
      <c r="A87" s="8">
        <f>IF(B87="","",A86+1)</f>
        <v/>
      </c>
      <c r="B87" s="8">
        <f>IF(B86="","",IF(B86+$B$11&lt;=$B$6+1E-9,B86+$B$11,""))</f>
        <v/>
      </c>
      <c r="C87" s="8">
        <f>IF(B87="","",B87+$B$5)</f>
        <v/>
      </c>
      <c r="D87" s="8">
        <f>IF(B87="","",IF(B87&lt;- $B$5,"Left tangent",IF(B87&lt;=$B$6,"Cubic curve","Right tangent")))</f>
        <v/>
      </c>
      <c r="E87" s="9">
        <f>IF(B87="","",IF(B87&lt;- $B$5,$B$7,IF(B87&lt;=$B$6,100*(3*$F$12*(B87+$B$5)^2+2*$F$13*(B87+$B$5)+$F$6),$B$8)))</f>
        <v/>
      </c>
      <c r="F87" s="10">
        <f>IF(B87="","",IF(B87&lt;- $B$5,$F$6*B87,IF(B87&lt;=$B$6,$F$12*(B87+$B$5)^3+$F$13*(B87+$B$5)^2+$F$6*(B87+$B$5)+$F$8,$F$9+$F$7*(B87-$B$6))))</f>
        <v/>
      </c>
      <c r="G87" s="10">
        <f>IF(F87="","",$B$10+F87)</f>
        <v/>
      </c>
      <c r="H87" s="10">
        <f>IF(B87="","",$B$9+B87)</f>
        <v/>
      </c>
    </row>
    <row r="88">
      <c r="A88" s="8">
        <f>IF(B88="","",A87+1)</f>
        <v/>
      </c>
      <c r="B88" s="8">
        <f>IF(B87="","",IF(B87+$B$11&lt;=$B$6+1E-9,B87+$B$11,""))</f>
        <v/>
      </c>
      <c r="C88" s="8">
        <f>IF(B88="","",B88+$B$5)</f>
        <v/>
      </c>
      <c r="D88" s="8">
        <f>IF(B88="","",IF(B88&lt;- $B$5,"Left tangent",IF(B88&lt;=$B$6,"Cubic curve","Right tangent")))</f>
        <v/>
      </c>
      <c r="E88" s="9">
        <f>IF(B88="","",IF(B88&lt;- $B$5,$B$7,IF(B88&lt;=$B$6,100*(3*$F$12*(B88+$B$5)^2+2*$F$13*(B88+$B$5)+$F$6),$B$8)))</f>
        <v/>
      </c>
      <c r="F88" s="10">
        <f>IF(B88="","",IF(B88&lt;- $B$5,$F$6*B88,IF(B88&lt;=$B$6,$F$12*(B88+$B$5)^3+$F$13*(B88+$B$5)^2+$F$6*(B88+$B$5)+$F$8,$F$9+$F$7*(B88-$B$6))))</f>
        <v/>
      </c>
      <c r="G88" s="10">
        <f>IF(F88="","",$B$10+F88)</f>
        <v/>
      </c>
      <c r="H88" s="10">
        <f>IF(B88="","",$B$9+B88)</f>
        <v/>
      </c>
    </row>
    <row r="89">
      <c r="A89" s="8">
        <f>IF(B89="","",A88+1)</f>
        <v/>
      </c>
      <c r="B89" s="8">
        <f>IF(B88="","",IF(B88+$B$11&lt;=$B$6+1E-9,B88+$B$11,""))</f>
        <v/>
      </c>
      <c r="C89" s="8">
        <f>IF(B89="","",B89+$B$5)</f>
        <v/>
      </c>
      <c r="D89" s="8">
        <f>IF(B89="","",IF(B89&lt;- $B$5,"Left tangent",IF(B89&lt;=$B$6,"Cubic curve","Right tangent")))</f>
        <v/>
      </c>
      <c r="E89" s="9">
        <f>IF(B89="","",IF(B89&lt;- $B$5,$B$7,IF(B89&lt;=$B$6,100*(3*$F$12*(B89+$B$5)^2+2*$F$13*(B89+$B$5)+$F$6),$B$8)))</f>
        <v/>
      </c>
      <c r="F89" s="10">
        <f>IF(B89="","",IF(B89&lt;- $B$5,$F$6*B89,IF(B89&lt;=$B$6,$F$12*(B89+$B$5)^3+$F$13*(B89+$B$5)^2+$F$6*(B89+$B$5)+$F$8,$F$9+$F$7*(B89-$B$6))))</f>
        <v/>
      </c>
      <c r="G89" s="10">
        <f>IF(F89="","",$B$10+F89)</f>
        <v/>
      </c>
      <c r="H89" s="10">
        <f>IF(B89="","",$B$9+B89)</f>
        <v/>
      </c>
    </row>
    <row r="90">
      <c r="A90" s="8">
        <f>IF(B90="","",A89+1)</f>
        <v/>
      </c>
      <c r="B90" s="8">
        <f>IF(B89="","",IF(B89+$B$11&lt;=$B$6+1E-9,B89+$B$11,""))</f>
        <v/>
      </c>
      <c r="C90" s="8">
        <f>IF(B90="","",B90+$B$5)</f>
        <v/>
      </c>
      <c r="D90" s="8">
        <f>IF(B90="","",IF(B90&lt;- $B$5,"Left tangent",IF(B90&lt;=$B$6,"Cubic curve","Right tangent")))</f>
        <v/>
      </c>
      <c r="E90" s="9">
        <f>IF(B90="","",IF(B90&lt;- $B$5,$B$7,IF(B90&lt;=$B$6,100*(3*$F$12*(B90+$B$5)^2+2*$F$13*(B90+$B$5)+$F$6),$B$8)))</f>
        <v/>
      </c>
      <c r="F90" s="10">
        <f>IF(B90="","",IF(B90&lt;- $B$5,$F$6*B90,IF(B90&lt;=$B$6,$F$12*(B90+$B$5)^3+$F$13*(B90+$B$5)^2+$F$6*(B90+$B$5)+$F$8,$F$9+$F$7*(B90-$B$6))))</f>
        <v/>
      </c>
      <c r="G90" s="10">
        <f>IF(F90="","",$B$10+F90)</f>
        <v/>
      </c>
      <c r="H90" s="10">
        <f>IF(B90="","",$B$9+B90)</f>
        <v/>
      </c>
    </row>
    <row r="91">
      <c r="A91" s="8">
        <f>IF(B91="","",A90+1)</f>
        <v/>
      </c>
      <c r="B91" s="8">
        <f>IF(B90="","",IF(B90+$B$11&lt;=$B$6+1E-9,B90+$B$11,""))</f>
        <v/>
      </c>
      <c r="C91" s="8">
        <f>IF(B91="","",B91+$B$5)</f>
        <v/>
      </c>
      <c r="D91" s="8">
        <f>IF(B91="","",IF(B91&lt;- $B$5,"Left tangent",IF(B91&lt;=$B$6,"Cubic curve","Right tangent")))</f>
        <v/>
      </c>
      <c r="E91" s="9">
        <f>IF(B91="","",IF(B91&lt;- $B$5,$B$7,IF(B91&lt;=$B$6,100*(3*$F$12*(B91+$B$5)^2+2*$F$13*(B91+$B$5)+$F$6),$B$8)))</f>
        <v/>
      </c>
      <c r="F91" s="10">
        <f>IF(B91="","",IF(B91&lt;- $B$5,$F$6*B91,IF(B91&lt;=$B$6,$F$12*(B91+$B$5)^3+$F$13*(B91+$B$5)^2+$F$6*(B91+$B$5)+$F$8,$F$9+$F$7*(B91-$B$6))))</f>
        <v/>
      </c>
      <c r="G91" s="10">
        <f>IF(F91="","",$B$10+F91)</f>
        <v/>
      </c>
      <c r="H91" s="10">
        <f>IF(B91="","",$B$9+B91)</f>
        <v/>
      </c>
    </row>
    <row r="92">
      <c r="A92" s="8">
        <f>IF(B92="","",A91+1)</f>
        <v/>
      </c>
      <c r="B92" s="8">
        <f>IF(B91="","",IF(B91+$B$11&lt;=$B$6+1E-9,B91+$B$11,""))</f>
        <v/>
      </c>
      <c r="C92" s="8">
        <f>IF(B92="","",B92+$B$5)</f>
        <v/>
      </c>
      <c r="D92" s="8">
        <f>IF(B92="","",IF(B92&lt;- $B$5,"Left tangent",IF(B92&lt;=$B$6,"Cubic curve","Right tangent")))</f>
        <v/>
      </c>
      <c r="E92" s="9">
        <f>IF(B92="","",IF(B92&lt;- $B$5,$B$7,IF(B92&lt;=$B$6,100*(3*$F$12*(B92+$B$5)^2+2*$F$13*(B92+$B$5)+$F$6),$B$8)))</f>
        <v/>
      </c>
      <c r="F92" s="10">
        <f>IF(B92="","",IF(B92&lt;- $B$5,$F$6*B92,IF(B92&lt;=$B$6,$F$12*(B92+$B$5)^3+$F$13*(B92+$B$5)^2+$F$6*(B92+$B$5)+$F$8,$F$9+$F$7*(B92-$B$6))))</f>
        <v/>
      </c>
      <c r="G92" s="10">
        <f>IF(F92="","",$B$10+F92)</f>
        <v/>
      </c>
      <c r="H92" s="10">
        <f>IF(B92="","",$B$9+B92)</f>
        <v/>
      </c>
    </row>
    <row r="93">
      <c r="A93" s="8">
        <f>IF(B93="","",A92+1)</f>
        <v/>
      </c>
      <c r="B93" s="8">
        <f>IF(B92="","",IF(B92+$B$11&lt;=$B$6+1E-9,B92+$B$11,""))</f>
        <v/>
      </c>
      <c r="C93" s="8">
        <f>IF(B93="","",B93+$B$5)</f>
        <v/>
      </c>
      <c r="D93" s="8">
        <f>IF(B93="","",IF(B93&lt;- $B$5,"Left tangent",IF(B93&lt;=$B$6,"Cubic curve","Right tangent")))</f>
        <v/>
      </c>
      <c r="E93" s="9">
        <f>IF(B93="","",IF(B93&lt;- $B$5,$B$7,IF(B93&lt;=$B$6,100*(3*$F$12*(B93+$B$5)^2+2*$F$13*(B93+$B$5)+$F$6),$B$8)))</f>
        <v/>
      </c>
      <c r="F93" s="10">
        <f>IF(B93="","",IF(B93&lt;- $B$5,$F$6*B93,IF(B93&lt;=$B$6,$F$12*(B93+$B$5)^3+$F$13*(B93+$B$5)^2+$F$6*(B93+$B$5)+$F$8,$F$9+$F$7*(B93-$B$6))))</f>
        <v/>
      </c>
      <c r="G93" s="10">
        <f>IF(F93="","",$B$10+F93)</f>
        <v/>
      </c>
      <c r="H93" s="10">
        <f>IF(B93="","",$B$9+B93)</f>
        <v/>
      </c>
    </row>
    <row r="94">
      <c r="A94" s="8">
        <f>IF(B94="","",A93+1)</f>
        <v/>
      </c>
      <c r="B94" s="8">
        <f>IF(B93="","",IF(B93+$B$11&lt;=$B$6+1E-9,B93+$B$11,""))</f>
        <v/>
      </c>
      <c r="C94" s="8">
        <f>IF(B94="","",B94+$B$5)</f>
        <v/>
      </c>
      <c r="D94" s="8">
        <f>IF(B94="","",IF(B94&lt;- $B$5,"Left tangent",IF(B94&lt;=$B$6,"Cubic curve","Right tangent")))</f>
        <v/>
      </c>
      <c r="E94" s="9">
        <f>IF(B94="","",IF(B94&lt;- $B$5,$B$7,IF(B94&lt;=$B$6,100*(3*$F$12*(B94+$B$5)^2+2*$F$13*(B94+$B$5)+$F$6),$B$8)))</f>
        <v/>
      </c>
      <c r="F94" s="10">
        <f>IF(B94="","",IF(B94&lt;- $B$5,$F$6*B94,IF(B94&lt;=$B$6,$F$12*(B94+$B$5)^3+$F$13*(B94+$B$5)^2+$F$6*(B94+$B$5)+$F$8,$F$9+$F$7*(B94-$B$6))))</f>
        <v/>
      </c>
      <c r="G94" s="10">
        <f>IF(F94="","",$B$10+F94)</f>
        <v/>
      </c>
      <c r="H94" s="10">
        <f>IF(B94="","",$B$9+B94)</f>
        <v/>
      </c>
    </row>
    <row r="95">
      <c r="A95" s="8">
        <f>IF(B95="","",A94+1)</f>
        <v/>
      </c>
      <c r="B95" s="8">
        <f>IF(B94="","",IF(B94+$B$11&lt;=$B$6+1E-9,B94+$B$11,""))</f>
        <v/>
      </c>
      <c r="C95" s="8">
        <f>IF(B95="","",B95+$B$5)</f>
        <v/>
      </c>
      <c r="D95" s="8">
        <f>IF(B95="","",IF(B95&lt;- $B$5,"Left tangent",IF(B95&lt;=$B$6,"Cubic curve","Right tangent")))</f>
        <v/>
      </c>
      <c r="E95" s="9">
        <f>IF(B95="","",IF(B95&lt;- $B$5,$B$7,IF(B95&lt;=$B$6,100*(3*$F$12*(B95+$B$5)^2+2*$F$13*(B95+$B$5)+$F$6),$B$8)))</f>
        <v/>
      </c>
      <c r="F95" s="10">
        <f>IF(B95="","",IF(B95&lt;- $B$5,$F$6*B95,IF(B95&lt;=$B$6,$F$12*(B95+$B$5)^3+$F$13*(B95+$B$5)^2+$F$6*(B95+$B$5)+$F$8,$F$9+$F$7*(B95-$B$6))))</f>
        <v/>
      </c>
      <c r="G95" s="10">
        <f>IF(F95="","",$B$10+F95)</f>
        <v/>
      </c>
      <c r="H95" s="10">
        <f>IF(B95="","",$B$9+B95)</f>
        <v/>
      </c>
    </row>
    <row r="96">
      <c r="A96" s="8">
        <f>IF(B96="","",A95+1)</f>
        <v/>
      </c>
      <c r="B96" s="8">
        <f>IF(B95="","",IF(B95+$B$11&lt;=$B$6+1E-9,B95+$B$11,""))</f>
        <v/>
      </c>
      <c r="C96" s="8">
        <f>IF(B96="","",B96+$B$5)</f>
        <v/>
      </c>
      <c r="D96" s="8">
        <f>IF(B96="","",IF(B96&lt;- $B$5,"Left tangent",IF(B96&lt;=$B$6,"Cubic curve","Right tangent")))</f>
        <v/>
      </c>
      <c r="E96" s="9">
        <f>IF(B96="","",IF(B96&lt;- $B$5,$B$7,IF(B96&lt;=$B$6,100*(3*$F$12*(B96+$B$5)^2+2*$F$13*(B96+$B$5)+$F$6),$B$8)))</f>
        <v/>
      </c>
      <c r="F96" s="10">
        <f>IF(B96="","",IF(B96&lt;- $B$5,$F$6*B96,IF(B96&lt;=$B$6,$F$12*(B96+$B$5)^3+$F$13*(B96+$B$5)^2+$F$6*(B96+$B$5)+$F$8,$F$9+$F$7*(B96-$B$6))))</f>
        <v/>
      </c>
      <c r="G96" s="10">
        <f>IF(F96="","",$B$10+F96)</f>
        <v/>
      </c>
      <c r="H96" s="10">
        <f>IF(B96="","",$B$9+B96)</f>
        <v/>
      </c>
    </row>
    <row r="97">
      <c r="A97" s="8">
        <f>IF(B97="","",A96+1)</f>
        <v/>
      </c>
      <c r="B97" s="8">
        <f>IF(B96="","",IF(B96+$B$11&lt;=$B$6+1E-9,B96+$B$11,""))</f>
        <v/>
      </c>
      <c r="C97" s="8">
        <f>IF(B97="","",B97+$B$5)</f>
        <v/>
      </c>
      <c r="D97" s="8">
        <f>IF(B97="","",IF(B97&lt;- $B$5,"Left tangent",IF(B97&lt;=$B$6,"Cubic curve","Right tangent")))</f>
        <v/>
      </c>
      <c r="E97" s="9">
        <f>IF(B97="","",IF(B97&lt;- $B$5,$B$7,IF(B97&lt;=$B$6,100*(3*$F$12*(B97+$B$5)^2+2*$F$13*(B97+$B$5)+$F$6),$B$8)))</f>
        <v/>
      </c>
      <c r="F97" s="10">
        <f>IF(B97="","",IF(B97&lt;- $B$5,$F$6*B97,IF(B97&lt;=$B$6,$F$12*(B97+$B$5)^3+$F$13*(B97+$B$5)^2+$F$6*(B97+$B$5)+$F$8,$F$9+$F$7*(B97-$B$6))))</f>
        <v/>
      </c>
      <c r="G97" s="10">
        <f>IF(F97="","",$B$10+F97)</f>
        <v/>
      </c>
      <c r="H97" s="10">
        <f>IF(B97="","",$B$9+B97)</f>
        <v/>
      </c>
    </row>
    <row r="98">
      <c r="A98" s="8">
        <f>IF(B98="","",A97+1)</f>
        <v/>
      </c>
      <c r="B98" s="8">
        <f>IF(B97="","",IF(B97+$B$11&lt;=$B$6+1E-9,B97+$B$11,""))</f>
        <v/>
      </c>
      <c r="C98" s="8">
        <f>IF(B98="","",B98+$B$5)</f>
        <v/>
      </c>
      <c r="D98" s="8">
        <f>IF(B98="","",IF(B98&lt;- $B$5,"Left tangent",IF(B98&lt;=$B$6,"Cubic curve","Right tangent")))</f>
        <v/>
      </c>
      <c r="E98" s="9">
        <f>IF(B98="","",IF(B98&lt;- $B$5,$B$7,IF(B98&lt;=$B$6,100*(3*$F$12*(B98+$B$5)^2+2*$F$13*(B98+$B$5)+$F$6),$B$8)))</f>
        <v/>
      </c>
      <c r="F98" s="10">
        <f>IF(B98="","",IF(B98&lt;- $B$5,$F$6*B98,IF(B98&lt;=$B$6,$F$12*(B98+$B$5)^3+$F$13*(B98+$B$5)^2+$F$6*(B98+$B$5)+$F$8,$F$9+$F$7*(B98-$B$6))))</f>
        <v/>
      </c>
      <c r="G98" s="10">
        <f>IF(F98="","",$B$10+F98)</f>
        <v/>
      </c>
      <c r="H98" s="10">
        <f>IF(B98="","",$B$9+B98)</f>
        <v/>
      </c>
    </row>
    <row r="99">
      <c r="A99" s="8">
        <f>IF(B99="","",A98+1)</f>
        <v/>
      </c>
      <c r="B99" s="8">
        <f>IF(B98="","",IF(B98+$B$11&lt;=$B$6+1E-9,B98+$B$11,""))</f>
        <v/>
      </c>
      <c r="C99" s="8">
        <f>IF(B99="","",B99+$B$5)</f>
        <v/>
      </c>
      <c r="D99" s="8">
        <f>IF(B99="","",IF(B99&lt;- $B$5,"Left tangent",IF(B99&lt;=$B$6,"Cubic curve","Right tangent")))</f>
        <v/>
      </c>
      <c r="E99" s="9">
        <f>IF(B99="","",IF(B99&lt;- $B$5,$B$7,IF(B99&lt;=$B$6,100*(3*$F$12*(B99+$B$5)^2+2*$F$13*(B99+$B$5)+$F$6),$B$8)))</f>
        <v/>
      </c>
      <c r="F99" s="10">
        <f>IF(B99="","",IF(B99&lt;- $B$5,$F$6*B99,IF(B99&lt;=$B$6,$F$12*(B99+$B$5)^3+$F$13*(B99+$B$5)^2+$F$6*(B99+$B$5)+$F$8,$F$9+$F$7*(B99-$B$6))))</f>
        <v/>
      </c>
      <c r="G99" s="10">
        <f>IF(F99="","",$B$10+F99)</f>
        <v/>
      </c>
      <c r="H99" s="10">
        <f>IF(B99="","",$B$9+B99)</f>
        <v/>
      </c>
    </row>
    <row r="100">
      <c r="A100" s="8">
        <f>IF(B100="","",A99+1)</f>
        <v/>
      </c>
      <c r="B100" s="8">
        <f>IF(B99="","",IF(B99+$B$11&lt;=$B$6+1E-9,B99+$B$11,""))</f>
        <v/>
      </c>
      <c r="C100" s="8">
        <f>IF(B100="","",B100+$B$5)</f>
        <v/>
      </c>
      <c r="D100" s="8">
        <f>IF(B100="","",IF(B100&lt;- $B$5,"Left tangent",IF(B100&lt;=$B$6,"Cubic curve","Right tangent")))</f>
        <v/>
      </c>
      <c r="E100" s="9">
        <f>IF(B100="","",IF(B100&lt;- $B$5,$B$7,IF(B100&lt;=$B$6,100*(3*$F$12*(B100+$B$5)^2+2*$F$13*(B100+$B$5)+$F$6),$B$8)))</f>
        <v/>
      </c>
      <c r="F100" s="10">
        <f>IF(B100="","",IF(B100&lt;- $B$5,$F$6*B100,IF(B100&lt;=$B$6,$F$12*(B100+$B$5)^3+$F$13*(B100+$B$5)^2+$F$6*(B100+$B$5)+$F$8,$F$9+$F$7*(B100-$B$6))))</f>
        <v/>
      </c>
      <c r="G100" s="10">
        <f>IF(F100="","",$B$10+F100)</f>
        <v/>
      </c>
      <c r="H100" s="10">
        <f>IF(B100="","",$B$9+B100)</f>
        <v/>
      </c>
    </row>
    <row r="101">
      <c r="A101" s="8">
        <f>IF(B101="","",A100+1)</f>
        <v/>
      </c>
      <c r="B101" s="8">
        <f>IF(B100="","",IF(B100+$B$11&lt;=$B$6+1E-9,B100+$B$11,""))</f>
        <v/>
      </c>
      <c r="C101" s="8">
        <f>IF(B101="","",B101+$B$5)</f>
        <v/>
      </c>
      <c r="D101" s="8">
        <f>IF(B101="","",IF(B101&lt;- $B$5,"Left tangent",IF(B101&lt;=$B$6,"Cubic curve","Right tangent")))</f>
        <v/>
      </c>
      <c r="E101" s="9">
        <f>IF(B101="","",IF(B101&lt;- $B$5,$B$7,IF(B101&lt;=$B$6,100*(3*$F$12*(B101+$B$5)^2+2*$F$13*(B101+$B$5)+$F$6),$B$8)))</f>
        <v/>
      </c>
      <c r="F101" s="10">
        <f>IF(B101="","",IF(B101&lt;- $B$5,$F$6*B101,IF(B101&lt;=$B$6,$F$12*(B101+$B$5)^3+$F$13*(B101+$B$5)^2+$F$6*(B101+$B$5)+$F$8,$F$9+$F$7*(B101-$B$6))))</f>
        <v/>
      </c>
      <c r="G101" s="10">
        <f>IF(F101="","",$B$10+F101)</f>
        <v/>
      </c>
      <c r="H101" s="10">
        <f>IF(B101="","",$B$9+B101)</f>
        <v/>
      </c>
    </row>
    <row r="102">
      <c r="A102" s="8">
        <f>IF(B102="","",A101+1)</f>
        <v/>
      </c>
      <c r="B102" s="8">
        <f>IF(B101="","",IF(B101+$B$11&lt;=$B$6+1E-9,B101+$B$11,""))</f>
        <v/>
      </c>
      <c r="C102" s="8">
        <f>IF(B102="","",B102+$B$5)</f>
        <v/>
      </c>
      <c r="D102" s="8">
        <f>IF(B102="","",IF(B102&lt;- $B$5,"Left tangent",IF(B102&lt;=$B$6,"Cubic curve","Right tangent")))</f>
        <v/>
      </c>
      <c r="E102" s="9">
        <f>IF(B102="","",IF(B102&lt;- $B$5,$B$7,IF(B102&lt;=$B$6,100*(3*$F$12*(B102+$B$5)^2+2*$F$13*(B102+$B$5)+$F$6),$B$8)))</f>
        <v/>
      </c>
      <c r="F102" s="10">
        <f>IF(B102="","",IF(B102&lt;- $B$5,$F$6*B102,IF(B102&lt;=$B$6,$F$12*(B102+$B$5)^3+$F$13*(B102+$B$5)^2+$F$6*(B102+$B$5)+$F$8,$F$9+$F$7*(B102-$B$6))))</f>
        <v/>
      </c>
      <c r="G102" s="10">
        <f>IF(F102="","",$B$10+F102)</f>
        <v/>
      </c>
      <c r="H102" s="10">
        <f>IF(B102="","",$B$9+B102)</f>
        <v/>
      </c>
    </row>
    <row r="103">
      <c r="A103" s="8">
        <f>IF(B103="","",A102+1)</f>
        <v/>
      </c>
      <c r="B103" s="8">
        <f>IF(B102="","",IF(B102+$B$11&lt;=$B$6+1E-9,B102+$B$11,""))</f>
        <v/>
      </c>
      <c r="C103" s="8">
        <f>IF(B103="","",B103+$B$5)</f>
        <v/>
      </c>
      <c r="D103" s="8">
        <f>IF(B103="","",IF(B103&lt;- $B$5,"Left tangent",IF(B103&lt;=$B$6,"Cubic curve","Right tangent")))</f>
        <v/>
      </c>
      <c r="E103" s="9">
        <f>IF(B103="","",IF(B103&lt;- $B$5,$B$7,IF(B103&lt;=$B$6,100*(3*$F$12*(B103+$B$5)^2+2*$F$13*(B103+$B$5)+$F$6),$B$8)))</f>
        <v/>
      </c>
      <c r="F103" s="10">
        <f>IF(B103="","",IF(B103&lt;- $B$5,$F$6*B103,IF(B103&lt;=$B$6,$F$12*(B103+$B$5)^3+$F$13*(B103+$B$5)^2+$F$6*(B103+$B$5)+$F$8,$F$9+$F$7*(B103-$B$6))))</f>
        <v/>
      </c>
      <c r="G103" s="10">
        <f>IF(F103="","",$B$10+F103)</f>
        <v/>
      </c>
      <c r="H103" s="10">
        <f>IF(B103="","",$B$9+B103)</f>
        <v/>
      </c>
    </row>
    <row r="104">
      <c r="A104" s="8">
        <f>IF(B104="","",A103+1)</f>
        <v/>
      </c>
      <c r="B104" s="8">
        <f>IF(B103="","",IF(B103+$B$11&lt;=$B$6+1E-9,B103+$B$11,""))</f>
        <v/>
      </c>
      <c r="C104" s="8">
        <f>IF(B104="","",B104+$B$5)</f>
        <v/>
      </c>
      <c r="D104" s="8">
        <f>IF(B104="","",IF(B104&lt;- $B$5,"Left tangent",IF(B104&lt;=$B$6,"Cubic curve","Right tangent")))</f>
        <v/>
      </c>
      <c r="E104" s="9">
        <f>IF(B104="","",IF(B104&lt;- $B$5,$B$7,IF(B104&lt;=$B$6,100*(3*$F$12*(B104+$B$5)^2+2*$F$13*(B104+$B$5)+$F$6),$B$8)))</f>
        <v/>
      </c>
      <c r="F104" s="10">
        <f>IF(B104="","",IF(B104&lt;- $B$5,$F$6*B104,IF(B104&lt;=$B$6,$F$12*(B104+$B$5)^3+$F$13*(B104+$B$5)^2+$F$6*(B104+$B$5)+$F$8,$F$9+$F$7*(B104-$B$6))))</f>
        <v/>
      </c>
      <c r="G104" s="10">
        <f>IF(F104="","",$B$10+F104)</f>
        <v/>
      </c>
      <c r="H104" s="10">
        <f>IF(B104="","",$B$9+B104)</f>
        <v/>
      </c>
    </row>
    <row r="105">
      <c r="A105" s="8">
        <f>IF(B105="","",A104+1)</f>
        <v/>
      </c>
      <c r="B105" s="8">
        <f>IF(B104="","",IF(B104+$B$11&lt;=$B$6+1E-9,B104+$B$11,""))</f>
        <v/>
      </c>
      <c r="C105" s="8">
        <f>IF(B105="","",B105+$B$5)</f>
        <v/>
      </c>
      <c r="D105" s="8">
        <f>IF(B105="","",IF(B105&lt;- $B$5,"Left tangent",IF(B105&lt;=$B$6,"Cubic curve","Right tangent")))</f>
        <v/>
      </c>
      <c r="E105" s="9">
        <f>IF(B105="","",IF(B105&lt;- $B$5,$B$7,IF(B105&lt;=$B$6,100*(3*$F$12*(B105+$B$5)^2+2*$F$13*(B105+$B$5)+$F$6),$B$8)))</f>
        <v/>
      </c>
      <c r="F105" s="10">
        <f>IF(B105="","",IF(B105&lt;- $B$5,$F$6*B105,IF(B105&lt;=$B$6,$F$12*(B105+$B$5)^3+$F$13*(B105+$B$5)^2+$F$6*(B105+$B$5)+$F$8,$F$9+$F$7*(B105-$B$6))))</f>
        <v/>
      </c>
      <c r="G105" s="10">
        <f>IF(F105="","",$B$10+F105)</f>
        <v/>
      </c>
      <c r="H105" s="10">
        <f>IF(B105="","",$B$9+B105)</f>
        <v/>
      </c>
    </row>
    <row r="106">
      <c r="A106" s="8">
        <f>IF(B106="","",A105+1)</f>
        <v/>
      </c>
      <c r="B106" s="8">
        <f>IF(B105="","",IF(B105+$B$11&lt;=$B$6+1E-9,B105+$B$11,""))</f>
        <v/>
      </c>
      <c r="C106" s="8">
        <f>IF(B106="","",B106+$B$5)</f>
        <v/>
      </c>
      <c r="D106" s="8">
        <f>IF(B106="","",IF(B106&lt;- $B$5,"Left tangent",IF(B106&lt;=$B$6,"Cubic curve","Right tangent")))</f>
        <v/>
      </c>
      <c r="E106" s="9">
        <f>IF(B106="","",IF(B106&lt;- $B$5,$B$7,IF(B106&lt;=$B$6,100*(3*$F$12*(B106+$B$5)^2+2*$F$13*(B106+$B$5)+$F$6),$B$8)))</f>
        <v/>
      </c>
      <c r="F106" s="10">
        <f>IF(B106="","",IF(B106&lt;- $B$5,$F$6*B106,IF(B106&lt;=$B$6,$F$12*(B106+$B$5)^3+$F$13*(B106+$B$5)^2+$F$6*(B106+$B$5)+$F$8,$F$9+$F$7*(B106-$B$6))))</f>
        <v/>
      </c>
      <c r="G106" s="10">
        <f>IF(F106="","",$B$10+F106)</f>
        <v/>
      </c>
      <c r="H106" s="10">
        <f>IF(B106="","",$B$9+B106)</f>
        <v/>
      </c>
    </row>
    <row r="107">
      <c r="A107" s="8">
        <f>IF(B107="","",A106+1)</f>
        <v/>
      </c>
      <c r="B107" s="8">
        <f>IF(B106="","",IF(B106+$B$11&lt;=$B$6+1E-9,B106+$B$11,""))</f>
        <v/>
      </c>
      <c r="C107" s="8">
        <f>IF(B107="","",B107+$B$5)</f>
        <v/>
      </c>
      <c r="D107" s="8">
        <f>IF(B107="","",IF(B107&lt;- $B$5,"Left tangent",IF(B107&lt;=$B$6,"Cubic curve","Right tangent")))</f>
        <v/>
      </c>
      <c r="E107" s="9">
        <f>IF(B107="","",IF(B107&lt;- $B$5,$B$7,IF(B107&lt;=$B$6,100*(3*$F$12*(B107+$B$5)^2+2*$F$13*(B107+$B$5)+$F$6),$B$8)))</f>
        <v/>
      </c>
      <c r="F107" s="10">
        <f>IF(B107="","",IF(B107&lt;- $B$5,$F$6*B107,IF(B107&lt;=$B$6,$F$12*(B107+$B$5)^3+$F$13*(B107+$B$5)^2+$F$6*(B107+$B$5)+$F$8,$F$9+$F$7*(B107-$B$6))))</f>
        <v/>
      </c>
      <c r="G107" s="10">
        <f>IF(F107="","",$B$10+F107)</f>
        <v/>
      </c>
      <c r="H107" s="10">
        <f>IF(B107="","",$B$9+B107)</f>
        <v/>
      </c>
    </row>
    <row r="108">
      <c r="A108" s="8">
        <f>IF(B108="","",A107+1)</f>
        <v/>
      </c>
      <c r="B108" s="8">
        <f>IF(B107="","",IF(B107+$B$11&lt;=$B$6+1E-9,B107+$B$11,""))</f>
        <v/>
      </c>
      <c r="C108" s="8">
        <f>IF(B108="","",B108+$B$5)</f>
        <v/>
      </c>
      <c r="D108" s="8">
        <f>IF(B108="","",IF(B108&lt;- $B$5,"Left tangent",IF(B108&lt;=$B$6,"Cubic curve","Right tangent")))</f>
        <v/>
      </c>
      <c r="E108" s="9">
        <f>IF(B108="","",IF(B108&lt;- $B$5,$B$7,IF(B108&lt;=$B$6,100*(3*$F$12*(B108+$B$5)^2+2*$F$13*(B108+$B$5)+$F$6),$B$8)))</f>
        <v/>
      </c>
      <c r="F108" s="10">
        <f>IF(B108="","",IF(B108&lt;- $B$5,$F$6*B108,IF(B108&lt;=$B$6,$F$12*(B108+$B$5)^3+$F$13*(B108+$B$5)^2+$F$6*(B108+$B$5)+$F$8,$F$9+$F$7*(B108-$B$6))))</f>
        <v/>
      </c>
      <c r="G108" s="10">
        <f>IF(F108="","",$B$10+F108)</f>
        <v/>
      </c>
      <c r="H108" s="10">
        <f>IF(B108="","",$B$9+B108)</f>
        <v/>
      </c>
    </row>
    <row r="109">
      <c r="A109" s="8">
        <f>IF(B109="","",A108+1)</f>
        <v/>
      </c>
      <c r="B109" s="8">
        <f>IF(B108="","",IF(B108+$B$11&lt;=$B$6+1E-9,B108+$B$11,""))</f>
        <v/>
      </c>
      <c r="C109" s="8">
        <f>IF(B109="","",B109+$B$5)</f>
        <v/>
      </c>
      <c r="D109" s="8">
        <f>IF(B109="","",IF(B109&lt;- $B$5,"Left tangent",IF(B109&lt;=$B$6,"Cubic curve","Right tangent")))</f>
        <v/>
      </c>
      <c r="E109" s="9">
        <f>IF(B109="","",IF(B109&lt;- $B$5,$B$7,IF(B109&lt;=$B$6,100*(3*$F$12*(B109+$B$5)^2+2*$F$13*(B109+$B$5)+$F$6),$B$8)))</f>
        <v/>
      </c>
      <c r="F109" s="10">
        <f>IF(B109="","",IF(B109&lt;- $B$5,$F$6*B109,IF(B109&lt;=$B$6,$F$12*(B109+$B$5)^3+$F$13*(B109+$B$5)^2+$F$6*(B109+$B$5)+$F$8,$F$9+$F$7*(B109-$B$6))))</f>
        <v/>
      </c>
      <c r="G109" s="10">
        <f>IF(F109="","",$B$10+F109)</f>
        <v/>
      </c>
      <c r="H109" s="10">
        <f>IF(B109="","",$B$9+B109)</f>
        <v/>
      </c>
    </row>
    <row r="110">
      <c r="A110" s="8">
        <f>IF(B110="","",A109+1)</f>
        <v/>
      </c>
      <c r="B110" s="8">
        <f>IF(B109="","",IF(B109+$B$11&lt;=$B$6+1E-9,B109+$B$11,""))</f>
        <v/>
      </c>
      <c r="C110" s="8">
        <f>IF(B110="","",B110+$B$5)</f>
        <v/>
      </c>
      <c r="D110" s="8">
        <f>IF(B110="","",IF(B110&lt;- $B$5,"Left tangent",IF(B110&lt;=$B$6,"Cubic curve","Right tangent")))</f>
        <v/>
      </c>
      <c r="E110" s="9">
        <f>IF(B110="","",IF(B110&lt;- $B$5,$B$7,IF(B110&lt;=$B$6,100*(3*$F$12*(B110+$B$5)^2+2*$F$13*(B110+$B$5)+$F$6),$B$8)))</f>
        <v/>
      </c>
      <c r="F110" s="10">
        <f>IF(B110="","",IF(B110&lt;- $B$5,$F$6*B110,IF(B110&lt;=$B$6,$F$12*(B110+$B$5)^3+$F$13*(B110+$B$5)^2+$F$6*(B110+$B$5)+$F$8,$F$9+$F$7*(B110-$B$6))))</f>
        <v/>
      </c>
      <c r="G110" s="10">
        <f>IF(F110="","",$B$10+F110)</f>
        <v/>
      </c>
      <c r="H110" s="10">
        <f>IF(B110="","",$B$9+B110)</f>
        <v/>
      </c>
    </row>
    <row r="111">
      <c r="A111" s="8">
        <f>IF(B111="","",A110+1)</f>
        <v/>
      </c>
      <c r="B111" s="8">
        <f>IF(B110="","",IF(B110+$B$11&lt;=$B$6+1E-9,B110+$B$11,""))</f>
        <v/>
      </c>
      <c r="C111" s="8">
        <f>IF(B111="","",B111+$B$5)</f>
        <v/>
      </c>
      <c r="D111" s="8">
        <f>IF(B111="","",IF(B111&lt;- $B$5,"Left tangent",IF(B111&lt;=$B$6,"Cubic curve","Right tangent")))</f>
        <v/>
      </c>
      <c r="E111" s="9">
        <f>IF(B111="","",IF(B111&lt;- $B$5,$B$7,IF(B111&lt;=$B$6,100*(3*$F$12*(B111+$B$5)^2+2*$F$13*(B111+$B$5)+$F$6),$B$8)))</f>
        <v/>
      </c>
      <c r="F111" s="10">
        <f>IF(B111="","",IF(B111&lt;- $B$5,$F$6*B111,IF(B111&lt;=$B$6,$F$12*(B111+$B$5)^3+$F$13*(B111+$B$5)^2+$F$6*(B111+$B$5)+$F$8,$F$9+$F$7*(B111-$B$6))))</f>
        <v/>
      </c>
      <c r="G111" s="10">
        <f>IF(F111="","",$B$10+F111)</f>
        <v/>
      </c>
      <c r="H111" s="10">
        <f>IF(B111="","",$B$9+B111)</f>
        <v/>
      </c>
    </row>
    <row r="112">
      <c r="A112" s="8">
        <f>IF(B112="","",A111+1)</f>
        <v/>
      </c>
      <c r="B112" s="8">
        <f>IF(B111="","",IF(B111+$B$11&lt;=$B$6+1E-9,B111+$B$11,""))</f>
        <v/>
      </c>
      <c r="C112" s="8">
        <f>IF(B112="","",B112+$B$5)</f>
        <v/>
      </c>
      <c r="D112" s="8">
        <f>IF(B112="","",IF(B112&lt;- $B$5,"Left tangent",IF(B112&lt;=$B$6,"Cubic curve","Right tangent")))</f>
        <v/>
      </c>
      <c r="E112" s="9">
        <f>IF(B112="","",IF(B112&lt;- $B$5,$B$7,IF(B112&lt;=$B$6,100*(3*$F$12*(B112+$B$5)^2+2*$F$13*(B112+$B$5)+$F$6),$B$8)))</f>
        <v/>
      </c>
      <c r="F112" s="10">
        <f>IF(B112="","",IF(B112&lt;- $B$5,$F$6*B112,IF(B112&lt;=$B$6,$F$12*(B112+$B$5)^3+$F$13*(B112+$B$5)^2+$F$6*(B112+$B$5)+$F$8,$F$9+$F$7*(B112-$B$6))))</f>
        <v/>
      </c>
      <c r="G112" s="10">
        <f>IF(F112="","",$B$10+F112)</f>
        <v/>
      </c>
      <c r="H112" s="10">
        <f>IF(B112="","",$B$9+B112)</f>
        <v/>
      </c>
    </row>
    <row r="113">
      <c r="A113" s="8">
        <f>IF(B113="","",A112+1)</f>
        <v/>
      </c>
      <c r="B113" s="8">
        <f>IF(B112="","",IF(B112+$B$11&lt;=$B$6+1E-9,B112+$B$11,""))</f>
        <v/>
      </c>
      <c r="C113" s="8">
        <f>IF(B113="","",B113+$B$5)</f>
        <v/>
      </c>
      <c r="D113" s="8">
        <f>IF(B113="","",IF(B113&lt;- $B$5,"Left tangent",IF(B113&lt;=$B$6,"Cubic curve","Right tangent")))</f>
        <v/>
      </c>
      <c r="E113" s="9">
        <f>IF(B113="","",IF(B113&lt;- $B$5,$B$7,IF(B113&lt;=$B$6,100*(3*$F$12*(B113+$B$5)^2+2*$F$13*(B113+$B$5)+$F$6),$B$8)))</f>
        <v/>
      </c>
      <c r="F113" s="10">
        <f>IF(B113="","",IF(B113&lt;- $B$5,$F$6*B113,IF(B113&lt;=$B$6,$F$12*(B113+$B$5)^3+$F$13*(B113+$B$5)^2+$F$6*(B113+$B$5)+$F$8,$F$9+$F$7*(B113-$B$6))))</f>
        <v/>
      </c>
      <c r="G113" s="10">
        <f>IF(F113="","",$B$10+F113)</f>
        <v/>
      </c>
      <c r="H113" s="10">
        <f>IF(B113="","",$B$9+B113)</f>
        <v/>
      </c>
    </row>
    <row r="114">
      <c r="A114" s="8">
        <f>IF(B114="","",A113+1)</f>
        <v/>
      </c>
      <c r="B114" s="8">
        <f>IF(B113="","",IF(B113+$B$11&lt;=$B$6+1E-9,B113+$B$11,""))</f>
        <v/>
      </c>
      <c r="C114" s="8">
        <f>IF(B114="","",B114+$B$5)</f>
        <v/>
      </c>
      <c r="D114" s="8">
        <f>IF(B114="","",IF(B114&lt;- $B$5,"Left tangent",IF(B114&lt;=$B$6,"Cubic curve","Right tangent")))</f>
        <v/>
      </c>
      <c r="E114" s="9">
        <f>IF(B114="","",IF(B114&lt;- $B$5,$B$7,IF(B114&lt;=$B$6,100*(3*$F$12*(B114+$B$5)^2+2*$F$13*(B114+$B$5)+$F$6),$B$8)))</f>
        <v/>
      </c>
      <c r="F114" s="10">
        <f>IF(B114="","",IF(B114&lt;- $B$5,$F$6*B114,IF(B114&lt;=$B$6,$F$12*(B114+$B$5)^3+$F$13*(B114+$B$5)^2+$F$6*(B114+$B$5)+$F$8,$F$9+$F$7*(B114-$B$6))))</f>
        <v/>
      </c>
      <c r="G114" s="10">
        <f>IF(F114="","",$B$10+F114)</f>
        <v/>
      </c>
      <c r="H114" s="10">
        <f>IF(B114="","",$B$9+B114)</f>
        <v/>
      </c>
    </row>
    <row r="115">
      <c r="A115" s="8">
        <f>IF(B115="","",A114+1)</f>
        <v/>
      </c>
      <c r="B115" s="8">
        <f>IF(B114="","",IF(B114+$B$11&lt;=$B$6+1E-9,B114+$B$11,""))</f>
        <v/>
      </c>
      <c r="C115" s="8">
        <f>IF(B115="","",B115+$B$5)</f>
        <v/>
      </c>
      <c r="D115" s="8">
        <f>IF(B115="","",IF(B115&lt;- $B$5,"Left tangent",IF(B115&lt;=$B$6,"Cubic curve","Right tangent")))</f>
        <v/>
      </c>
      <c r="E115" s="9">
        <f>IF(B115="","",IF(B115&lt;- $B$5,$B$7,IF(B115&lt;=$B$6,100*(3*$F$12*(B115+$B$5)^2+2*$F$13*(B115+$B$5)+$F$6),$B$8)))</f>
        <v/>
      </c>
      <c r="F115" s="10">
        <f>IF(B115="","",IF(B115&lt;- $B$5,$F$6*B115,IF(B115&lt;=$B$6,$F$12*(B115+$B$5)^3+$F$13*(B115+$B$5)^2+$F$6*(B115+$B$5)+$F$8,$F$9+$F$7*(B115-$B$6))))</f>
        <v/>
      </c>
      <c r="G115" s="10">
        <f>IF(F115="","",$B$10+F115)</f>
        <v/>
      </c>
      <c r="H115" s="10">
        <f>IF(B115="","",$B$9+B115)</f>
        <v/>
      </c>
    </row>
    <row r="116">
      <c r="A116" s="8">
        <f>IF(B116="","",A115+1)</f>
        <v/>
      </c>
      <c r="B116" s="8">
        <f>IF(B115="","",IF(B115+$B$11&lt;=$B$6+1E-9,B115+$B$11,""))</f>
        <v/>
      </c>
      <c r="C116" s="8">
        <f>IF(B116="","",B116+$B$5)</f>
        <v/>
      </c>
      <c r="D116" s="8">
        <f>IF(B116="","",IF(B116&lt;- $B$5,"Left tangent",IF(B116&lt;=$B$6,"Cubic curve","Right tangent")))</f>
        <v/>
      </c>
      <c r="E116" s="9">
        <f>IF(B116="","",IF(B116&lt;- $B$5,$B$7,IF(B116&lt;=$B$6,100*(3*$F$12*(B116+$B$5)^2+2*$F$13*(B116+$B$5)+$F$6),$B$8)))</f>
        <v/>
      </c>
      <c r="F116" s="10">
        <f>IF(B116="","",IF(B116&lt;- $B$5,$F$6*B116,IF(B116&lt;=$B$6,$F$12*(B116+$B$5)^3+$F$13*(B116+$B$5)^2+$F$6*(B116+$B$5)+$F$8,$F$9+$F$7*(B116-$B$6))))</f>
        <v/>
      </c>
      <c r="G116" s="10">
        <f>IF(F116="","",$B$10+F116)</f>
        <v/>
      </c>
      <c r="H116" s="10">
        <f>IF(B116="","",$B$9+B116)</f>
        <v/>
      </c>
    </row>
    <row r="117">
      <c r="A117" s="8">
        <f>IF(B117="","",A116+1)</f>
        <v/>
      </c>
      <c r="B117" s="8">
        <f>IF(B116="","",IF(B116+$B$11&lt;=$B$6+1E-9,B116+$B$11,""))</f>
        <v/>
      </c>
      <c r="C117" s="8">
        <f>IF(B117="","",B117+$B$5)</f>
        <v/>
      </c>
      <c r="D117" s="8">
        <f>IF(B117="","",IF(B117&lt;- $B$5,"Left tangent",IF(B117&lt;=$B$6,"Cubic curve","Right tangent")))</f>
        <v/>
      </c>
      <c r="E117" s="9">
        <f>IF(B117="","",IF(B117&lt;- $B$5,$B$7,IF(B117&lt;=$B$6,100*(3*$F$12*(B117+$B$5)^2+2*$F$13*(B117+$B$5)+$F$6),$B$8)))</f>
        <v/>
      </c>
      <c r="F117" s="10">
        <f>IF(B117="","",IF(B117&lt;- $B$5,$F$6*B117,IF(B117&lt;=$B$6,$F$12*(B117+$B$5)^3+$F$13*(B117+$B$5)^2+$F$6*(B117+$B$5)+$F$8,$F$9+$F$7*(B117-$B$6))))</f>
        <v/>
      </c>
      <c r="G117" s="10">
        <f>IF(F117="","",$B$10+F117)</f>
        <v/>
      </c>
      <c r="H117" s="10">
        <f>IF(B117="","",$B$9+B117)</f>
        <v/>
      </c>
    </row>
    <row r="118">
      <c r="A118" s="8">
        <f>IF(B118="","",A117+1)</f>
        <v/>
      </c>
      <c r="B118" s="8">
        <f>IF(B117="","",IF(B117+$B$11&lt;=$B$6+1E-9,B117+$B$11,""))</f>
        <v/>
      </c>
      <c r="C118" s="8">
        <f>IF(B118="","",B118+$B$5)</f>
        <v/>
      </c>
      <c r="D118" s="8">
        <f>IF(B118="","",IF(B118&lt;- $B$5,"Left tangent",IF(B118&lt;=$B$6,"Cubic curve","Right tangent")))</f>
        <v/>
      </c>
      <c r="E118" s="9">
        <f>IF(B118="","",IF(B118&lt;- $B$5,$B$7,IF(B118&lt;=$B$6,100*(3*$F$12*(B118+$B$5)^2+2*$F$13*(B118+$B$5)+$F$6),$B$8)))</f>
        <v/>
      </c>
      <c r="F118" s="10">
        <f>IF(B118="","",IF(B118&lt;- $B$5,$F$6*B118,IF(B118&lt;=$B$6,$F$12*(B118+$B$5)^3+$F$13*(B118+$B$5)^2+$F$6*(B118+$B$5)+$F$8,$F$9+$F$7*(B118-$B$6))))</f>
        <v/>
      </c>
      <c r="G118" s="10">
        <f>IF(F118="","",$B$10+F118)</f>
        <v/>
      </c>
      <c r="H118" s="10">
        <f>IF(B118="","",$B$9+B118)</f>
        <v/>
      </c>
    </row>
    <row r="119">
      <c r="A119" s="8">
        <f>IF(B119="","",A118+1)</f>
        <v/>
      </c>
      <c r="B119" s="8">
        <f>IF(B118="","",IF(B118+$B$11&lt;=$B$6+1E-9,B118+$B$11,""))</f>
        <v/>
      </c>
      <c r="C119" s="8">
        <f>IF(B119="","",B119+$B$5)</f>
        <v/>
      </c>
      <c r="D119" s="8">
        <f>IF(B119="","",IF(B119&lt;- $B$5,"Left tangent",IF(B119&lt;=$B$6,"Cubic curve","Right tangent")))</f>
        <v/>
      </c>
      <c r="E119" s="9">
        <f>IF(B119="","",IF(B119&lt;- $B$5,$B$7,IF(B119&lt;=$B$6,100*(3*$F$12*(B119+$B$5)^2+2*$F$13*(B119+$B$5)+$F$6),$B$8)))</f>
        <v/>
      </c>
      <c r="F119" s="10">
        <f>IF(B119="","",IF(B119&lt;- $B$5,$F$6*B119,IF(B119&lt;=$B$6,$F$12*(B119+$B$5)^3+$F$13*(B119+$B$5)^2+$F$6*(B119+$B$5)+$F$8,$F$9+$F$7*(B119-$B$6))))</f>
        <v/>
      </c>
      <c r="G119" s="10">
        <f>IF(F119="","",$B$10+F119)</f>
        <v/>
      </c>
      <c r="H119" s="10">
        <f>IF(B119="","",$B$9+B119)</f>
        <v/>
      </c>
    </row>
    <row r="120">
      <c r="A120" s="8">
        <f>IF(B120="","",A119+1)</f>
        <v/>
      </c>
      <c r="B120" s="8">
        <f>IF(B119="","",IF(B119+$B$11&lt;=$B$6+1E-9,B119+$B$11,""))</f>
        <v/>
      </c>
      <c r="C120" s="8">
        <f>IF(B120="","",B120+$B$5)</f>
        <v/>
      </c>
      <c r="D120" s="8">
        <f>IF(B120="","",IF(B120&lt;- $B$5,"Left tangent",IF(B120&lt;=$B$6,"Cubic curve","Right tangent")))</f>
        <v/>
      </c>
      <c r="E120" s="9">
        <f>IF(B120="","",IF(B120&lt;- $B$5,$B$7,IF(B120&lt;=$B$6,100*(3*$F$12*(B120+$B$5)^2+2*$F$13*(B120+$B$5)+$F$6),$B$8)))</f>
        <v/>
      </c>
      <c r="F120" s="10">
        <f>IF(B120="","",IF(B120&lt;- $B$5,$F$6*B120,IF(B120&lt;=$B$6,$F$12*(B120+$B$5)^3+$F$13*(B120+$B$5)^2+$F$6*(B120+$B$5)+$F$8,$F$9+$F$7*(B120-$B$6))))</f>
        <v/>
      </c>
      <c r="G120" s="10">
        <f>IF(F120="","",$B$10+F120)</f>
        <v/>
      </c>
      <c r="H120" s="10">
        <f>IF(B120="","",$B$9+B120)</f>
        <v/>
      </c>
    </row>
    <row r="121">
      <c r="A121" s="8">
        <f>IF(B121="","",A120+1)</f>
        <v/>
      </c>
      <c r="B121" s="8">
        <f>IF(B120="","",IF(B120+$B$11&lt;=$B$6+1E-9,B120+$B$11,""))</f>
        <v/>
      </c>
      <c r="C121" s="8">
        <f>IF(B121="","",B121+$B$5)</f>
        <v/>
      </c>
      <c r="D121" s="8">
        <f>IF(B121="","",IF(B121&lt;- $B$5,"Left tangent",IF(B121&lt;=$B$6,"Cubic curve","Right tangent")))</f>
        <v/>
      </c>
      <c r="E121" s="9">
        <f>IF(B121="","",IF(B121&lt;- $B$5,$B$7,IF(B121&lt;=$B$6,100*(3*$F$12*(B121+$B$5)^2+2*$F$13*(B121+$B$5)+$F$6),$B$8)))</f>
        <v/>
      </c>
      <c r="F121" s="10">
        <f>IF(B121="","",IF(B121&lt;- $B$5,$F$6*B121,IF(B121&lt;=$B$6,$F$12*(B121+$B$5)^3+$F$13*(B121+$B$5)^2+$F$6*(B121+$B$5)+$F$8,$F$9+$F$7*(B121-$B$6))))</f>
        <v/>
      </c>
      <c r="G121" s="10">
        <f>IF(F121="","",$B$10+F121)</f>
        <v/>
      </c>
      <c r="H121" s="10">
        <f>IF(B121="","",$B$9+B121)</f>
        <v/>
      </c>
    </row>
    <row r="122">
      <c r="A122" s="8">
        <f>IF(B122="","",A121+1)</f>
        <v/>
      </c>
      <c r="B122" s="8">
        <f>IF(B121="","",IF(B121+$B$11&lt;=$B$6+1E-9,B121+$B$11,""))</f>
        <v/>
      </c>
      <c r="C122" s="8">
        <f>IF(B122="","",B122+$B$5)</f>
        <v/>
      </c>
      <c r="D122" s="8">
        <f>IF(B122="","",IF(B122&lt;- $B$5,"Left tangent",IF(B122&lt;=$B$6,"Cubic curve","Right tangent")))</f>
        <v/>
      </c>
      <c r="E122" s="9">
        <f>IF(B122="","",IF(B122&lt;- $B$5,$B$7,IF(B122&lt;=$B$6,100*(3*$F$12*(B122+$B$5)^2+2*$F$13*(B122+$B$5)+$F$6),$B$8)))</f>
        <v/>
      </c>
      <c r="F122" s="10">
        <f>IF(B122="","",IF(B122&lt;- $B$5,$F$6*B122,IF(B122&lt;=$B$6,$F$12*(B122+$B$5)^3+$F$13*(B122+$B$5)^2+$F$6*(B122+$B$5)+$F$8,$F$9+$F$7*(B122-$B$6))))</f>
        <v/>
      </c>
      <c r="G122" s="10">
        <f>IF(F122="","",$B$10+F122)</f>
        <v/>
      </c>
      <c r="H122" s="10">
        <f>IF(B122="","",$B$9+B122)</f>
        <v/>
      </c>
    </row>
    <row r="123">
      <c r="A123" s="8">
        <f>IF(B123="","",A122+1)</f>
        <v/>
      </c>
      <c r="B123" s="8">
        <f>IF(B122="","",IF(B122+$B$11&lt;=$B$6+1E-9,B122+$B$11,""))</f>
        <v/>
      </c>
      <c r="C123" s="8">
        <f>IF(B123="","",B123+$B$5)</f>
        <v/>
      </c>
      <c r="D123" s="8">
        <f>IF(B123="","",IF(B123&lt;- $B$5,"Left tangent",IF(B123&lt;=$B$6,"Cubic curve","Right tangent")))</f>
        <v/>
      </c>
      <c r="E123" s="9">
        <f>IF(B123="","",IF(B123&lt;- $B$5,$B$7,IF(B123&lt;=$B$6,100*(3*$F$12*(B123+$B$5)^2+2*$F$13*(B123+$B$5)+$F$6),$B$8)))</f>
        <v/>
      </c>
      <c r="F123" s="10">
        <f>IF(B123="","",IF(B123&lt;- $B$5,$F$6*B123,IF(B123&lt;=$B$6,$F$12*(B123+$B$5)^3+$F$13*(B123+$B$5)^2+$F$6*(B123+$B$5)+$F$8,$F$9+$F$7*(B123-$B$6))))</f>
        <v/>
      </c>
      <c r="G123" s="10">
        <f>IF(F123="","",$B$10+F123)</f>
        <v/>
      </c>
      <c r="H123" s="10">
        <f>IF(B123="","",$B$9+B123)</f>
        <v/>
      </c>
    </row>
    <row r="124">
      <c r="A124" s="8">
        <f>IF(B124="","",A123+1)</f>
        <v/>
      </c>
      <c r="B124" s="8">
        <f>IF(B123="","",IF(B123+$B$11&lt;=$B$6+1E-9,B123+$B$11,""))</f>
        <v/>
      </c>
      <c r="C124" s="8">
        <f>IF(B124="","",B124+$B$5)</f>
        <v/>
      </c>
      <c r="D124" s="8">
        <f>IF(B124="","",IF(B124&lt;- $B$5,"Left tangent",IF(B124&lt;=$B$6,"Cubic curve","Right tangent")))</f>
        <v/>
      </c>
      <c r="E124" s="9">
        <f>IF(B124="","",IF(B124&lt;- $B$5,$B$7,IF(B124&lt;=$B$6,100*(3*$F$12*(B124+$B$5)^2+2*$F$13*(B124+$B$5)+$F$6),$B$8)))</f>
        <v/>
      </c>
      <c r="F124" s="10">
        <f>IF(B124="","",IF(B124&lt;- $B$5,$F$6*B124,IF(B124&lt;=$B$6,$F$12*(B124+$B$5)^3+$F$13*(B124+$B$5)^2+$F$6*(B124+$B$5)+$F$8,$F$9+$F$7*(B124-$B$6))))</f>
        <v/>
      </c>
      <c r="G124" s="10">
        <f>IF(F124="","",$B$10+F124)</f>
        <v/>
      </c>
      <c r="H124" s="10">
        <f>IF(B124="","",$B$9+B124)</f>
        <v/>
      </c>
    </row>
    <row r="125">
      <c r="A125" s="8">
        <f>IF(B125="","",A124+1)</f>
        <v/>
      </c>
      <c r="B125" s="8">
        <f>IF(B124="","",IF(B124+$B$11&lt;=$B$6+1E-9,B124+$B$11,""))</f>
        <v/>
      </c>
      <c r="C125" s="8">
        <f>IF(B125="","",B125+$B$5)</f>
        <v/>
      </c>
      <c r="D125" s="8">
        <f>IF(B125="","",IF(B125&lt;- $B$5,"Left tangent",IF(B125&lt;=$B$6,"Cubic curve","Right tangent")))</f>
        <v/>
      </c>
      <c r="E125" s="9">
        <f>IF(B125="","",IF(B125&lt;- $B$5,$B$7,IF(B125&lt;=$B$6,100*(3*$F$12*(B125+$B$5)^2+2*$F$13*(B125+$B$5)+$F$6),$B$8)))</f>
        <v/>
      </c>
      <c r="F125" s="10">
        <f>IF(B125="","",IF(B125&lt;- $B$5,$F$6*B125,IF(B125&lt;=$B$6,$F$12*(B125+$B$5)^3+$F$13*(B125+$B$5)^2+$F$6*(B125+$B$5)+$F$8,$F$9+$F$7*(B125-$B$6))))</f>
        <v/>
      </c>
      <c r="G125" s="10">
        <f>IF(F125="","",$B$10+F125)</f>
        <v/>
      </c>
      <c r="H125" s="10">
        <f>IF(B125="","",$B$9+B125)</f>
        <v/>
      </c>
    </row>
    <row r="126">
      <c r="A126" s="8">
        <f>IF(B126="","",A125+1)</f>
        <v/>
      </c>
      <c r="B126" s="8">
        <f>IF(B125="","",IF(B125+$B$11&lt;=$B$6+1E-9,B125+$B$11,""))</f>
        <v/>
      </c>
      <c r="C126" s="8">
        <f>IF(B126="","",B126+$B$5)</f>
        <v/>
      </c>
      <c r="D126" s="8">
        <f>IF(B126="","",IF(B126&lt;- $B$5,"Left tangent",IF(B126&lt;=$B$6,"Cubic curve","Right tangent")))</f>
        <v/>
      </c>
      <c r="E126" s="9">
        <f>IF(B126="","",IF(B126&lt;- $B$5,$B$7,IF(B126&lt;=$B$6,100*(3*$F$12*(B126+$B$5)^2+2*$F$13*(B126+$B$5)+$F$6),$B$8)))</f>
        <v/>
      </c>
      <c r="F126" s="10">
        <f>IF(B126="","",IF(B126&lt;- $B$5,$F$6*B126,IF(B126&lt;=$B$6,$F$12*(B126+$B$5)^3+$F$13*(B126+$B$5)^2+$F$6*(B126+$B$5)+$F$8,$F$9+$F$7*(B126-$B$6))))</f>
        <v/>
      </c>
      <c r="G126" s="10">
        <f>IF(F126="","",$B$10+F126)</f>
        <v/>
      </c>
      <c r="H126" s="10">
        <f>IF(B126="","",$B$9+B126)</f>
        <v/>
      </c>
    </row>
    <row r="127">
      <c r="A127" s="8">
        <f>IF(B127="","",A126+1)</f>
        <v/>
      </c>
      <c r="B127" s="8">
        <f>IF(B126="","",IF(B126+$B$11&lt;=$B$6+1E-9,B126+$B$11,""))</f>
        <v/>
      </c>
      <c r="C127" s="8">
        <f>IF(B127="","",B127+$B$5)</f>
        <v/>
      </c>
      <c r="D127" s="8">
        <f>IF(B127="","",IF(B127&lt;- $B$5,"Left tangent",IF(B127&lt;=$B$6,"Cubic curve","Right tangent")))</f>
        <v/>
      </c>
      <c r="E127" s="9">
        <f>IF(B127="","",IF(B127&lt;- $B$5,$B$7,IF(B127&lt;=$B$6,100*(3*$F$12*(B127+$B$5)^2+2*$F$13*(B127+$B$5)+$F$6),$B$8)))</f>
        <v/>
      </c>
      <c r="F127" s="10">
        <f>IF(B127="","",IF(B127&lt;- $B$5,$F$6*B127,IF(B127&lt;=$B$6,$F$12*(B127+$B$5)^3+$F$13*(B127+$B$5)^2+$F$6*(B127+$B$5)+$F$8,$F$9+$F$7*(B127-$B$6))))</f>
        <v/>
      </c>
      <c r="G127" s="10">
        <f>IF(F127="","",$B$10+F127)</f>
        <v/>
      </c>
      <c r="H127" s="10">
        <f>IF(B127="","",$B$9+B127)</f>
        <v/>
      </c>
    </row>
    <row r="128">
      <c r="A128" s="8">
        <f>IF(B128="","",A127+1)</f>
        <v/>
      </c>
      <c r="B128" s="8">
        <f>IF(B127="","",IF(B127+$B$11&lt;=$B$6+1E-9,B127+$B$11,""))</f>
        <v/>
      </c>
      <c r="C128" s="8">
        <f>IF(B128="","",B128+$B$5)</f>
        <v/>
      </c>
      <c r="D128" s="8">
        <f>IF(B128="","",IF(B128&lt;- $B$5,"Left tangent",IF(B128&lt;=$B$6,"Cubic curve","Right tangent")))</f>
        <v/>
      </c>
      <c r="E128" s="9">
        <f>IF(B128="","",IF(B128&lt;- $B$5,$B$7,IF(B128&lt;=$B$6,100*(3*$F$12*(B128+$B$5)^2+2*$F$13*(B128+$B$5)+$F$6),$B$8)))</f>
        <v/>
      </c>
      <c r="F128" s="10">
        <f>IF(B128="","",IF(B128&lt;- $B$5,$F$6*B128,IF(B128&lt;=$B$6,$F$12*(B128+$B$5)^3+$F$13*(B128+$B$5)^2+$F$6*(B128+$B$5)+$F$8,$F$9+$F$7*(B128-$B$6))))</f>
        <v/>
      </c>
      <c r="G128" s="10">
        <f>IF(F128="","",$B$10+F128)</f>
        <v/>
      </c>
      <c r="H128" s="10">
        <f>IF(B128="","",$B$9+B128)</f>
        <v/>
      </c>
    </row>
    <row r="129">
      <c r="A129" s="8">
        <f>IF(B129="","",A128+1)</f>
        <v/>
      </c>
      <c r="B129" s="8">
        <f>IF(B128="","",IF(B128+$B$11&lt;=$B$6+1E-9,B128+$B$11,""))</f>
        <v/>
      </c>
      <c r="C129" s="8">
        <f>IF(B129="","",B129+$B$5)</f>
        <v/>
      </c>
      <c r="D129" s="8">
        <f>IF(B129="","",IF(B129&lt;- $B$5,"Left tangent",IF(B129&lt;=$B$6,"Cubic curve","Right tangent")))</f>
        <v/>
      </c>
      <c r="E129" s="9">
        <f>IF(B129="","",IF(B129&lt;- $B$5,$B$7,IF(B129&lt;=$B$6,100*(3*$F$12*(B129+$B$5)^2+2*$F$13*(B129+$B$5)+$F$6),$B$8)))</f>
        <v/>
      </c>
      <c r="F129" s="10">
        <f>IF(B129="","",IF(B129&lt;- $B$5,$F$6*B129,IF(B129&lt;=$B$6,$F$12*(B129+$B$5)^3+$F$13*(B129+$B$5)^2+$F$6*(B129+$B$5)+$F$8,$F$9+$F$7*(B129-$B$6))))</f>
        <v/>
      </c>
      <c r="G129" s="10">
        <f>IF(F129="","",$B$10+F129)</f>
        <v/>
      </c>
      <c r="H129" s="10">
        <f>IF(B129="","",$B$9+B129)</f>
        <v/>
      </c>
    </row>
    <row r="130">
      <c r="A130" s="8">
        <f>IF(B130="","",A129+1)</f>
        <v/>
      </c>
      <c r="B130" s="8">
        <f>IF(B129="","",IF(B129+$B$11&lt;=$B$6+1E-9,B129+$B$11,""))</f>
        <v/>
      </c>
      <c r="C130" s="8">
        <f>IF(B130="","",B130+$B$5)</f>
        <v/>
      </c>
      <c r="D130" s="8">
        <f>IF(B130="","",IF(B130&lt;- $B$5,"Left tangent",IF(B130&lt;=$B$6,"Cubic curve","Right tangent")))</f>
        <v/>
      </c>
      <c r="E130" s="9">
        <f>IF(B130="","",IF(B130&lt;- $B$5,$B$7,IF(B130&lt;=$B$6,100*(3*$F$12*(B130+$B$5)^2+2*$F$13*(B130+$B$5)+$F$6),$B$8)))</f>
        <v/>
      </c>
      <c r="F130" s="10">
        <f>IF(B130="","",IF(B130&lt;- $B$5,$F$6*B130,IF(B130&lt;=$B$6,$F$12*(B130+$B$5)^3+$F$13*(B130+$B$5)^2+$F$6*(B130+$B$5)+$F$8,$F$9+$F$7*(B130-$B$6))))</f>
        <v/>
      </c>
      <c r="G130" s="10">
        <f>IF(F130="","",$B$10+F130)</f>
        <v/>
      </c>
      <c r="H130" s="10">
        <f>IF(B130="","",$B$9+B130)</f>
        <v/>
      </c>
    </row>
    <row r="131">
      <c r="A131" s="8">
        <f>IF(B131="","",A130+1)</f>
        <v/>
      </c>
      <c r="B131" s="8">
        <f>IF(B130="","",IF(B130+$B$11&lt;=$B$6+1E-9,B130+$B$11,""))</f>
        <v/>
      </c>
      <c r="C131" s="8">
        <f>IF(B131="","",B131+$B$5)</f>
        <v/>
      </c>
      <c r="D131" s="8">
        <f>IF(B131="","",IF(B131&lt;- $B$5,"Left tangent",IF(B131&lt;=$B$6,"Cubic curve","Right tangent")))</f>
        <v/>
      </c>
      <c r="E131" s="9">
        <f>IF(B131="","",IF(B131&lt;- $B$5,$B$7,IF(B131&lt;=$B$6,100*(3*$F$12*(B131+$B$5)^2+2*$F$13*(B131+$B$5)+$F$6),$B$8)))</f>
        <v/>
      </c>
      <c r="F131" s="10">
        <f>IF(B131="","",IF(B131&lt;- $B$5,$F$6*B131,IF(B131&lt;=$B$6,$F$12*(B131+$B$5)^3+$F$13*(B131+$B$5)^2+$F$6*(B131+$B$5)+$F$8,$F$9+$F$7*(B131-$B$6))))</f>
        <v/>
      </c>
      <c r="G131" s="10">
        <f>IF(F131="","",$B$10+F131)</f>
        <v/>
      </c>
      <c r="H131" s="10">
        <f>IF(B131="","",$B$9+B131)</f>
        <v/>
      </c>
    </row>
    <row r="132">
      <c r="A132" s="8">
        <f>IF(B132="","",A131+1)</f>
        <v/>
      </c>
      <c r="B132" s="8">
        <f>IF(B131="","",IF(B131+$B$11&lt;=$B$6+1E-9,B131+$B$11,""))</f>
        <v/>
      </c>
      <c r="C132" s="8">
        <f>IF(B132="","",B132+$B$5)</f>
        <v/>
      </c>
      <c r="D132" s="8">
        <f>IF(B132="","",IF(B132&lt;- $B$5,"Left tangent",IF(B132&lt;=$B$6,"Cubic curve","Right tangent")))</f>
        <v/>
      </c>
      <c r="E132" s="9">
        <f>IF(B132="","",IF(B132&lt;- $B$5,$B$7,IF(B132&lt;=$B$6,100*(3*$F$12*(B132+$B$5)^2+2*$F$13*(B132+$B$5)+$F$6),$B$8)))</f>
        <v/>
      </c>
      <c r="F132" s="10">
        <f>IF(B132="","",IF(B132&lt;- $B$5,$F$6*B132,IF(B132&lt;=$B$6,$F$12*(B132+$B$5)^3+$F$13*(B132+$B$5)^2+$F$6*(B132+$B$5)+$F$8,$F$9+$F$7*(B132-$B$6))))</f>
        <v/>
      </c>
      <c r="G132" s="10">
        <f>IF(F132="","",$B$10+F132)</f>
        <v/>
      </c>
      <c r="H132" s="10">
        <f>IF(B132="","",$B$9+B132)</f>
        <v/>
      </c>
    </row>
    <row r="133">
      <c r="A133" s="8">
        <f>IF(B133="","",A132+1)</f>
        <v/>
      </c>
      <c r="B133" s="8">
        <f>IF(B132="","",IF(B132+$B$11&lt;=$B$6+1E-9,B132+$B$11,""))</f>
        <v/>
      </c>
      <c r="C133" s="8">
        <f>IF(B133="","",B133+$B$5)</f>
        <v/>
      </c>
      <c r="D133" s="8">
        <f>IF(B133="","",IF(B133&lt;- $B$5,"Left tangent",IF(B133&lt;=$B$6,"Cubic curve","Right tangent")))</f>
        <v/>
      </c>
      <c r="E133" s="9">
        <f>IF(B133="","",IF(B133&lt;- $B$5,$B$7,IF(B133&lt;=$B$6,100*(3*$F$12*(B133+$B$5)^2+2*$F$13*(B133+$B$5)+$F$6),$B$8)))</f>
        <v/>
      </c>
      <c r="F133" s="10">
        <f>IF(B133="","",IF(B133&lt;- $B$5,$F$6*B133,IF(B133&lt;=$B$6,$F$12*(B133+$B$5)^3+$F$13*(B133+$B$5)^2+$F$6*(B133+$B$5)+$F$8,$F$9+$F$7*(B133-$B$6))))</f>
        <v/>
      </c>
      <c r="G133" s="10">
        <f>IF(F133="","",$B$10+F133)</f>
        <v/>
      </c>
      <c r="H133" s="10">
        <f>IF(B133="","",$B$9+B133)</f>
        <v/>
      </c>
    </row>
    <row r="134">
      <c r="A134" s="8">
        <f>IF(B134="","",A133+1)</f>
        <v/>
      </c>
      <c r="B134" s="8">
        <f>IF(B133="","",IF(B133+$B$11&lt;=$B$6+1E-9,B133+$B$11,""))</f>
        <v/>
      </c>
      <c r="C134" s="8">
        <f>IF(B134="","",B134+$B$5)</f>
        <v/>
      </c>
      <c r="D134" s="8">
        <f>IF(B134="","",IF(B134&lt;- $B$5,"Left tangent",IF(B134&lt;=$B$6,"Cubic curve","Right tangent")))</f>
        <v/>
      </c>
      <c r="E134" s="9">
        <f>IF(B134="","",IF(B134&lt;- $B$5,$B$7,IF(B134&lt;=$B$6,100*(3*$F$12*(B134+$B$5)^2+2*$F$13*(B134+$B$5)+$F$6),$B$8)))</f>
        <v/>
      </c>
      <c r="F134" s="10">
        <f>IF(B134="","",IF(B134&lt;- $B$5,$F$6*B134,IF(B134&lt;=$B$6,$F$12*(B134+$B$5)^3+$F$13*(B134+$B$5)^2+$F$6*(B134+$B$5)+$F$8,$F$9+$F$7*(B134-$B$6))))</f>
        <v/>
      </c>
      <c r="G134" s="10">
        <f>IF(F134="","",$B$10+F134)</f>
        <v/>
      </c>
      <c r="H134" s="10">
        <f>IF(B134="","",$B$9+B134)</f>
        <v/>
      </c>
    </row>
    <row r="135">
      <c r="A135" s="8">
        <f>IF(B135="","",A134+1)</f>
        <v/>
      </c>
      <c r="B135" s="8">
        <f>IF(B134="","",IF(B134+$B$11&lt;=$B$6+1E-9,B134+$B$11,""))</f>
        <v/>
      </c>
      <c r="C135" s="8">
        <f>IF(B135="","",B135+$B$5)</f>
        <v/>
      </c>
      <c r="D135" s="8">
        <f>IF(B135="","",IF(B135&lt;- $B$5,"Left tangent",IF(B135&lt;=$B$6,"Cubic curve","Right tangent")))</f>
        <v/>
      </c>
      <c r="E135" s="9">
        <f>IF(B135="","",IF(B135&lt;- $B$5,$B$7,IF(B135&lt;=$B$6,100*(3*$F$12*(B135+$B$5)^2+2*$F$13*(B135+$B$5)+$F$6),$B$8)))</f>
        <v/>
      </c>
      <c r="F135" s="10">
        <f>IF(B135="","",IF(B135&lt;- $B$5,$F$6*B135,IF(B135&lt;=$B$6,$F$12*(B135+$B$5)^3+$F$13*(B135+$B$5)^2+$F$6*(B135+$B$5)+$F$8,$F$9+$F$7*(B135-$B$6))))</f>
        <v/>
      </c>
      <c r="G135" s="10">
        <f>IF(F135="","",$B$10+F135)</f>
        <v/>
      </c>
      <c r="H135" s="10">
        <f>IF(B135="","",$B$9+B135)</f>
        <v/>
      </c>
    </row>
    <row r="136">
      <c r="A136" s="8">
        <f>IF(B136="","",A135+1)</f>
        <v/>
      </c>
      <c r="B136" s="8">
        <f>IF(B135="","",IF(B135+$B$11&lt;=$B$6+1E-9,B135+$B$11,""))</f>
        <v/>
      </c>
      <c r="C136" s="8">
        <f>IF(B136="","",B136+$B$5)</f>
        <v/>
      </c>
      <c r="D136" s="8">
        <f>IF(B136="","",IF(B136&lt;- $B$5,"Left tangent",IF(B136&lt;=$B$6,"Cubic curve","Right tangent")))</f>
        <v/>
      </c>
      <c r="E136" s="9">
        <f>IF(B136="","",IF(B136&lt;- $B$5,$B$7,IF(B136&lt;=$B$6,100*(3*$F$12*(B136+$B$5)^2+2*$F$13*(B136+$B$5)+$F$6),$B$8)))</f>
        <v/>
      </c>
      <c r="F136" s="10">
        <f>IF(B136="","",IF(B136&lt;- $B$5,$F$6*B136,IF(B136&lt;=$B$6,$F$12*(B136+$B$5)^3+$F$13*(B136+$B$5)^2+$F$6*(B136+$B$5)+$F$8,$F$9+$F$7*(B136-$B$6))))</f>
        <v/>
      </c>
      <c r="G136" s="10">
        <f>IF(F136="","",$B$10+F136)</f>
        <v/>
      </c>
      <c r="H136" s="10">
        <f>IF(B136="","",$B$9+B136)</f>
        <v/>
      </c>
    </row>
    <row r="137">
      <c r="A137" s="8">
        <f>IF(B137="","",A136+1)</f>
        <v/>
      </c>
      <c r="B137" s="8">
        <f>IF(B136="","",IF(B136+$B$11&lt;=$B$6+1E-9,B136+$B$11,""))</f>
        <v/>
      </c>
      <c r="C137" s="8">
        <f>IF(B137="","",B137+$B$5)</f>
        <v/>
      </c>
      <c r="D137" s="8">
        <f>IF(B137="","",IF(B137&lt;- $B$5,"Left tangent",IF(B137&lt;=$B$6,"Cubic curve","Right tangent")))</f>
        <v/>
      </c>
      <c r="E137" s="9">
        <f>IF(B137="","",IF(B137&lt;- $B$5,$B$7,IF(B137&lt;=$B$6,100*(3*$F$12*(B137+$B$5)^2+2*$F$13*(B137+$B$5)+$F$6),$B$8)))</f>
        <v/>
      </c>
      <c r="F137" s="10">
        <f>IF(B137="","",IF(B137&lt;- $B$5,$F$6*B137,IF(B137&lt;=$B$6,$F$12*(B137+$B$5)^3+$F$13*(B137+$B$5)^2+$F$6*(B137+$B$5)+$F$8,$F$9+$F$7*(B137-$B$6))))</f>
        <v/>
      </c>
      <c r="G137" s="10">
        <f>IF(F137="","",$B$10+F137)</f>
        <v/>
      </c>
      <c r="H137" s="10">
        <f>IF(B137="","",$B$9+B137)</f>
        <v/>
      </c>
    </row>
    <row r="138">
      <c r="A138" s="8">
        <f>IF(B138="","",A137+1)</f>
        <v/>
      </c>
      <c r="B138" s="8">
        <f>IF(B137="","",IF(B137+$B$11&lt;=$B$6+1E-9,B137+$B$11,""))</f>
        <v/>
      </c>
      <c r="C138" s="8">
        <f>IF(B138="","",B138+$B$5)</f>
        <v/>
      </c>
      <c r="D138" s="8">
        <f>IF(B138="","",IF(B138&lt;- $B$5,"Left tangent",IF(B138&lt;=$B$6,"Cubic curve","Right tangent")))</f>
        <v/>
      </c>
      <c r="E138" s="9">
        <f>IF(B138="","",IF(B138&lt;- $B$5,$B$7,IF(B138&lt;=$B$6,100*(3*$F$12*(B138+$B$5)^2+2*$F$13*(B138+$B$5)+$F$6),$B$8)))</f>
        <v/>
      </c>
      <c r="F138" s="10">
        <f>IF(B138="","",IF(B138&lt;- $B$5,$F$6*B138,IF(B138&lt;=$B$6,$F$12*(B138+$B$5)^3+$F$13*(B138+$B$5)^2+$F$6*(B138+$B$5)+$F$8,$F$9+$F$7*(B138-$B$6))))</f>
        <v/>
      </c>
      <c r="G138" s="10">
        <f>IF(F138="","",$B$10+F138)</f>
        <v/>
      </c>
      <c r="H138" s="10">
        <f>IF(B138="","",$B$9+B138)</f>
        <v/>
      </c>
    </row>
    <row r="139">
      <c r="A139" s="8">
        <f>IF(B139="","",A138+1)</f>
        <v/>
      </c>
      <c r="B139" s="8">
        <f>IF(B138="","",IF(B138+$B$11&lt;=$B$6+1E-9,B138+$B$11,""))</f>
        <v/>
      </c>
      <c r="C139" s="8">
        <f>IF(B139="","",B139+$B$5)</f>
        <v/>
      </c>
      <c r="D139" s="8">
        <f>IF(B139="","",IF(B139&lt;- $B$5,"Left tangent",IF(B139&lt;=$B$6,"Cubic curve","Right tangent")))</f>
        <v/>
      </c>
      <c r="E139" s="9">
        <f>IF(B139="","",IF(B139&lt;- $B$5,$B$7,IF(B139&lt;=$B$6,100*(3*$F$12*(B139+$B$5)^2+2*$F$13*(B139+$B$5)+$F$6),$B$8)))</f>
        <v/>
      </c>
      <c r="F139" s="10">
        <f>IF(B139="","",IF(B139&lt;- $B$5,$F$6*B139,IF(B139&lt;=$B$6,$F$12*(B139+$B$5)^3+$F$13*(B139+$B$5)^2+$F$6*(B139+$B$5)+$F$8,$F$9+$F$7*(B139-$B$6))))</f>
        <v/>
      </c>
      <c r="G139" s="10">
        <f>IF(F139="","",$B$10+F139)</f>
        <v/>
      </c>
      <c r="H139" s="10">
        <f>IF(B139="","",$B$9+B139)</f>
        <v/>
      </c>
    </row>
    <row r="140">
      <c r="A140" s="8">
        <f>IF(B140="","",A139+1)</f>
        <v/>
      </c>
      <c r="B140" s="8">
        <f>IF(B139="","",IF(B139+$B$11&lt;=$B$6+1E-9,B139+$B$11,""))</f>
        <v/>
      </c>
      <c r="C140" s="8">
        <f>IF(B140="","",B140+$B$5)</f>
        <v/>
      </c>
      <c r="D140" s="8">
        <f>IF(B140="","",IF(B140&lt;- $B$5,"Left tangent",IF(B140&lt;=$B$6,"Cubic curve","Right tangent")))</f>
        <v/>
      </c>
      <c r="E140" s="9">
        <f>IF(B140="","",IF(B140&lt;- $B$5,$B$7,IF(B140&lt;=$B$6,100*(3*$F$12*(B140+$B$5)^2+2*$F$13*(B140+$B$5)+$F$6),$B$8)))</f>
        <v/>
      </c>
      <c r="F140" s="10">
        <f>IF(B140="","",IF(B140&lt;- $B$5,$F$6*B140,IF(B140&lt;=$B$6,$F$12*(B140+$B$5)^3+$F$13*(B140+$B$5)^2+$F$6*(B140+$B$5)+$F$8,$F$9+$F$7*(B140-$B$6))))</f>
        <v/>
      </c>
      <c r="G140" s="10">
        <f>IF(F140="","",$B$10+F140)</f>
        <v/>
      </c>
      <c r="H140" s="10">
        <f>IF(B140="","",$B$9+B140)</f>
        <v/>
      </c>
    </row>
    <row r="141">
      <c r="A141" s="8">
        <f>IF(B141="","",A140+1)</f>
        <v/>
      </c>
      <c r="B141" s="8">
        <f>IF(B140="","",IF(B140+$B$11&lt;=$B$6+1E-9,B140+$B$11,""))</f>
        <v/>
      </c>
      <c r="C141" s="8">
        <f>IF(B141="","",B141+$B$5)</f>
        <v/>
      </c>
      <c r="D141" s="8">
        <f>IF(B141="","",IF(B141&lt;- $B$5,"Left tangent",IF(B141&lt;=$B$6,"Cubic curve","Right tangent")))</f>
        <v/>
      </c>
      <c r="E141" s="9">
        <f>IF(B141="","",IF(B141&lt;- $B$5,$B$7,IF(B141&lt;=$B$6,100*(3*$F$12*(B141+$B$5)^2+2*$F$13*(B141+$B$5)+$F$6),$B$8)))</f>
        <v/>
      </c>
      <c r="F141" s="10">
        <f>IF(B141="","",IF(B141&lt;- $B$5,$F$6*B141,IF(B141&lt;=$B$6,$F$12*(B141+$B$5)^3+$F$13*(B141+$B$5)^2+$F$6*(B141+$B$5)+$F$8,$F$9+$F$7*(B141-$B$6))))</f>
        <v/>
      </c>
      <c r="G141" s="10">
        <f>IF(F141="","",$B$10+F141)</f>
        <v/>
      </c>
      <c r="H141" s="10">
        <f>IF(B141="","",$B$9+B141)</f>
        <v/>
      </c>
    </row>
    <row r="142">
      <c r="A142" s="8">
        <f>IF(B142="","",A141+1)</f>
        <v/>
      </c>
      <c r="B142" s="8">
        <f>IF(B141="","",IF(B141+$B$11&lt;=$B$6+1E-9,B141+$B$11,""))</f>
        <v/>
      </c>
      <c r="C142" s="8">
        <f>IF(B142="","",B142+$B$5)</f>
        <v/>
      </c>
      <c r="D142" s="8">
        <f>IF(B142="","",IF(B142&lt;- $B$5,"Left tangent",IF(B142&lt;=$B$6,"Cubic curve","Right tangent")))</f>
        <v/>
      </c>
      <c r="E142" s="9">
        <f>IF(B142="","",IF(B142&lt;- $B$5,$B$7,IF(B142&lt;=$B$6,100*(3*$F$12*(B142+$B$5)^2+2*$F$13*(B142+$B$5)+$F$6),$B$8)))</f>
        <v/>
      </c>
      <c r="F142" s="10">
        <f>IF(B142="","",IF(B142&lt;- $B$5,$F$6*B142,IF(B142&lt;=$B$6,$F$12*(B142+$B$5)^3+$F$13*(B142+$B$5)^2+$F$6*(B142+$B$5)+$F$8,$F$9+$F$7*(B142-$B$6))))</f>
        <v/>
      </c>
      <c r="G142" s="10">
        <f>IF(F142="","",$B$10+F142)</f>
        <v/>
      </c>
      <c r="H142" s="10">
        <f>IF(B142="","",$B$9+B142)</f>
        <v/>
      </c>
    </row>
    <row r="143">
      <c r="A143" s="8">
        <f>IF(B143="","",A142+1)</f>
        <v/>
      </c>
      <c r="B143" s="8">
        <f>IF(B142="","",IF(B142+$B$11&lt;=$B$6+1E-9,B142+$B$11,""))</f>
        <v/>
      </c>
      <c r="C143" s="8">
        <f>IF(B143="","",B143+$B$5)</f>
        <v/>
      </c>
      <c r="D143" s="8">
        <f>IF(B143="","",IF(B143&lt;- $B$5,"Left tangent",IF(B143&lt;=$B$6,"Cubic curve","Right tangent")))</f>
        <v/>
      </c>
      <c r="E143" s="9">
        <f>IF(B143="","",IF(B143&lt;- $B$5,$B$7,IF(B143&lt;=$B$6,100*(3*$F$12*(B143+$B$5)^2+2*$F$13*(B143+$B$5)+$F$6),$B$8)))</f>
        <v/>
      </c>
      <c r="F143" s="10">
        <f>IF(B143="","",IF(B143&lt;- $B$5,$F$6*B143,IF(B143&lt;=$B$6,$F$12*(B143+$B$5)^3+$F$13*(B143+$B$5)^2+$F$6*(B143+$B$5)+$F$8,$F$9+$F$7*(B143-$B$6))))</f>
        <v/>
      </c>
      <c r="G143" s="10">
        <f>IF(F143="","",$B$10+F143)</f>
        <v/>
      </c>
      <c r="H143" s="10">
        <f>IF(B143="","",$B$9+B143)</f>
        <v/>
      </c>
    </row>
    <row r="144">
      <c r="A144" s="8">
        <f>IF(B144="","",A143+1)</f>
        <v/>
      </c>
      <c r="B144" s="8">
        <f>IF(B143="","",IF(B143+$B$11&lt;=$B$6+1E-9,B143+$B$11,""))</f>
        <v/>
      </c>
      <c r="C144" s="8">
        <f>IF(B144="","",B144+$B$5)</f>
        <v/>
      </c>
      <c r="D144" s="8">
        <f>IF(B144="","",IF(B144&lt;- $B$5,"Left tangent",IF(B144&lt;=$B$6,"Cubic curve","Right tangent")))</f>
        <v/>
      </c>
      <c r="E144" s="9">
        <f>IF(B144="","",IF(B144&lt;- $B$5,$B$7,IF(B144&lt;=$B$6,100*(3*$F$12*(B144+$B$5)^2+2*$F$13*(B144+$B$5)+$F$6),$B$8)))</f>
        <v/>
      </c>
      <c r="F144" s="10">
        <f>IF(B144="","",IF(B144&lt;- $B$5,$F$6*B144,IF(B144&lt;=$B$6,$F$12*(B144+$B$5)^3+$F$13*(B144+$B$5)^2+$F$6*(B144+$B$5)+$F$8,$F$9+$F$7*(B144-$B$6))))</f>
        <v/>
      </c>
      <c r="G144" s="10">
        <f>IF(F144="","",$B$10+F144)</f>
        <v/>
      </c>
      <c r="H144" s="10">
        <f>IF(B144="","",$B$9+B144)</f>
        <v/>
      </c>
    </row>
    <row r="145">
      <c r="A145" s="8">
        <f>IF(B145="","",A144+1)</f>
        <v/>
      </c>
      <c r="B145" s="8">
        <f>IF(B144="","",IF(B144+$B$11&lt;=$B$6+1E-9,B144+$B$11,""))</f>
        <v/>
      </c>
      <c r="C145" s="8">
        <f>IF(B145="","",B145+$B$5)</f>
        <v/>
      </c>
      <c r="D145" s="8">
        <f>IF(B145="","",IF(B145&lt;- $B$5,"Left tangent",IF(B145&lt;=$B$6,"Cubic curve","Right tangent")))</f>
        <v/>
      </c>
      <c r="E145" s="9">
        <f>IF(B145="","",IF(B145&lt;- $B$5,$B$7,IF(B145&lt;=$B$6,100*(3*$F$12*(B145+$B$5)^2+2*$F$13*(B145+$B$5)+$F$6),$B$8)))</f>
        <v/>
      </c>
      <c r="F145" s="10">
        <f>IF(B145="","",IF(B145&lt;- $B$5,$F$6*B145,IF(B145&lt;=$B$6,$F$12*(B145+$B$5)^3+$F$13*(B145+$B$5)^2+$F$6*(B145+$B$5)+$F$8,$F$9+$F$7*(B145-$B$6))))</f>
        <v/>
      </c>
      <c r="G145" s="10">
        <f>IF(F145="","",$B$10+F145)</f>
        <v/>
      </c>
      <c r="H145" s="10">
        <f>IF(B145="","",$B$9+B145)</f>
        <v/>
      </c>
    </row>
    <row r="146">
      <c r="A146" s="8">
        <f>IF(B146="","",A145+1)</f>
        <v/>
      </c>
      <c r="B146" s="8">
        <f>IF(B145="","",IF(B145+$B$11&lt;=$B$6+1E-9,B145+$B$11,""))</f>
        <v/>
      </c>
      <c r="C146" s="8">
        <f>IF(B146="","",B146+$B$5)</f>
        <v/>
      </c>
      <c r="D146" s="8">
        <f>IF(B146="","",IF(B146&lt;- $B$5,"Left tangent",IF(B146&lt;=$B$6,"Cubic curve","Right tangent")))</f>
        <v/>
      </c>
      <c r="E146" s="9">
        <f>IF(B146="","",IF(B146&lt;- $B$5,$B$7,IF(B146&lt;=$B$6,100*(3*$F$12*(B146+$B$5)^2+2*$F$13*(B146+$B$5)+$F$6),$B$8)))</f>
        <v/>
      </c>
      <c r="F146" s="10">
        <f>IF(B146="","",IF(B146&lt;- $B$5,$F$6*B146,IF(B146&lt;=$B$6,$F$12*(B146+$B$5)^3+$F$13*(B146+$B$5)^2+$F$6*(B146+$B$5)+$F$8,$F$9+$F$7*(B146-$B$6))))</f>
        <v/>
      </c>
      <c r="G146" s="10">
        <f>IF(F146="","",$B$10+F146)</f>
        <v/>
      </c>
      <c r="H146" s="10">
        <f>IF(B146="","",$B$9+B146)</f>
        <v/>
      </c>
    </row>
    <row r="147">
      <c r="A147" s="8">
        <f>IF(B147="","",A146+1)</f>
        <v/>
      </c>
      <c r="B147" s="8">
        <f>IF(B146="","",IF(B146+$B$11&lt;=$B$6+1E-9,B146+$B$11,""))</f>
        <v/>
      </c>
      <c r="C147" s="8">
        <f>IF(B147="","",B147+$B$5)</f>
        <v/>
      </c>
      <c r="D147" s="8">
        <f>IF(B147="","",IF(B147&lt;- $B$5,"Left tangent",IF(B147&lt;=$B$6,"Cubic curve","Right tangent")))</f>
        <v/>
      </c>
      <c r="E147" s="9">
        <f>IF(B147="","",IF(B147&lt;- $B$5,$B$7,IF(B147&lt;=$B$6,100*(3*$F$12*(B147+$B$5)^2+2*$F$13*(B147+$B$5)+$F$6),$B$8)))</f>
        <v/>
      </c>
      <c r="F147" s="10">
        <f>IF(B147="","",IF(B147&lt;- $B$5,$F$6*B147,IF(B147&lt;=$B$6,$F$12*(B147+$B$5)^3+$F$13*(B147+$B$5)^2+$F$6*(B147+$B$5)+$F$8,$F$9+$F$7*(B147-$B$6))))</f>
        <v/>
      </c>
      <c r="G147" s="10">
        <f>IF(F147="","",$B$10+F147)</f>
        <v/>
      </c>
      <c r="H147" s="10">
        <f>IF(B147="","",$B$9+B147)</f>
        <v/>
      </c>
    </row>
    <row r="148">
      <c r="A148" s="8">
        <f>IF(B148="","",A147+1)</f>
        <v/>
      </c>
      <c r="B148" s="8">
        <f>IF(B147="","",IF(B147+$B$11&lt;=$B$6+1E-9,B147+$B$11,""))</f>
        <v/>
      </c>
      <c r="C148" s="8">
        <f>IF(B148="","",B148+$B$5)</f>
        <v/>
      </c>
      <c r="D148" s="8">
        <f>IF(B148="","",IF(B148&lt;- $B$5,"Left tangent",IF(B148&lt;=$B$6,"Cubic curve","Right tangent")))</f>
        <v/>
      </c>
      <c r="E148" s="9">
        <f>IF(B148="","",IF(B148&lt;- $B$5,$B$7,IF(B148&lt;=$B$6,100*(3*$F$12*(B148+$B$5)^2+2*$F$13*(B148+$B$5)+$F$6),$B$8)))</f>
        <v/>
      </c>
      <c r="F148" s="10">
        <f>IF(B148="","",IF(B148&lt;- $B$5,$F$6*B148,IF(B148&lt;=$B$6,$F$12*(B148+$B$5)^3+$F$13*(B148+$B$5)^2+$F$6*(B148+$B$5)+$F$8,$F$9+$F$7*(B148-$B$6))))</f>
        <v/>
      </c>
      <c r="G148" s="10">
        <f>IF(F148="","",$B$10+F148)</f>
        <v/>
      </c>
      <c r="H148" s="10">
        <f>IF(B148="","",$B$9+B148)</f>
        <v/>
      </c>
    </row>
    <row r="149">
      <c r="A149" s="8">
        <f>IF(B149="","",A148+1)</f>
        <v/>
      </c>
      <c r="B149" s="8">
        <f>IF(B148="","",IF(B148+$B$11&lt;=$B$6+1E-9,B148+$B$11,""))</f>
        <v/>
      </c>
      <c r="C149" s="8">
        <f>IF(B149="","",B149+$B$5)</f>
        <v/>
      </c>
      <c r="D149" s="8">
        <f>IF(B149="","",IF(B149&lt;- $B$5,"Left tangent",IF(B149&lt;=$B$6,"Cubic curve","Right tangent")))</f>
        <v/>
      </c>
      <c r="E149" s="9">
        <f>IF(B149="","",IF(B149&lt;- $B$5,$B$7,IF(B149&lt;=$B$6,100*(3*$F$12*(B149+$B$5)^2+2*$F$13*(B149+$B$5)+$F$6),$B$8)))</f>
        <v/>
      </c>
      <c r="F149" s="10">
        <f>IF(B149="","",IF(B149&lt;- $B$5,$F$6*B149,IF(B149&lt;=$B$6,$F$12*(B149+$B$5)^3+$F$13*(B149+$B$5)^2+$F$6*(B149+$B$5)+$F$8,$F$9+$F$7*(B149-$B$6))))</f>
        <v/>
      </c>
      <c r="G149" s="10">
        <f>IF(F149="","",$B$10+F149)</f>
        <v/>
      </c>
      <c r="H149" s="10">
        <f>IF(B149="","",$B$9+B149)</f>
        <v/>
      </c>
    </row>
    <row r="150">
      <c r="A150" s="8">
        <f>IF(B150="","",A149+1)</f>
        <v/>
      </c>
      <c r="B150" s="8">
        <f>IF(B149="","",IF(B149+$B$11&lt;=$B$6+1E-9,B149+$B$11,""))</f>
        <v/>
      </c>
      <c r="C150" s="8">
        <f>IF(B150="","",B150+$B$5)</f>
        <v/>
      </c>
      <c r="D150" s="8">
        <f>IF(B150="","",IF(B150&lt;- $B$5,"Left tangent",IF(B150&lt;=$B$6,"Cubic curve","Right tangent")))</f>
        <v/>
      </c>
      <c r="E150" s="9">
        <f>IF(B150="","",IF(B150&lt;- $B$5,$B$7,IF(B150&lt;=$B$6,100*(3*$F$12*(B150+$B$5)^2+2*$F$13*(B150+$B$5)+$F$6),$B$8)))</f>
        <v/>
      </c>
      <c r="F150" s="10">
        <f>IF(B150="","",IF(B150&lt;- $B$5,$F$6*B150,IF(B150&lt;=$B$6,$F$12*(B150+$B$5)^3+$F$13*(B150+$B$5)^2+$F$6*(B150+$B$5)+$F$8,$F$9+$F$7*(B150-$B$6))))</f>
        <v/>
      </c>
      <c r="G150" s="10">
        <f>IF(F150="","",$B$10+F150)</f>
        <v/>
      </c>
      <c r="H150" s="10">
        <f>IF(B150="","",$B$9+B150)</f>
        <v/>
      </c>
    </row>
    <row r="151">
      <c r="A151" s="8">
        <f>IF(B151="","",A150+1)</f>
        <v/>
      </c>
      <c r="B151" s="8">
        <f>IF(B150="","",IF(B150+$B$11&lt;=$B$6+1E-9,B150+$B$11,""))</f>
        <v/>
      </c>
      <c r="C151" s="8">
        <f>IF(B151="","",B151+$B$5)</f>
        <v/>
      </c>
      <c r="D151" s="8">
        <f>IF(B151="","",IF(B151&lt;- $B$5,"Left tangent",IF(B151&lt;=$B$6,"Cubic curve","Right tangent")))</f>
        <v/>
      </c>
      <c r="E151" s="9">
        <f>IF(B151="","",IF(B151&lt;- $B$5,$B$7,IF(B151&lt;=$B$6,100*(3*$F$12*(B151+$B$5)^2+2*$F$13*(B151+$B$5)+$F$6),$B$8)))</f>
        <v/>
      </c>
      <c r="F151" s="10">
        <f>IF(B151="","",IF(B151&lt;- $B$5,$F$6*B151,IF(B151&lt;=$B$6,$F$12*(B151+$B$5)^3+$F$13*(B151+$B$5)^2+$F$6*(B151+$B$5)+$F$8,$F$9+$F$7*(B151-$B$6))))</f>
        <v/>
      </c>
      <c r="G151" s="10">
        <f>IF(F151="","",$B$10+F151)</f>
        <v/>
      </c>
      <c r="H151" s="10">
        <f>IF(B151="","",$B$9+B151)</f>
        <v/>
      </c>
    </row>
    <row r="152">
      <c r="A152" s="8">
        <f>IF(B152="","",A151+1)</f>
        <v/>
      </c>
      <c r="B152" s="8">
        <f>IF(B151="","",IF(B151+$B$11&lt;=$B$6+1E-9,B151+$B$11,""))</f>
        <v/>
      </c>
      <c r="C152" s="8">
        <f>IF(B152="","",B152+$B$5)</f>
        <v/>
      </c>
      <c r="D152" s="8">
        <f>IF(B152="","",IF(B152&lt;- $B$5,"Left tangent",IF(B152&lt;=$B$6,"Cubic curve","Right tangent")))</f>
        <v/>
      </c>
      <c r="E152" s="9">
        <f>IF(B152="","",IF(B152&lt;- $B$5,$B$7,IF(B152&lt;=$B$6,100*(3*$F$12*(B152+$B$5)^2+2*$F$13*(B152+$B$5)+$F$6),$B$8)))</f>
        <v/>
      </c>
      <c r="F152" s="10">
        <f>IF(B152="","",IF(B152&lt;- $B$5,$F$6*B152,IF(B152&lt;=$B$6,$F$12*(B152+$B$5)^3+$F$13*(B152+$B$5)^2+$F$6*(B152+$B$5)+$F$8,$F$9+$F$7*(B152-$B$6))))</f>
        <v/>
      </c>
      <c r="G152" s="10">
        <f>IF(F152="","",$B$10+F152)</f>
        <v/>
      </c>
      <c r="H152" s="10">
        <f>IF(B152="","",$B$9+B152)</f>
        <v/>
      </c>
    </row>
    <row r="153">
      <c r="A153" s="8">
        <f>IF(B153="","",A152+1)</f>
        <v/>
      </c>
      <c r="B153" s="8">
        <f>IF(B152="","",IF(B152+$B$11&lt;=$B$6+1E-9,B152+$B$11,""))</f>
        <v/>
      </c>
      <c r="C153" s="8">
        <f>IF(B153="","",B153+$B$5)</f>
        <v/>
      </c>
      <c r="D153" s="8">
        <f>IF(B153="","",IF(B153&lt;- $B$5,"Left tangent",IF(B153&lt;=$B$6,"Cubic curve","Right tangent")))</f>
        <v/>
      </c>
      <c r="E153" s="9">
        <f>IF(B153="","",IF(B153&lt;- $B$5,$B$7,IF(B153&lt;=$B$6,100*(3*$F$12*(B153+$B$5)^2+2*$F$13*(B153+$B$5)+$F$6),$B$8)))</f>
        <v/>
      </c>
      <c r="F153" s="10">
        <f>IF(B153="","",IF(B153&lt;- $B$5,$F$6*B153,IF(B153&lt;=$B$6,$F$12*(B153+$B$5)^3+$F$13*(B153+$B$5)^2+$F$6*(B153+$B$5)+$F$8,$F$9+$F$7*(B153-$B$6))))</f>
        <v/>
      </c>
      <c r="G153" s="10">
        <f>IF(F153="","",$B$10+F153)</f>
        <v/>
      </c>
      <c r="H153" s="10">
        <f>IF(B153="","",$B$9+B153)</f>
        <v/>
      </c>
    </row>
    <row r="154">
      <c r="A154" s="8">
        <f>IF(B154="","",A153+1)</f>
        <v/>
      </c>
      <c r="B154" s="8">
        <f>IF(B153="","",IF(B153+$B$11&lt;=$B$6+1E-9,B153+$B$11,""))</f>
        <v/>
      </c>
      <c r="C154" s="8">
        <f>IF(B154="","",B154+$B$5)</f>
        <v/>
      </c>
      <c r="D154" s="8">
        <f>IF(B154="","",IF(B154&lt;- $B$5,"Left tangent",IF(B154&lt;=$B$6,"Cubic curve","Right tangent")))</f>
        <v/>
      </c>
      <c r="E154" s="9">
        <f>IF(B154="","",IF(B154&lt;- $B$5,$B$7,IF(B154&lt;=$B$6,100*(3*$F$12*(B154+$B$5)^2+2*$F$13*(B154+$B$5)+$F$6),$B$8)))</f>
        <v/>
      </c>
      <c r="F154" s="10">
        <f>IF(B154="","",IF(B154&lt;- $B$5,$F$6*B154,IF(B154&lt;=$B$6,$F$12*(B154+$B$5)^3+$F$13*(B154+$B$5)^2+$F$6*(B154+$B$5)+$F$8,$F$9+$F$7*(B154-$B$6))))</f>
        <v/>
      </c>
      <c r="G154" s="10">
        <f>IF(F154="","",$B$10+F154)</f>
        <v/>
      </c>
      <c r="H154" s="10">
        <f>IF(B154="","",$B$9+B154)</f>
        <v/>
      </c>
    </row>
    <row r="155">
      <c r="A155" s="8">
        <f>IF(B155="","",A154+1)</f>
        <v/>
      </c>
      <c r="B155" s="8">
        <f>IF(B154="","",IF(B154+$B$11&lt;=$B$6+1E-9,B154+$B$11,""))</f>
        <v/>
      </c>
      <c r="C155" s="8">
        <f>IF(B155="","",B155+$B$5)</f>
        <v/>
      </c>
      <c r="D155" s="8">
        <f>IF(B155="","",IF(B155&lt;- $B$5,"Left tangent",IF(B155&lt;=$B$6,"Cubic curve","Right tangent")))</f>
        <v/>
      </c>
      <c r="E155" s="9">
        <f>IF(B155="","",IF(B155&lt;- $B$5,$B$7,IF(B155&lt;=$B$6,100*(3*$F$12*(B155+$B$5)^2+2*$F$13*(B155+$B$5)+$F$6),$B$8)))</f>
        <v/>
      </c>
      <c r="F155" s="10">
        <f>IF(B155="","",IF(B155&lt;- $B$5,$F$6*B155,IF(B155&lt;=$B$6,$F$12*(B155+$B$5)^3+$F$13*(B155+$B$5)^2+$F$6*(B155+$B$5)+$F$8,$F$9+$F$7*(B155-$B$6))))</f>
        <v/>
      </c>
      <c r="G155" s="10">
        <f>IF(F155="","",$B$10+F155)</f>
        <v/>
      </c>
      <c r="H155" s="10">
        <f>IF(B155="","",$B$9+B155)</f>
        <v/>
      </c>
    </row>
    <row r="156">
      <c r="A156" s="8">
        <f>IF(B156="","",A155+1)</f>
        <v/>
      </c>
      <c r="B156" s="8">
        <f>IF(B155="","",IF(B155+$B$11&lt;=$B$6+1E-9,B155+$B$11,""))</f>
        <v/>
      </c>
      <c r="C156" s="8">
        <f>IF(B156="","",B156+$B$5)</f>
        <v/>
      </c>
      <c r="D156" s="8">
        <f>IF(B156="","",IF(B156&lt;- $B$5,"Left tangent",IF(B156&lt;=$B$6,"Cubic curve","Right tangent")))</f>
        <v/>
      </c>
      <c r="E156" s="9">
        <f>IF(B156="","",IF(B156&lt;- $B$5,$B$7,IF(B156&lt;=$B$6,100*(3*$F$12*(B156+$B$5)^2+2*$F$13*(B156+$B$5)+$F$6),$B$8)))</f>
        <v/>
      </c>
      <c r="F156" s="10">
        <f>IF(B156="","",IF(B156&lt;- $B$5,$F$6*B156,IF(B156&lt;=$B$6,$F$12*(B156+$B$5)^3+$F$13*(B156+$B$5)^2+$F$6*(B156+$B$5)+$F$8,$F$9+$F$7*(B156-$B$6))))</f>
        <v/>
      </c>
      <c r="G156" s="10">
        <f>IF(F156="","",$B$10+F156)</f>
        <v/>
      </c>
      <c r="H156" s="10">
        <f>IF(B156="","",$B$9+B156)</f>
        <v/>
      </c>
    </row>
    <row r="157">
      <c r="A157" s="8">
        <f>IF(B157="","",A156+1)</f>
        <v/>
      </c>
      <c r="B157" s="8">
        <f>IF(B156="","",IF(B156+$B$11&lt;=$B$6+1E-9,B156+$B$11,""))</f>
        <v/>
      </c>
      <c r="C157" s="8">
        <f>IF(B157="","",B157+$B$5)</f>
        <v/>
      </c>
      <c r="D157" s="8">
        <f>IF(B157="","",IF(B157&lt;- $B$5,"Left tangent",IF(B157&lt;=$B$6,"Cubic curve","Right tangent")))</f>
        <v/>
      </c>
      <c r="E157" s="9">
        <f>IF(B157="","",IF(B157&lt;- $B$5,$B$7,IF(B157&lt;=$B$6,100*(3*$F$12*(B157+$B$5)^2+2*$F$13*(B157+$B$5)+$F$6),$B$8)))</f>
        <v/>
      </c>
      <c r="F157" s="10">
        <f>IF(B157="","",IF(B157&lt;- $B$5,$F$6*B157,IF(B157&lt;=$B$6,$F$12*(B157+$B$5)^3+$F$13*(B157+$B$5)^2+$F$6*(B157+$B$5)+$F$8,$F$9+$F$7*(B157-$B$6))))</f>
        <v/>
      </c>
      <c r="G157" s="10">
        <f>IF(F157="","",$B$10+F157)</f>
        <v/>
      </c>
      <c r="H157" s="10">
        <f>IF(B157="","",$B$9+B157)</f>
        <v/>
      </c>
    </row>
    <row r="158">
      <c r="A158" s="8">
        <f>IF(B158="","",A157+1)</f>
        <v/>
      </c>
      <c r="B158" s="8">
        <f>IF(B157="","",IF(B157+$B$11&lt;=$B$6+1E-9,B157+$B$11,""))</f>
        <v/>
      </c>
      <c r="C158" s="8">
        <f>IF(B158="","",B158+$B$5)</f>
        <v/>
      </c>
      <c r="D158" s="8">
        <f>IF(B158="","",IF(B158&lt;- $B$5,"Left tangent",IF(B158&lt;=$B$6,"Cubic curve","Right tangent")))</f>
        <v/>
      </c>
      <c r="E158" s="9">
        <f>IF(B158="","",IF(B158&lt;- $B$5,$B$7,IF(B158&lt;=$B$6,100*(3*$F$12*(B158+$B$5)^2+2*$F$13*(B158+$B$5)+$F$6),$B$8)))</f>
        <v/>
      </c>
      <c r="F158" s="10">
        <f>IF(B158="","",IF(B158&lt;- $B$5,$F$6*B158,IF(B158&lt;=$B$6,$F$12*(B158+$B$5)^3+$F$13*(B158+$B$5)^2+$F$6*(B158+$B$5)+$F$8,$F$9+$F$7*(B158-$B$6))))</f>
        <v/>
      </c>
      <c r="G158" s="10">
        <f>IF(F158="","",$B$10+F158)</f>
        <v/>
      </c>
      <c r="H158" s="10">
        <f>IF(B158="","",$B$9+B158)</f>
        <v/>
      </c>
    </row>
    <row r="159">
      <c r="A159" s="8">
        <f>IF(B159="","",A158+1)</f>
        <v/>
      </c>
      <c r="B159" s="8">
        <f>IF(B158="","",IF(B158+$B$11&lt;=$B$6+1E-9,B158+$B$11,""))</f>
        <v/>
      </c>
      <c r="C159" s="8">
        <f>IF(B159="","",B159+$B$5)</f>
        <v/>
      </c>
      <c r="D159" s="8">
        <f>IF(B159="","",IF(B159&lt;- $B$5,"Left tangent",IF(B159&lt;=$B$6,"Cubic curve","Right tangent")))</f>
        <v/>
      </c>
      <c r="E159" s="9">
        <f>IF(B159="","",IF(B159&lt;- $B$5,$B$7,IF(B159&lt;=$B$6,100*(3*$F$12*(B159+$B$5)^2+2*$F$13*(B159+$B$5)+$F$6),$B$8)))</f>
        <v/>
      </c>
      <c r="F159" s="10">
        <f>IF(B159="","",IF(B159&lt;- $B$5,$F$6*B159,IF(B159&lt;=$B$6,$F$12*(B159+$B$5)^3+$F$13*(B159+$B$5)^2+$F$6*(B159+$B$5)+$F$8,$F$9+$F$7*(B159-$B$6))))</f>
        <v/>
      </c>
      <c r="G159" s="10">
        <f>IF(F159="","",$B$10+F159)</f>
        <v/>
      </c>
      <c r="H159" s="10">
        <f>IF(B159="","",$B$9+B159)</f>
        <v/>
      </c>
    </row>
    <row r="160">
      <c r="A160" s="8">
        <f>IF(B160="","",A159+1)</f>
        <v/>
      </c>
      <c r="B160" s="8">
        <f>IF(B159="","",IF(B159+$B$11&lt;=$B$6+1E-9,B159+$B$11,""))</f>
        <v/>
      </c>
      <c r="C160" s="8">
        <f>IF(B160="","",B160+$B$5)</f>
        <v/>
      </c>
      <c r="D160" s="8">
        <f>IF(B160="","",IF(B160&lt;- $B$5,"Left tangent",IF(B160&lt;=$B$6,"Cubic curve","Right tangent")))</f>
        <v/>
      </c>
      <c r="E160" s="9">
        <f>IF(B160="","",IF(B160&lt;- $B$5,$B$7,IF(B160&lt;=$B$6,100*(3*$F$12*(B160+$B$5)^2+2*$F$13*(B160+$B$5)+$F$6),$B$8)))</f>
        <v/>
      </c>
      <c r="F160" s="10">
        <f>IF(B160="","",IF(B160&lt;- $B$5,$F$6*B160,IF(B160&lt;=$B$6,$F$12*(B160+$B$5)^3+$F$13*(B160+$B$5)^2+$F$6*(B160+$B$5)+$F$8,$F$9+$F$7*(B160-$B$6))))</f>
        <v/>
      </c>
      <c r="G160" s="10">
        <f>IF(F160="","",$B$10+F160)</f>
        <v/>
      </c>
      <c r="H160" s="10">
        <f>IF(B160="","",$B$9+B160)</f>
        <v/>
      </c>
    </row>
    <row r="161">
      <c r="A161" s="8">
        <f>IF(B161="","",A160+1)</f>
        <v/>
      </c>
      <c r="B161" s="8">
        <f>IF(B160="","",IF(B160+$B$11&lt;=$B$6+1E-9,B160+$B$11,""))</f>
        <v/>
      </c>
      <c r="C161" s="8">
        <f>IF(B161="","",B161+$B$5)</f>
        <v/>
      </c>
      <c r="D161" s="8">
        <f>IF(B161="","",IF(B161&lt;- $B$5,"Left tangent",IF(B161&lt;=$B$6,"Cubic curve","Right tangent")))</f>
        <v/>
      </c>
      <c r="E161" s="9">
        <f>IF(B161="","",IF(B161&lt;- $B$5,$B$7,IF(B161&lt;=$B$6,100*(3*$F$12*(B161+$B$5)^2+2*$F$13*(B161+$B$5)+$F$6),$B$8)))</f>
        <v/>
      </c>
      <c r="F161" s="10">
        <f>IF(B161="","",IF(B161&lt;- $B$5,$F$6*B161,IF(B161&lt;=$B$6,$F$12*(B161+$B$5)^3+$F$13*(B161+$B$5)^2+$F$6*(B161+$B$5)+$F$8,$F$9+$F$7*(B161-$B$6))))</f>
        <v/>
      </c>
      <c r="G161" s="10">
        <f>IF(F161="","",$B$10+F161)</f>
        <v/>
      </c>
      <c r="H161" s="10">
        <f>IF(B161="","",$B$9+B161)</f>
        <v/>
      </c>
    </row>
    <row r="162">
      <c r="A162" s="8">
        <f>IF(B162="","",A161+1)</f>
        <v/>
      </c>
      <c r="B162" s="8">
        <f>IF(B161="","",IF(B161+$B$11&lt;=$B$6+1E-9,B161+$B$11,""))</f>
        <v/>
      </c>
      <c r="C162" s="8">
        <f>IF(B162="","",B162+$B$5)</f>
        <v/>
      </c>
      <c r="D162" s="8">
        <f>IF(B162="","",IF(B162&lt;- $B$5,"Left tangent",IF(B162&lt;=$B$6,"Cubic curve","Right tangent")))</f>
        <v/>
      </c>
      <c r="E162" s="9">
        <f>IF(B162="","",IF(B162&lt;- $B$5,$B$7,IF(B162&lt;=$B$6,100*(3*$F$12*(B162+$B$5)^2+2*$F$13*(B162+$B$5)+$F$6),$B$8)))</f>
        <v/>
      </c>
      <c r="F162" s="10">
        <f>IF(B162="","",IF(B162&lt;- $B$5,$F$6*B162,IF(B162&lt;=$B$6,$F$12*(B162+$B$5)^3+$F$13*(B162+$B$5)^2+$F$6*(B162+$B$5)+$F$8,$F$9+$F$7*(B162-$B$6))))</f>
        <v/>
      </c>
      <c r="G162" s="10">
        <f>IF(F162="","",$B$10+F162)</f>
        <v/>
      </c>
      <c r="H162" s="10">
        <f>IF(B162="","",$B$9+B162)</f>
        <v/>
      </c>
    </row>
    <row r="163">
      <c r="A163" s="8">
        <f>IF(B163="","",A162+1)</f>
        <v/>
      </c>
      <c r="B163" s="8">
        <f>IF(B162="","",IF(B162+$B$11&lt;=$B$6+1E-9,B162+$B$11,""))</f>
        <v/>
      </c>
      <c r="C163" s="8">
        <f>IF(B163="","",B163+$B$5)</f>
        <v/>
      </c>
      <c r="D163" s="8">
        <f>IF(B163="","",IF(B163&lt;- $B$5,"Left tangent",IF(B163&lt;=$B$6,"Cubic curve","Right tangent")))</f>
        <v/>
      </c>
      <c r="E163" s="9">
        <f>IF(B163="","",IF(B163&lt;- $B$5,$B$7,IF(B163&lt;=$B$6,100*(3*$F$12*(B163+$B$5)^2+2*$F$13*(B163+$B$5)+$F$6),$B$8)))</f>
        <v/>
      </c>
      <c r="F163" s="10">
        <f>IF(B163="","",IF(B163&lt;- $B$5,$F$6*B163,IF(B163&lt;=$B$6,$F$12*(B163+$B$5)^3+$F$13*(B163+$B$5)^2+$F$6*(B163+$B$5)+$F$8,$F$9+$F$7*(B163-$B$6))))</f>
        <v/>
      </c>
      <c r="G163" s="10">
        <f>IF(F163="","",$B$10+F163)</f>
        <v/>
      </c>
      <c r="H163" s="10">
        <f>IF(B163="","",$B$9+B163)</f>
        <v/>
      </c>
    </row>
    <row r="164">
      <c r="A164" s="8">
        <f>IF(B164="","",A163+1)</f>
        <v/>
      </c>
      <c r="B164" s="8">
        <f>IF(B163="","",IF(B163+$B$11&lt;=$B$6+1E-9,B163+$B$11,""))</f>
        <v/>
      </c>
      <c r="C164" s="8">
        <f>IF(B164="","",B164+$B$5)</f>
        <v/>
      </c>
      <c r="D164" s="8">
        <f>IF(B164="","",IF(B164&lt;- $B$5,"Left tangent",IF(B164&lt;=$B$6,"Cubic curve","Right tangent")))</f>
        <v/>
      </c>
      <c r="E164" s="9">
        <f>IF(B164="","",IF(B164&lt;- $B$5,$B$7,IF(B164&lt;=$B$6,100*(3*$F$12*(B164+$B$5)^2+2*$F$13*(B164+$B$5)+$F$6),$B$8)))</f>
        <v/>
      </c>
      <c r="F164" s="10">
        <f>IF(B164="","",IF(B164&lt;- $B$5,$F$6*B164,IF(B164&lt;=$B$6,$F$12*(B164+$B$5)^3+$F$13*(B164+$B$5)^2+$F$6*(B164+$B$5)+$F$8,$F$9+$F$7*(B164-$B$6))))</f>
        <v/>
      </c>
      <c r="G164" s="10">
        <f>IF(F164="","",$B$10+F164)</f>
        <v/>
      </c>
      <c r="H164" s="10">
        <f>IF(B164="","",$B$9+B164)</f>
        <v/>
      </c>
    </row>
    <row r="165">
      <c r="A165" s="8">
        <f>IF(B165="","",A164+1)</f>
        <v/>
      </c>
      <c r="B165" s="8">
        <f>IF(B164="","",IF(B164+$B$11&lt;=$B$6+1E-9,B164+$B$11,""))</f>
        <v/>
      </c>
      <c r="C165" s="8">
        <f>IF(B165="","",B165+$B$5)</f>
        <v/>
      </c>
      <c r="D165" s="8">
        <f>IF(B165="","",IF(B165&lt;- $B$5,"Left tangent",IF(B165&lt;=$B$6,"Cubic curve","Right tangent")))</f>
        <v/>
      </c>
      <c r="E165" s="9">
        <f>IF(B165="","",IF(B165&lt;- $B$5,$B$7,IF(B165&lt;=$B$6,100*(3*$F$12*(B165+$B$5)^2+2*$F$13*(B165+$B$5)+$F$6),$B$8)))</f>
        <v/>
      </c>
      <c r="F165" s="10">
        <f>IF(B165="","",IF(B165&lt;- $B$5,$F$6*B165,IF(B165&lt;=$B$6,$F$12*(B165+$B$5)^3+$F$13*(B165+$B$5)^2+$F$6*(B165+$B$5)+$F$8,$F$9+$F$7*(B165-$B$6))))</f>
        <v/>
      </c>
      <c r="G165" s="10">
        <f>IF(F165="","",$B$10+F165)</f>
        <v/>
      </c>
      <c r="H165" s="10">
        <f>IF(B165="","",$B$9+B165)</f>
        <v/>
      </c>
    </row>
    <row r="166">
      <c r="A166" s="8">
        <f>IF(B166="","",A165+1)</f>
        <v/>
      </c>
      <c r="B166" s="8">
        <f>IF(B165="","",IF(B165+$B$11&lt;=$B$6+1E-9,B165+$B$11,""))</f>
        <v/>
      </c>
      <c r="C166" s="8">
        <f>IF(B166="","",B166+$B$5)</f>
        <v/>
      </c>
      <c r="D166" s="8">
        <f>IF(B166="","",IF(B166&lt;- $B$5,"Left tangent",IF(B166&lt;=$B$6,"Cubic curve","Right tangent")))</f>
        <v/>
      </c>
      <c r="E166" s="9">
        <f>IF(B166="","",IF(B166&lt;- $B$5,$B$7,IF(B166&lt;=$B$6,100*(3*$F$12*(B166+$B$5)^2+2*$F$13*(B166+$B$5)+$F$6),$B$8)))</f>
        <v/>
      </c>
      <c r="F166" s="10">
        <f>IF(B166="","",IF(B166&lt;- $B$5,$F$6*B166,IF(B166&lt;=$B$6,$F$12*(B166+$B$5)^3+$F$13*(B166+$B$5)^2+$F$6*(B166+$B$5)+$F$8,$F$9+$F$7*(B166-$B$6))))</f>
        <v/>
      </c>
      <c r="G166" s="10">
        <f>IF(F166="","",$B$10+F166)</f>
        <v/>
      </c>
      <c r="H166" s="10">
        <f>IF(B166="","",$B$9+B166)</f>
        <v/>
      </c>
    </row>
    <row r="167">
      <c r="A167" s="8">
        <f>IF(B167="","",A166+1)</f>
        <v/>
      </c>
      <c r="B167" s="8">
        <f>IF(B166="","",IF(B166+$B$11&lt;=$B$6+1E-9,B166+$B$11,""))</f>
        <v/>
      </c>
      <c r="C167" s="8">
        <f>IF(B167="","",B167+$B$5)</f>
        <v/>
      </c>
      <c r="D167" s="8">
        <f>IF(B167="","",IF(B167&lt;- $B$5,"Left tangent",IF(B167&lt;=$B$6,"Cubic curve","Right tangent")))</f>
        <v/>
      </c>
      <c r="E167" s="9">
        <f>IF(B167="","",IF(B167&lt;- $B$5,$B$7,IF(B167&lt;=$B$6,100*(3*$F$12*(B167+$B$5)^2+2*$F$13*(B167+$B$5)+$F$6),$B$8)))</f>
        <v/>
      </c>
      <c r="F167" s="10">
        <f>IF(B167="","",IF(B167&lt;- $B$5,$F$6*B167,IF(B167&lt;=$B$6,$F$12*(B167+$B$5)^3+$F$13*(B167+$B$5)^2+$F$6*(B167+$B$5)+$F$8,$F$9+$F$7*(B167-$B$6))))</f>
        <v/>
      </c>
      <c r="G167" s="10">
        <f>IF(F167="","",$B$10+F167)</f>
        <v/>
      </c>
      <c r="H167" s="10">
        <f>IF(B167="","",$B$9+B167)</f>
        <v/>
      </c>
    </row>
    <row r="168">
      <c r="A168" s="8">
        <f>IF(B168="","",A167+1)</f>
        <v/>
      </c>
      <c r="B168" s="8">
        <f>IF(B167="","",IF(B167+$B$11&lt;=$B$6+1E-9,B167+$B$11,""))</f>
        <v/>
      </c>
      <c r="C168" s="8">
        <f>IF(B168="","",B168+$B$5)</f>
        <v/>
      </c>
      <c r="D168" s="8">
        <f>IF(B168="","",IF(B168&lt;- $B$5,"Left tangent",IF(B168&lt;=$B$6,"Cubic curve","Right tangent")))</f>
        <v/>
      </c>
      <c r="E168" s="9">
        <f>IF(B168="","",IF(B168&lt;- $B$5,$B$7,IF(B168&lt;=$B$6,100*(3*$F$12*(B168+$B$5)^2+2*$F$13*(B168+$B$5)+$F$6),$B$8)))</f>
        <v/>
      </c>
      <c r="F168" s="10">
        <f>IF(B168="","",IF(B168&lt;- $B$5,$F$6*B168,IF(B168&lt;=$B$6,$F$12*(B168+$B$5)^3+$F$13*(B168+$B$5)^2+$F$6*(B168+$B$5)+$F$8,$F$9+$F$7*(B168-$B$6))))</f>
        <v/>
      </c>
      <c r="G168" s="10">
        <f>IF(F168="","",$B$10+F168)</f>
        <v/>
      </c>
      <c r="H168" s="10">
        <f>IF(B168="","",$B$9+B168)</f>
        <v/>
      </c>
    </row>
    <row r="169">
      <c r="A169" s="8">
        <f>IF(B169="","",A168+1)</f>
        <v/>
      </c>
      <c r="B169" s="8">
        <f>IF(B168="","",IF(B168+$B$11&lt;=$B$6+1E-9,B168+$B$11,""))</f>
        <v/>
      </c>
      <c r="C169" s="8">
        <f>IF(B169="","",B169+$B$5)</f>
        <v/>
      </c>
      <c r="D169" s="8">
        <f>IF(B169="","",IF(B169&lt;- $B$5,"Left tangent",IF(B169&lt;=$B$6,"Cubic curve","Right tangent")))</f>
        <v/>
      </c>
      <c r="E169" s="9">
        <f>IF(B169="","",IF(B169&lt;- $B$5,$B$7,IF(B169&lt;=$B$6,100*(3*$F$12*(B169+$B$5)^2+2*$F$13*(B169+$B$5)+$F$6),$B$8)))</f>
        <v/>
      </c>
      <c r="F169" s="10">
        <f>IF(B169="","",IF(B169&lt;- $B$5,$F$6*B169,IF(B169&lt;=$B$6,$F$12*(B169+$B$5)^3+$F$13*(B169+$B$5)^2+$F$6*(B169+$B$5)+$F$8,$F$9+$F$7*(B169-$B$6))))</f>
        <v/>
      </c>
      <c r="G169" s="10">
        <f>IF(F169="","",$B$10+F169)</f>
        <v/>
      </c>
      <c r="H169" s="10">
        <f>IF(B169="","",$B$9+B169)</f>
        <v/>
      </c>
    </row>
    <row r="170">
      <c r="A170" s="8">
        <f>IF(B170="","",A169+1)</f>
        <v/>
      </c>
      <c r="B170" s="8">
        <f>IF(B169="","",IF(B169+$B$11&lt;=$B$6+1E-9,B169+$B$11,""))</f>
        <v/>
      </c>
      <c r="C170" s="8">
        <f>IF(B170="","",B170+$B$5)</f>
        <v/>
      </c>
      <c r="D170" s="8">
        <f>IF(B170="","",IF(B170&lt;- $B$5,"Left tangent",IF(B170&lt;=$B$6,"Cubic curve","Right tangent")))</f>
        <v/>
      </c>
      <c r="E170" s="9">
        <f>IF(B170="","",IF(B170&lt;- $B$5,$B$7,IF(B170&lt;=$B$6,100*(3*$F$12*(B170+$B$5)^2+2*$F$13*(B170+$B$5)+$F$6),$B$8)))</f>
        <v/>
      </c>
      <c r="F170" s="10">
        <f>IF(B170="","",IF(B170&lt;- $B$5,$F$6*B170,IF(B170&lt;=$B$6,$F$12*(B170+$B$5)^3+$F$13*(B170+$B$5)^2+$F$6*(B170+$B$5)+$F$8,$F$9+$F$7*(B170-$B$6))))</f>
        <v/>
      </c>
      <c r="G170" s="10">
        <f>IF(F170="","",$B$10+F170)</f>
        <v/>
      </c>
      <c r="H170" s="10">
        <f>IF(B170="","",$B$9+B170)</f>
        <v/>
      </c>
    </row>
    <row r="171">
      <c r="A171" s="8">
        <f>IF(B171="","",A170+1)</f>
        <v/>
      </c>
      <c r="B171" s="8">
        <f>IF(B170="","",IF(B170+$B$11&lt;=$B$6+1E-9,B170+$B$11,""))</f>
        <v/>
      </c>
      <c r="C171" s="8">
        <f>IF(B171="","",B171+$B$5)</f>
        <v/>
      </c>
      <c r="D171" s="8">
        <f>IF(B171="","",IF(B171&lt;- $B$5,"Left tangent",IF(B171&lt;=$B$6,"Cubic curve","Right tangent")))</f>
        <v/>
      </c>
      <c r="E171" s="9">
        <f>IF(B171="","",IF(B171&lt;- $B$5,$B$7,IF(B171&lt;=$B$6,100*(3*$F$12*(B171+$B$5)^2+2*$F$13*(B171+$B$5)+$F$6),$B$8)))</f>
        <v/>
      </c>
      <c r="F171" s="10">
        <f>IF(B171="","",IF(B171&lt;- $B$5,$F$6*B171,IF(B171&lt;=$B$6,$F$12*(B171+$B$5)^3+$F$13*(B171+$B$5)^2+$F$6*(B171+$B$5)+$F$8,$F$9+$F$7*(B171-$B$6))))</f>
        <v/>
      </c>
      <c r="G171" s="10">
        <f>IF(F171="","",$B$10+F171)</f>
        <v/>
      </c>
      <c r="H171" s="10">
        <f>IF(B171="","",$B$9+B171)</f>
        <v/>
      </c>
    </row>
    <row r="172">
      <c r="A172" s="8">
        <f>IF(B172="","",A171+1)</f>
        <v/>
      </c>
      <c r="B172" s="8">
        <f>IF(B171="","",IF(B171+$B$11&lt;=$B$6+1E-9,B171+$B$11,""))</f>
        <v/>
      </c>
      <c r="C172" s="8">
        <f>IF(B172="","",B172+$B$5)</f>
        <v/>
      </c>
      <c r="D172" s="8">
        <f>IF(B172="","",IF(B172&lt;- $B$5,"Left tangent",IF(B172&lt;=$B$6,"Cubic curve","Right tangent")))</f>
        <v/>
      </c>
      <c r="E172" s="9">
        <f>IF(B172="","",IF(B172&lt;- $B$5,$B$7,IF(B172&lt;=$B$6,100*(3*$F$12*(B172+$B$5)^2+2*$F$13*(B172+$B$5)+$F$6),$B$8)))</f>
        <v/>
      </c>
      <c r="F172" s="10">
        <f>IF(B172="","",IF(B172&lt;- $B$5,$F$6*B172,IF(B172&lt;=$B$6,$F$12*(B172+$B$5)^3+$F$13*(B172+$B$5)^2+$F$6*(B172+$B$5)+$F$8,$F$9+$F$7*(B172-$B$6))))</f>
        <v/>
      </c>
      <c r="G172" s="10">
        <f>IF(F172="","",$B$10+F172)</f>
        <v/>
      </c>
      <c r="H172" s="10">
        <f>IF(B172="","",$B$9+B172)</f>
        <v/>
      </c>
    </row>
    <row r="173">
      <c r="A173" s="8">
        <f>IF(B173="","",A172+1)</f>
        <v/>
      </c>
      <c r="B173" s="8">
        <f>IF(B172="","",IF(B172+$B$11&lt;=$B$6+1E-9,B172+$B$11,""))</f>
        <v/>
      </c>
      <c r="C173" s="8">
        <f>IF(B173="","",B173+$B$5)</f>
        <v/>
      </c>
      <c r="D173" s="8">
        <f>IF(B173="","",IF(B173&lt;- $B$5,"Left tangent",IF(B173&lt;=$B$6,"Cubic curve","Right tangent")))</f>
        <v/>
      </c>
      <c r="E173" s="9">
        <f>IF(B173="","",IF(B173&lt;- $B$5,$B$7,IF(B173&lt;=$B$6,100*(3*$F$12*(B173+$B$5)^2+2*$F$13*(B173+$B$5)+$F$6),$B$8)))</f>
        <v/>
      </c>
      <c r="F173" s="10">
        <f>IF(B173="","",IF(B173&lt;- $B$5,$F$6*B173,IF(B173&lt;=$B$6,$F$12*(B173+$B$5)^3+$F$13*(B173+$B$5)^2+$F$6*(B173+$B$5)+$F$8,$F$9+$F$7*(B173-$B$6))))</f>
        <v/>
      </c>
      <c r="G173" s="10">
        <f>IF(F173="","",$B$10+F173)</f>
        <v/>
      </c>
      <c r="H173" s="10">
        <f>IF(B173="","",$B$9+B173)</f>
        <v/>
      </c>
    </row>
    <row r="174">
      <c r="A174" s="8">
        <f>IF(B174="","",A173+1)</f>
        <v/>
      </c>
      <c r="B174" s="8">
        <f>IF(B173="","",IF(B173+$B$11&lt;=$B$6+1E-9,B173+$B$11,""))</f>
        <v/>
      </c>
      <c r="C174" s="8">
        <f>IF(B174="","",B174+$B$5)</f>
        <v/>
      </c>
      <c r="D174" s="8">
        <f>IF(B174="","",IF(B174&lt;- $B$5,"Left tangent",IF(B174&lt;=$B$6,"Cubic curve","Right tangent")))</f>
        <v/>
      </c>
      <c r="E174" s="9">
        <f>IF(B174="","",IF(B174&lt;- $B$5,$B$7,IF(B174&lt;=$B$6,100*(3*$F$12*(B174+$B$5)^2+2*$F$13*(B174+$B$5)+$F$6),$B$8)))</f>
        <v/>
      </c>
      <c r="F174" s="10">
        <f>IF(B174="","",IF(B174&lt;- $B$5,$F$6*B174,IF(B174&lt;=$B$6,$F$12*(B174+$B$5)^3+$F$13*(B174+$B$5)^2+$F$6*(B174+$B$5)+$F$8,$F$9+$F$7*(B174-$B$6))))</f>
        <v/>
      </c>
      <c r="G174" s="10">
        <f>IF(F174="","",$B$10+F174)</f>
        <v/>
      </c>
      <c r="H174" s="10">
        <f>IF(B174="","",$B$9+B174)</f>
        <v/>
      </c>
    </row>
    <row r="175">
      <c r="A175" s="8">
        <f>IF(B175="","",A174+1)</f>
        <v/>
      </c>
      <c r="B175" s="8">
        <f>IF(B174="","",IF(B174+$B$11&lt;=$B$6+1E-9,B174+$B$11,""))</f>
        <v/>
      </c>
      <c r="C175" s="8">
        <f>IF(B175="","",B175+$B$5)</f>
        <v/>
      </c>
      <c r="D175" s="8">
        <f>IF(B175="","",IF(B175&lt;- $B$5,"Left tangent",IF(B175&lt;=$B$6,"Cubic curve","Right tangent")))</f>
        <v/>
      </c>
      <c r="E175" s="9">
        <f>IF(B175="","",IF(B175&lt;- $B$5,$B$7,IF(B175&lt;=$B$6,100*(3*$F$12*(B175+$B$5)^2+2*$F$13*(B175+$B$5)+$F$6),$B$8)))</f>
        <v/>
      </c>
      <c r="F175" s="10">
        <f>IF(B175="","",IF(B175&lt;- $B$5,$F$6*B175,IF(B175&lt;=$B$6,$F$12*(B175+$B$5)^3+$F$13*(B175+$B$5)^2+$F$6*(B175+$B$5)+$F$8,$F$9+$F$7*(B175-$B$6))))</f>
        <v/>
      </c>
      <c r="G175" s="10">
        <f>IF(F175="","",$B$10+F175)</f>
        <v/>
      </c>
      <c r="H175" s="10">
        <f>IF(B175="","",$B$9+B175)</f>
        <v/>
      </c>
    </row>
    <row r="176">
      <c r="A176" s="8">
        <f>IF(B176="","",A175+1)</f>
        <v/>
      </c>
      <c r="B176" s="8">
        <f>IF(B175="","",IF(B175+$B$11&lt;=$B$6+1E-9,B175+$B$11,""))</f>
        <v/>
      </c>
      <c r="C176" s="8">
        <f>IF(B176="","",B176+$B$5)</f>
        <v/>
      </c>
      <c r="D176" s="8">
        <f>IF(B176="","",IF(B176&lt;- $B$5,"Left tangent",IF(B176&lt;=$B$6,"Cubic curve","Right tangent")))</f>
        <v/>
      </c>
      <c r="E176" s="9">
        <f>IF(B176="","",IF(B176&lt;- $B$5,$B$7,IF(B176&lt;=$B$6,100*(3*$F$12*(B176+$B$5)^2+2*$F$13*(B176+$B$5)+$F$6),$B$8)))</f>
        <v/>
      </c>
      <c r="F176" s="10">
        <f>IF(B176="","",IF(B176&lt;- $B$5,$F$6*B176,IF(B176&lt;=$B$6,$F$12*(B176+$B$5)^3+$F$13*(B176+$B$5)^2+$F$6*(B176+$B$5)+$F$8,$F$9+$F$7*(B176-$B$6))))</f>
        <v/>
      </c>
      <c r="G176" s="10">
        <f>IF(F176="","",$B$10+F176)</f>
        <v/>
      </c>
      <c r="H176" s="10">
        <f>IF(B176="","",$B$9+B176)</f>
        <v/>
      </c>
    </row>
    <row r="177">
      <c r="A177" s="8">
        <f>IF(B177="","",A176+1)</f>
        <v/>
      </c>
      <c r="B177" s="8">
        <f>IF(B176="","",IF(B176+$B$11&lt;=$B$6+1E-9,B176+$B$11,""))</f>
        <v/>
      </c>
      <c r="C177" s="8">
        <f>IF(B177="","",B177+$B$5)</f>
        <v/>
      </c>
      <c r="D177" s="8">
        <f>IF(B177="","",IF(B177&lt;- $B$5,"Left tangent",IF(B177&lt;=$B$6,"Cubic curve","Right tangent")))</f>
        <v/>
      </c>
      <c r="E177" s="9">
        <f>IF(B177="","",IF(B177&lt;- $B$5,$B$7,IF(B177&lt;=$B$6,100*(3*$F$12*(B177+$B$5)^2+2*$F$13*(B177+$B$5)+$F$6),$B$8)))</f>
        <v/>
      </c>
      <c r="F177" s="10">
        <f>IF(B177="","",IF(B177&lt;- $B$5,$F$6*B177,IF(B177&lt;=$B$6,$F$12*(B177+$B$5)^3+$F$13*(B177+$B$5)^2+$F$6*(B177+$B$5)+$F$8,$F$9+$F$7*(B177-$B$6))))</f>
        <v/>
      </c>
      <c r="G177" s="10">
        <f>IF(F177="","",$B$10+F177)</f>
        <v/>
      </c>
      <c r="H177" s="10">
        <f>IF(B177="","",$B$9+B177)</f>
        <v/>
      </c>
    </row>
    <row r="178">
      <c r="A178" s="8">
        <f>IF(B178="","",A177+1)</f>
        <v/>
      </c>
      <c r="B178" s="8">
        <f>IF(B177="","",IF(B177+$B$11&lt;=$B$6+1E-9,B177+$B$11,""))</f>
        <v/>
      </c>
      <c r="C178" s="8">
        <f>IF(B178="","",B178+$B$5)</f>
        <v/>
      </c>
      <c r="D178" s="8">
        <f>IF(B178="","",IF(B178&lt;- $B$5,"Left tangent",IF(B178&lt;=$B$6,"Cubic curve","Right tangent")))</f>
        <v/>
      </c>
      <c r="E178" s="9">
        <f>IF(B178="","",IF(B178&lt;- $B$5,$B$7,IF(B178&lt;=$B$6,100*(3*$F$12*(B178+$B$5)^2+2*$F$13*(B178+$B$5)+$F$6),$B$8)))</f>
        <v/>
      </c>
      <c r="F178" s="10">
        <f>IF(B178="","",IF(B178&lt;- $B$5,$F$6*B178,IF(B178&lt;=$B$6,$F$12*(B178+$B$5)^3+$F$13*(B178+$B$5)^2+$F$6*(B178+$B$5)+$F$8,$F$9+$F$7*(B178-$B$6))))</f>
        <v/>
      </c>
      <c r="G178" s="10">
        <f>IF(F178="","",$B$10+F178)</f>
        <v/>
      </c>
      <c r="H178" s="10">
        <f>IF(B178="","",$B$9+B178)</f>
        <v/>
      </c>
    </row>
    <row r="179">
      <c r="A179" s="8">
        <f>IF(B179="","",A178+1)</f>
        <v/>
      </c>
      <c r="B179" s="8">
        <f>IF(B178="","",IF(B178+$B$11&lt;=$B$6+1E-9,B178+$B$11,""))</f>
        <v/>
      </c>
      <c r="C179" s="8">
        <f>IF(B179="","",B179+$B$5)</f>
        <v/>
      </c>
      <c r="D179" s="8">
        <f>IF(B179="","",IF(B179&lt;- $B$5,"Left tangent",IF(B179&lt;=$B$6,"Cubic curve","Right tangent")))</f>
        <v/>
      </c>
      <c r="E179" s="9">
        <f>IF(B179="","",IF(B179&lt;- $B$5,$B$7,IF(B179&lt;=$B$6,100*(3*$F$12*(B179+$B$5)^2+2*$F$13*(B179+$B$5)+$F$6),$B$8)))</f>
        <v/>
      </c>
      <c r="F179" s="10">
        <f>IF(B179="","",IF(B179&lt;- $B$5,$F$6*B179,IF(B179&lt;=$B$6,$F$12*(B179+$B$5)^3+$F$13*(B179+$B$5)^2+$F$6*(B179+$B$5)+$F$8,$F$9+$F$7*(B179-$B$6))))</f>
        <v/>
      </c>
      <c r="G179" s="10">
        <f>IF(F179="","",$B$10+F179)</f>
        <v/>
      </c>
      <c r="H179" s="10">
        <f>IF(B179="","",$B$9+B179)</f>
        <v/>
      </c>
    </row>
    <row r="180">
      <c r="A180" s="8">
        <f>IF(B180="","",A179+1)</f>
        <v/>
      </c>
      <c r="B180" s="8">
        <f>IF(B179="","",IF(B179+$B$11&lt;=$B$6+1E-9,B179+$B$11,""))</f>
        <v/>
      </c>
      <c r="C180" s="8">
        <f>IF(B180="","",B180+$B$5)</f>
        <v/>
      </c>
      <c r="D180" s="8">
        <f>IF(B180="","",IF(B180&lt;- $B$5,"Left tangent",IF(B180&lt;=$B$6,"Cubic curve","Right tangent")))</f>
        <v/>
      </c>
      <c r="E180" s="9">
        <f>IF(B180="","",IF(B180&lt;- $B$5,$B$7,IF(B180&lt;=$B$6,100*(3*$F$12*(B180+$B$5)^2+2*$F$13*(B180+$B$5)+$F$6),$B$8)))</f>
        <v/>
      </c>
      <c r="F180" s="10">
        <f>IF(B180="","",IF(B180&lt;- $B$5,$F$6*B180,IF(B180&lt;=$B$6,$F$12*(B180+$B$5)^3+$F$13*(B180+$B$5)^2+$F$6*(B180+$B$5)+$F$8,$F$9+$F$7*(B180-$B$6))))</f>
        <v/>
      </c>
      <c r="G180" s="10">
        <f>IF(F180="","",$B$10+F180)</f>
        <v/>
      </c>
      <c r="H180" s="10">
        <f>IF(B180="","",$B$9+B180)</f>
        <v/>
      </c>
    </row>
    <row r="181">
      <c r="A181" s="8">
        <f>IF(B181="","",A180+1)</f>
        <v/>
      </c>
      <c r="B181" s="8">
        <f>IF(B180="","",IF(B180+$B$11&lt;=$B$6+1E-9,B180+$B$11,""))</f>
        <v/>
      </c>
      <c r="C181" s="8">
        <f>IF(B181="","",B181+$B$5)</f>
        <v/>
      </c>
      <c r="D181" s="8">
        <f>IF(B181="","",IF(B181&lt;- $B$5,"Left tangent",IF(B181&lt;=$B$6,"Cubic curve","Right tangent")))</f>
        <v/>
      </c>
      <c r="E181" s="9">
        <f>IF(B181="","",IF(B181&lt;- $B$5,$B$7,IF(B181&lt;=$B$6,100*(3*$F$12*(B181+$B$5)^2+2*$F$13*(B181+$B$5)+$F$6),$B$8)))</f>
        <v/>
      </c>
      <c r="F181" s="10">
        <f>IF(B181="","",IF(B181&lt;- $B$5,$F$6*B181,IF(B181&lt;=$B$6,$F$12*(B181+$B$5)^3+$F$13*(B181+$B$5)^2+$F$6*(B181+$B$5)+$F$8,$F$9+$F$7*(B181-$B$6))))</f>
        <v/>
      </c>
      <c r="G181" s="10">
        <f>IF(F181="","",$B$10+F181)</f>
        <v/>
      </c>
      <c r="H181" s="10">
        <f>IF(B181="","",$B$9+B181)</f>
        <v/>
      </c>
    </row>
    <row r="182">
      <c r="A182" s="8">
        <f>IF(B182="","",A181+1)</f>
        <v/>
      </c>
      <c r="B182" s="8">
        <f>IF(B181="","",IF(B181+$B$11&lt;=$B$6+1E-9,B181+$B$11,""))</f>
        <v/>
      </c>
      <c r="C182" s="8">
        <f>IF(B182="","",B182+$B$5)</f>
        <v/>
      </c>
      <c r="D182" s="8">
        <f>IF(B182="","",IF(B182&lt;- $B$5,"Left tangent",IF(B182&lt;=$B$6,"Cubic curve","Right tangent")))</f>
        <v/>
      </c>
      <c r="E182" s="9">
        <f>IF(B182="","",IF(B182&lt;- $B$5,$B$7,IF(B182&lt;=$B$6,100*(3*$F$12*(B182+$B$5)^2+2*$F$13*(B182+$B$5)+$F$6),$B$8)))</f>
        <v/>
      </c>
      <c r="F182" s="10">
        <f>IF(B182="","",IF(B182&lt;- $B$5,$F$6*B182,IF(B182&lt;=$B$6,$F$12*(B182+$B$5)^3+$F$13*(B182+$B$5)^2+$F$6*(B182+$B$5)+$F$8,$F$9+$F$7*(B182-$B$6))))</f>
        <v/>
      </c>
      <c r="G182" s="10">
        <f>IF(F182="","",$B$10+F182)</f>
        <v/>
      </c>
      <c r="H182" s="10">
        <f>IF(B182="","",$B$9+B182)</f>
        <v/>
      </c>
    </row>
    <row r="183">
      <c r="A183" s="8">
        <f>IF(B183="","",A182+1)</f>
        <v/>
      </c>
      <c r="B183" s="8">
        <f>IF(B182="","",IF(B182+$B$11&lt;=$B$6+1E-9,B182+$B$11,""))</f>
        <v/>
      </c>
      <c r="C183" s="8">
        <f>IF(B183="","",B183+$B$5)</f>
        <v/>
      </c>
      <c r="D183" s="8">
        <f>IF(B183="","",IF(B183&lt;- $B$5,"Left tangent",IF(B183&lt;=$B$6,"Cubic curve","Right tangent")))</f>
        <v/>
      </c>
      <c r="E183" s="9">
        <f>IF(B183="","",IF(B183&lt;- $B$5,$B$7,IF(B183&lt;=$B$6,100*(3*$F$12*(B183+$B$5)^2+2*$F$13*(B183+$B$5)+$F$6),$B$8)))</f>
        <v/>
      </c>
      <c r="F183" s="10">
        <f>IF(B183="","",IF(B183&lt;- $B$5,$F$6*B183,IF(B183&lt;=$B$6,$F$12*(B183+$B$5)^3+$F$13*(B183+$B$5)^2+$F$6*(B183+$B$5)+$F$8,$F$9+$F$7*(B183-$B$6))))</f>
        <v/>
      </c>
      <c r="G183" s="10">
        <f>IF(F183="","",$B$10+F183)</f>
        <v/>
      </c>
      <c r="H183" s="10">
        <f>IF(B183="","",$B$9+B183)</f>
        <v/>
      </c>
    </row>
    <row r="184">
      <c r="A184" s="8">
        <f>IF(B184="","",A183+1)</f>
        <v/>
      </c>
      <c r="B184" s="8">
        <f>IF(B183="","",IF(B183+$B$11&lt;=$B$6+1E-9,B183+$B$11,""))</f>
        <v/>
      </c>
      <c r="C184" s="8">
        <f>IF(B184="","",B184+$B$5)</f>
        <v/>
      </c>
      <c r="D184" s="8">
        <f>IF(B184="","",IF(B184&lt;- $B$5,"Left tangent",IF(B184&lt;=$B$6,"Cubic curve","Right tangent")))</f>
        <v/>
      </c>
      <c r="E184" s="9">
        <f>IF(B184="","",IF(B184&lt;- $B$5,$B$7,IF(B184&lt;=$B$6,100*(3*$F$12*(B184+$B$5)^2+2*$F$13*(B184+$B$5)+$F$6),$B$8)))</f>
        <v/>
      </c>
      <c r="F184" s="10">
        <f>IF(B184="","",IF(B184&lt;- $B$5,$F$6*B184,IF(B184&lt;=$B$6,$F$12*(B184+$B$5)^3+$F$13*(B184+$B$5)^2+$F$6*(B184+$B$5)+$F$8,$F$9+$F$7*(B184-$B$6))))</f>
        <v/>
      </c>
      <c r="G184" s="10">
        <f>IF(F184="","",$B$10+F184)</f>
        <v/>
      </c>
      <c r="H184" s="10">
        <f>IF(B184="","",$B$9+B184)</f>
        <v/>
      </c>
    </row>
    <row r="185">
      <c r="A185" s="8">
        <f>IF(B185="","",A184+1)</f>
        <v/>
      </c>
      <c r="B185" s="8">
        <f>IF(B184="","",IF(B184+$B$11&lt;=$B$6+1E-9,B184+$B$11,""))</f>
        <v/>
      </c>
      <c r="C185" s="8">
        <f>IF(B185="","",B185+$B$5)</f>
        <v/>
      </c>
      <c r="D185" s="8">
        <f>IF(B185="","",IF(B185&lt;- $B$5,"Left tangent",IF(B185&lt;=$B$6,"Cubic curve","Right tangent")))</f>
        <v/>
      </c>
      <c r="E185" s="9">
        <f>IF(B185="","",IF(B185&lt;- $B$5,$B$7,IF(B185&lt;=$B$6,100*(3*$F$12*(B185+$B$5)^2+2*$F$13*(B185+$B$5)+$F$6),$B$8)))</f>
        <v/>
      </c>
      <c r="F185" s="10">
        <f>IF(B185="","",IF(B185&lt;- $B$5,$F$6*B185,IF(B185&lt;=$B$6,$F$12*(B185+$B$5)^3+$F$13*(B185+$B$5)^2+$F$6*(B185+$B$5)+$F$8,$F$9+$F$7*(B185-$B$6))))</f>
        <v/>
      </c>
      <c r="G185" s="10">
        <f>IF(F185="","",$B$10+F185)</f>
        <v/>
      </c>
      <c r="H185" s="10">
        <f>IF(B185="","",$B$9+B185)</f>
        <v/>
      </c>
    </row>
    <row r="186">
      <c r="A186" s="8">
        <f>IF(B186="","",A185+1)</f>
        <v/>
      </c>
      <c r="B186" s="8">
        <f>IF(B185="","",IF(B185+$B$11&lt;=$B$6+1E-9,B185+$B$11,""))</f>
        <v/>
      </c>
      <c r="C186" s="8">
        <f>IF(B186="","",B186+$B$5)</f>
        <v/>
      </c>
      <c r="D186" s="8">
        <f>IF(B186="","",IF(B186&lt;- $B$5,"Left tangent",IF(B186&lt;=$B$6,"Cubic curve","Right tangent")))</f>
        <v/>
      </c>
      <c r="E186" s="9">
        <f>IF(B186="","",IF(B186&lt;- $B$5,$B$7,IF(B186&lt;=$B$6,100*(3*$F$12*(B186+$B$5)^2+2*$F$13*(B186+$B$5)+$F$6),$B$8)))</f>
        <v/>
      </c>
      <c r="F186" s="10">
        <f>IF(B186="","",IF(B186&lt;- $B$5,$F$6*B186,IF(B186&lt;=$B$6,$F$12*(B186+$B$5)^3+$F$13*(B186+$B$5)^2+$F$6*(B186+$B$5)+$F$8,$F$9+$F$7*(B186-$B$6))))</f>
        <v/>
      </c>
      <c r="G186" s="10">
        <f>IF(F186="","",$B$10+F186)</f>
        <v/>
      </c>
      <c r="H186" s="10">
        <f>IF(B186="","",$B$9+B186)</f>
        <v/>
      </c>
    </row>
    <row r="187">
      <c r="A187" s="8">
        <f>IF(B187="","",A186+1)</f>
        <v/>
      </c>
      <c r="B187" s="8">
        <f>IF(B186="","",IF(B186+$B$11&lt;=$B$6+1E-9,B186+$B$11,""))</f>
        <v/>
      </c>
      <c r="C187" s="8">
        <f>IF(B187="","",B187+$B$5)</f>
        <v/>
      </c>
      <c r="D187" s="8">
        <f>IF(B187="","",IF(B187&lt;- $B$5,"Left tangent",IF(B187&lt;=$B$6,"Cubic curve","Right tangent")))</f>
        <v/>
      </c>
      <c r="E187" s="9">
        <f>IF(B187="","",IF(B187&lt;- $B$5,$B$7,IF(B187&lt;=$B$6,100*(3*$F$12*(B187+$B$5)^2+2*$F$13*(B187+$B$5)+$F$6),$B$8)))</f>
        <v/>
      </c>
      <c r="F187" s="10">
        <f>IF(B187="","",IF(B187&lt;- $B$5,$F$6*B187,IF(B187&lt;=$B$6,$F$12*(B187+$B$5)^3+$F$13*(B187+$B$5)^2+$F$6*(B187+$B$5)+$F$8,$F$9+$F$7*(B187-$B$6))))</f>
        <v/>
      </c>
      <c r="G187" s="10">
        <f>IF(F187="","",$B$10+F187)</f>
        <v/>
      </c>
      <c r="H187" s="10">
        <f>IF(B187="","",$B$9+B187)</f>
        <v/>
      </c>
    </row>
    <row r="188">
      <c r="A188" s="8">
        <f>IF(B188="","",A187+1)</f>
        <v/>
      </c>
      <c r="B188" s="8">
        <f>IF(B187="","",IF(B187+$B$11&lt;=$B$6+1E-9,B187+$B$11,""))</f>
        <v/>
      </c>
      <c r="C188" s="8">
        <f>IF(B188="","",B188+$B$5)</f>
        <v/>
      </c>
      <c r="D188" s="8">
        <f>IF(B188="","",IF(B188&lt;- $B$5,"Left tangent",IF(B188&lt;=$B$6,"Cubic curve","Right tangent")))</f>
        <v/>
      </c>
      <c r="E188" s="9">
        <f>IF(B188="","",IF(B188&lt;- $B$5,$B$7,IF(B188&lt;=$B$6,100*(3*$F$12*(B188+$B$5)^2+2*$F$13*(B188+$B$5)+$F$6),$B$8)))</f>
        <v/>
      </c>
      <c r="F188" s="10">
        <f>IF(B188="","",IF(B188&lt;- $B$5,$F$6*B188,IF(B188&lt;=$B$6,$F$12*(B188+$B$5)^3+$F$13*(B188+$B$5)^2+$F$6*(B188+$B$5)+$F$8,$F$9+$F$7*(B188-$B$6))))</f>
        <v/>
      </c>
      <c r="G188" s="10">
        <f>IF(F188="","",$B$10+F188)</f>
        <v/>
      </c>
      <c r="H188" s="10">
        <f>IF(B188="","",$B$9+B188)</f>
        <v/>
      </c>
    </row>
    <row r="189">
      <c r="A189" s="8">
        <f>IF(B189="","",A188+1)</f>
        <v/>
      </c>
      <c r="B189" s="8">
        <f>IF(B188="","",IF(B188+$B$11&lt;=$B$6+1E-9,B188+$B$11,""))</f>
        <v/>
      </c>
      <c r="C189" s="8">
        <f>IF(B189="","",B189+$B$5)</f>
        <v/>
      </c>
      <c r="D189" s="8">
        <f>IF(B189="","",IF(B189&lt;- $B$5,"Left tangent",IF(B189&lt;=$B$6,"Cubic curve","Right tangent")))</f>
        <v/>
      </c>
      <c r="E189" s="9">
        <f>IF(B189="","",IF(B189&lt;- $B$5,$B$7,IF(B189&lt;=$B$6,100*(3*$F$12*(B189+$B$5)^2+2*$F$13*(B189+$B$5)+$F$6),$B$8)))</f>
        <v/>
      </c>
      <c r="F189" s="10">
        <f>IF(B189="","",IF(B189&lt;- $B$5,$F$6*B189,IF(B189&lt;=$B$6,$F$12*(B189+$B$5)^3+$F$13*(B189+$B$5)^2+$F$6*(B189+$B$5)+$F$8,$F$9+$F$7*(B189-$B$6))))</f>
        <v/>
      </c>
      <c r="G189" s="10">
        <f>IF(F189="","",$B$10+F189)</f>
        <v/>
      </c>
      <c r="H189" s="10">
        <f>IF(B189="","",$B$9+B189)</f>
        <v/>
      </c>
    </row>
    <row r="190">
      <c r="A190" s="8">
        <f>IF(B190="","",A189+1)</f>
        <v/>
      </c>
      <c r="B190" s="8">
        <f>IF(B189="","",IF(B189+$B$11&lt;=$B$6+1E-9,B189+$B$11,""))</f>
        <v/>
      </c>
      <c r="C190" s="8">
        <f>IF(B190="","",B190+$B$5)</f>
        <v/>
      </c>
      <c r="D190" s="8">
        <f>IF(B190="","",IF(B190&lt;- $B$5,"Left tangent",IF(B190&lt;=$B$6,"Cubic curve","Right tangent")))</f>
        <v/>
      </c>
      <c r="E190" s="9">
        <f>IF(B190="","",IF(B190&lt;- $B$5,$B$7,IF(B190&lt;=$B$6,100*(3*$F$12*(B190+$B$5)^2+2*$F$13*(B190+$B$5)+$F$6),$B$8)))</f>
        <v/>
      </c>
      <c r="F190" s="10">
        <f>IF(B190="","",IF(B190&lt;- $B$5,$F$6*B190,IF(B190&lt;=$B$6,$F$12*(B190+$B$5)^3+$F$13*(B190+$B$5)^2+$F$6*(B190+$B$5)+$F$8,$F$9+$F$7*(B190-$B$6))))</f>
        <v/>
      </c>
      <c r="G190" s="10">
        <f>IF(F190="","",$B$10+F190)</f>
        <v/>
      </c>
      <c r="H190" s="10">
        <f>IF(B190="","",$B$9+B190)</f>
        <v/>
      </c>
    </row>
    <row r="191">
      <c r="A191" s="8">
        <f>IF(B191="","",A190+1)</f>
        <v/>
      </c>
      <c r="B191" s="8">
        <f>IF(B190="","",IF(B190+$B$11&lt;=$B$6+1E-9,B190+$B$11,""))</f>
        <v/>
      </c>
      <c r="C191" s="8">
        <f>IF(B191="","",B191+$B$5)</f>
        <v/>
      </c>
      <c r="D191" s="8">
        <f>IF(B191="","",IF(B191&lt;- $B$5,"Left tangent",IF(B191&lt;=$B$6,"Cubic curve","Right tangent")))</f>
        <v/>
      </c>
      <c r="E191" s="9">
        <f>IF(B191="","",IF(B191&lt;- $B$5,$B$7,IF(B191&lt;=$B$6,100*(3*$F$12*(B191+$B$5)^2+2*$F$13*(B191+$B$5)+$F$6),$B$8)))</f>
        <v/>
      </c>
      <c r="F191" s="10">
        <f>IF(B191="","",IF(B191&lt;- $B$5,$F$6*B191,IF(B191&lt;=$B$6,$F$12*(B191+$B$5)^3+$F$13*(B191+$B$5)^2+$F$6*(B191+$B$5)+$F$8,$F$9+$F$7*(B191-$B$6))))</f>
        <v/>
      </c>
      <c r="G191" s="10">
        <f>IF(F191="","",$B$10+F191)</f>
        <v/>
      </c>
      <c r="H191" s="10">
        <f>IF(B191="","",$B$9+B191)</f>
        <v/>
      </c>
    </row>
    <row r="192">
      <c r="A192" s="8">
        <f>IF(B192="","",A191+1)</f>
        <v/>
      </c>
      <c r="B192" s="8">
        <f>IF(B191="","",IF(B191+$B$11&lt;=$B$6+1E-9,B191+$B$11,""))</f>
        <v/>
      </c>
      <c r="C192" s="8">
        <f>IF(B192="","",B192+$B$5)</f>
        <v/>
      </c>
      <c r="D192" s="8">
        <f>IF(B192="","",IF(B192&lt;- $B$5,"Left tangent",IF(B192&lt;=$B$6,"Cubic curve","Right tangent")))</f>
        <v/>
      </c>
      <c r="E192" s="9">
        <f>IF(B192="","",IF(B192&lt;- $B$5,$B$7,IF(B192&lt;=$B$6,100*(3*$F$12*(B192+$B$5)^2+2*$F$13*(B192+$B$5)+$F$6),$B$8)))</f>
        <v/>
      </c>
      <c r="F192" s="10">
        <f>IF(B192="","",IF(B192&lt;- $B$5,$F$6*B192,IF(B192&lt;=$B$6,$F$12*(B192+$B$5)^3+$F$13*(B192+$B$5)^2+$F$6*(B192+$B$5)+$F$8,$F$9+$F$7*(B192-$B$6))))</f>
        <v/>
      </c>
      <c r="G192" s="10">
        <f>IF(F192="","",$B$10+F192)</f>
        <v/>
      </c>
      <c r="H192" s="10">
        <f>IF(B192="","",$B$9+B192)</f>
        <v/>
      </c>
    </row>
    <row r="193">
      <c r="A193" s="8">
        <f>IF(B193="","",A192+1)</f>
        <v/>
      </c>
      <c r="B193" s="8">
        <f>IF(B192="","",IF(B192+$B$11&lt;=$B$6+1E-9,B192+$B$11,""))</f>
        <v/>
      </c>
      <c r="C193" s="8">
        <f>IF(B193="","",B193+$B$5)</f>
        <v/>
      </c>
      <c r="D193" s="8">
        <f>IF(B193="","",IF(B193&lt;- $B$5,"Left tangent",IF(B193&lt;=$B$6,"Cubic curve","Right tangent")))</f>
        <v/>
      </c>
      <c r="E193" s="9">
        <f>IF(B193="","",IF(B193&lt;- $B$5,$B$7,IF(B193&lt;=$B$6,100*(3*$F$12*(B193+$B$5)^2+2*$F$13*(B193+$B$5)+$F$6),$B$8)))</f>
        <v/>
      </c>
      <c r="F193" s="10">
        <f>IF(B193="","",IF(B193&lt;- $B$5,$F$6*B193,IF(B193&lt;=$B$6,$F$12*(B193+$B$5)^3+$F$13*(B193+$B$5)^2+$F$6*(B193+$B$5)+$F$8,$F$9+$F$7*(B193-$B$6))))</f>
        <v/>
      </c>
      <c r="G193" s="10">
        <f>IF(F193="","",$B$10+F193)</f>
        <v/>
      </c>
      <c r="H193" s="10">
        <f>IF(B193="","",$B$9+B193)</f>
        <v/>
      </c>
    </row>
    <row r="194">
      <c r="A194" s="8">
        <f>IF(B194="","",A193+1)</f>
        <v/>
      </c>
      <c r="B194" s="8">
        <f>IF(B193="","",IF(B193+$B$11&lt;=$B$6+1E-9,B193+$B$11,""))</f>
        <v/>
      </c>
      <c r="C194" s="8">
        <f>IF(B194="","",B194+$B$5)</f>
        <v/>
      </c>
      <c r="D194" s="8">
        <f>IF(B194="","",IF(B194&lt;- $B$5,"Left tangent",IF(B194&lt;=$B$6,"Cubic curve","Right tangent")))</f>
        <v/>
      </c>
      <c r="E194" s="9">
        <f>IF(B194="","",IF(B194&lt;- $B$5,$B$7,IF(B194&lt;=$B$6,100*(3*$F$12*(B194+$B$5)^2+2*$F$13*(B194+$B$5)+$F$6),$B$8)))</f>
        <v/>
      </c>
      <c r="F194" s="10">
        <f>IF(B194="","",IF(B194&lt;- $B$5,$F$6*B194,IF(B194&lt;=$B$6,$F$12*(B194+$B$5)^3+$F$13*(B194+$B$5)^2+$F$6*(B194+$B$5)+$F$8,$F$9+$F$7*(B194-$B$6))))</f>
        <v/>
      </c>
      <c r="G194" s="10">
        <f>IF(F194="","",$B$10+F194)</f>
        <v/>
      </c>
      <c r="H194" s="10">
        <f>IF(B194="","",$B$9+B194)</f>
        <v/>
      </c>
    </row>
    <row r="195">
      <c r="A195" s="8">
        <f>IF(B195="","",A194+1)</f>
        <v/>
      </c>
      <c r="B195" s="8">
        <f>IF(B194="","",IF(B194+$B$11&lt;=$B$6+1E-9,B194+$B$11,""))</f>
        <v/>
      </c>
      <c r="C195" s="8">
        <f>IF(B195="","",B195+$B$5)</f>
        <v/>
      </c>
      <c r="D195" s="8">
        <f>IF(B195="","",IF(B195&lt;- $B$5,"Left tangent",IF(B195&lt;=$B$6,"Cubic curve","Right tangent")))</f>
        <v/>
      </c>
      <c r="E195" s="9">
        <f>IF(B195="","",IF(B195&lt;- $B$5,$B$7,IF(B195&lt;=$B$6,100*(3*$F$12*(B195+$B$5)^2+2*$F$13*(B195+$B$5)+$F$6),$B$8)))</f>
        <v/>
      </c>
      <c r="F195" s="10">
        <f>IF(B195="","",IF(B195&lt;- $B$5,$F$6*B195,IF(B195&lt;=$B$6,$F$12*(B195+$B$5)^3+$F$13*(B195+$B$5)^2+$F$6*(B195+$B$5)+$F$8,$F$9+$F$7*(B195-$B$6))))</f>
        <v/>
      </c>
      <c r="G195" s="10">
        <f>IF(F195="","",$B$10+F195)</f>
        <v/>
      </c>
      <c r="H195" s="10">
        <f>IF(B195="","",$B$9+B195)</f>
        <v/>
      </c>
    </row>
    <row r="196">
      <c r="A196" s="8">
        <f>IF(B196="","",A195+1)</f>
        <v/>
      </c>
      <c r="B196" s="8">
        <f>IF(B195="","",IF(B195+$B$11&lt;=$B$6+1E-9,B195+$B$11,""))</f>
        <v/>
      </c>
      <c r="C196" s="8">
        <f>IF(B196="","",B196+$B$5)</f>
        <v/>
      </c>
      <c r="D196" s="8">
        <f>IF(B196="","",IF(B196&lt;- $B$5,"Left tangent",IF(B196&lt;=$B$6,"Cubic curve","Right tangent")))</f>
        <v/>
      </c>
      <c r="E196" s="9">
        <f>IF(B196="","",IF(B196&lt;- $B$5,$B$7,IF(B196&lt;=$B$6,100*(3*$F$12*(B196+$B$5)^2+2*$F$13*(B196+$B$5)+$F$6),$B$8)))</f>
        <v/>
      </c>
      <c r="F196" s="10">
        <f>IF(B196="","",IF(B196&lt;- $B$5,$F$6*B196,IF(B196&lt;=$B$6,$F$12*(B196+$B$5)^3+$F$13*(B196+$B$5)^2+$F$6*(B196+$B$5)+$F$8,$F$9+$F$7*(B196-$B$6))))</f>
        <v/>
      </c>
      <c r="G196" s="10">
        <f>IF(F196="","",$B$10+F196)</f>
        <v/>
      </c>
      <c r="H196" s="10">
        <f>IF(B196="","",$B$9+B196)</f>
        <v/>
      </c>
    </row>
    <row r="197">
      <c r="A197" s="8">
        <f>IF(B197="","",A196+1)</f>
        <v/>
      </c>
      <c r="B197" s="8">
        <f>IF(B196="","",IF(B196+$B$11&lt;=$B$6+1E-9,B196+$B$11,""))</f>
        <v/>
      </c>
      <c r="C197" s="8">
        <f>IF(B197="","",B197+$B$5)</f>
        <v/>
      </c>
      <c r="D197" s="8">
        <f>IF(B197="","",IF(B197&lt;- $B$5,"Left tangent",IF(B197&lt;=$B$6,"Cubic curve","Right tangent")))</f>
        <v/>
      </c>
      <c r="E197" s="9">
        <f>IF(B197="","",IF(B197&lt;- $B$5,$B$7,IF(B197&lt;=$B$6,100*(3*$F$12*(B197+$B$5)^2+2*$F$13*(B197+$B$5)+$F$6),$B$8)))</f>
        <v/>
      </c>
      <c r="F197" s="10">
        <f>IF(B197="","",IF(B197&lt;- $B$5,$F$6*B197,IF(B197&lt;=$B$6,$F$12*(B197+$B$5)^3+$F$13*(B197+$B$5)^2+$F$6*(B197+$B$5)+$F$8,$F$9+$F$7*(B197-$B$6))))</f>
        <v/>
      </c>
      <c r="G197" s="10">
        <f>IF(F197="","",$B$10+F197)</f>
        <v/>
      </c>
      <c r="H197" s="10">
        <f>IF(B197="","",$B$9+B197)</f>
        <v/>
      </c>
    </row>
    <row r="198">
      <c r="A198" s="8">
        <f>IF(B198="","",A197+1)</f>
        <v/>
      </c>
      <c r="B198" s="8">
        <f>IF(B197="","",IF(B197+$B$11&lt;=$B$6+1E-9,B197+$B$11,""))</f>
        <v/>
      </c>
      <c r="C198" s="8">
        <f>IF(B198="","",B198+$B$5)</f>
        <v/>
      </c>
      <c r="D198" s="8">
        <f>IF(B198="","",IF(B198&lt;- $B$5,"Left tangent",IF(B198&lt;=$B$6,"Cubic curve","Right tangent")))</f>
        <v/>
      </c>
      <c r="E198" s="9">
        <f>IF(B198="","",IF(B198&lt;- $B$5,$B$7,IF(B198&lt;=$B$6,100*(3*$F$12*(B198+$B$5)^2+2*$F$13*(B198+$B$5)+$F$6),$B$8)))</f>
        <v/>
      </c>
      <c r="F198" s="10">
        <f>IF(B198="","",IF(B198&lt;- $B$5,$F$6*B198,IF(B198&lt;=$B$6,$F$12*(B198+$B$5)^3+$F$13*(B198+$B$5)^2+$F$6*(B198+$B$5)+$F$8,$F$9+$F$7*(B198-$B$6))))</f>
        <v/>
      </c>
      <c r="G198" s="10">
        <f>IF(F198="","",$B$10+F198)</f>
        <v/>
      </c>
      <c r="H198" s="10">
        <f>IF(B198="","",$B$9+B198)</f>
        <v/>
      </c>
    </row>
    <row r="199">
      <c r="A199" s="8">
        <f>IF(B199="","",A198+1)</f>
        <v/>
      </c>
      <c r="B199" s="8">
        <f>IF(B198="","",IF(B198+$B$11&lt;=$B$6+1E-9,B198+$B$11,""))</f>
        <v/>
      </c>
      <c r="C199" s="8">
        <f>IF(B199="","",B199+$B$5)</f>
        <v/>
      </c>
      <c r="D199" s="8">
        <f>IF(B199="","",IF(B199&lt;- $B$5,"Left tangent",IF(B199&lt;=$B$6,"Cubic curve","Right tangent")))</f>
        <v/>
      </c>
      <c r="E199" s="9">
        <f>IF(B199="","",IF(B199&lt;- $B$5,$B$7,IF(B199&lt;=$B$6,100*(3*$F$12*(B199+$B$5)^2+2*$F$13*(B199+$B$5)+$F$6),$B$8)))</f>
        <v/>
      </c>
      <c r="F199" s="10">
        <f>IF(B199="","",IF(B199&lt;- $B$5,$F$6*B199,IF(B199&lt;=$B$6,$F$12*(B199+$B$5)^3+$F$13*(B199+$B$5)^2+$F$6*(B199+$B$5)+$F$8,$F$9+$F$7*(B199-$B$6))))</f>
        <v/>
      </c>
      <c r="G199" s="10">
        <f>IF(F199="","",$B$10+F199)</f>
        <v/>
      </c>
      <c r="H199" s="10">
        <f>IF(B199="","",$B$9+B199)</f>
        <v/>
      </c>
    </row>
    <row r="200">
      <c r="A200" s="8">
        <f>IF(B200="","",A199+1)</f>
        <v/>
      </c>
      <c r="B200" s="8">
        <f>IF(B199="","",IF(B199+$B$11&lt;=$B$6+1E-9,B199+$B$11,""))</f>
        <v/>
      </c>
      <c r="C200" s="8">
        <f>IF(B200="","",B200+$B$5)</f>
        <v/>
      </c>
      <c r="D200" s="8">
        <f>IF(B200="","",IF(B200&lt;- $B$5,"Left tangent",IF(B200&lt;=$B$6,"Cubic curve","Right tangent")))</f>
        <v/>
      </c>
      <c r="E200" s="9">
        <f>IF(B200="","",IF(B200&lt;- $B$5,$B$7,IF(B200&lt;=$B$6,100*(3*$F$12*(B200+$B$5)^2+2*$F$13*(B200+$B$5)+$F$6),$B$8)))</f>
        <v/>
      </c>
      <c r="F200" s="10">
        <f>IF(B200="","",IF(B200&lt;- $B$5,$F$6*B200,IF(B200&lt;=$B$6,$F$12*(B200+$B$5)^3+$F$13*(B200+$B$5)^2+$F$6*(B200+$B$5)+$F$8,$F$9+$F$7*(B200-$B$6))))</f>
        <v/>
      </c>
      <c r="G200" s="10">
        <f>IF(F200="","",$B$10+F200)</f>
        <v/>
      </c>
      <c r="H200" s="10">
        <f>IF(B200="","",$B$9+B200)</f>
        <v/>
      </c>
    </row>
    <row r="201">
      <c r="A201" s="8">
        <f>IF(B201="","",A200+1)</f>
        <v/>
      </c>
      <c r="B201" s="8">
        <f>IF(B200="","",IF(B200+$B$11&lt;=$B$6+1E-9,B200+$B$11,""))</f>
        <v/>
      </c>
      <c r="C201" s="8">
        <f>IF(B201="","",B201+$B$5)</f>
        <v/>
      </c>
      <c r="D201" s="8">
        <f>IF(B201="","",IF(B201&lt;- $B$5,"Left tangent",IF(B201&lt;=$B$6,"Cubic curve","Right tangent")))</f>
        <v/>
      </c>
      <c r="E201" s="9">
        <f>IF(B201="","",IF(B201&lt;- $B$5,$B$7,IF(B201&lt;=$B$6,100*(3*$F$12*(B201+$B$5)^2+2*$F$13*(B201+$B$5)+$F$6),$B$8)))</f>
        <v/>
      </c>
      <c r="F201" s="10">
        <f>IF(B201="","",IF(B201&lt;- $B$5,$F$6*B201,IF(B201&lt;=$B$6,$F$12*(B201+$B$5)^3+$F$13*(B201+$B$5)^2+$F$6*(B201+$B$5)+$F$8,$F$9+$F$7*(B201-$B$6))))</f>
        <v/>
      </c>
      <c r="G201" s="10">
        <f>IF(F201="","",$B$10+F201)</f>
        <v/>
      </c>
      <c r="H201" s="10">
        <f>IF(B201="","",$B$9+B201)</f>
        <v/>
      </c>
    </row>
    <row r="202">
      <c r="A202" s="8">
        <f>IF(B202="","",A201+1)</f>
        <v/>
      </c>
      <c r="B202" s="8">
        <f>IF(B201="","",IF(B201+$B$11&lt;=$B$6+1E-9,B201+$B$11,""))</f>
        <v/>
      </c>
      <c r="C202" s="8">
        <f>IF(B202="","",B202+$B$5)</f>
        <v/>
      </c>
      <c r="D202" s="8">
        <f>IF(B202="","",IF(B202&lt;- $B$5,"Left tangent",IF(B202&lt;=$B$6,"Cubic curve","Right tangent")))</f>
        <v/>
      </c>
      <c r="E202" s="9">
        <f>IF(B202="","",IF(B202&lt;- $B$5,$B$7,IF(B202&lt;=$B$6,100*(3*$F$12*(B202+$B$5)^2+2*$F$13*(B202+$B$5)+$F$6),$B$8)))</f>
        <v/>
      </c>
      <c r="F202" s="10">
        <f>IF(B202="","",IF(B202&lt;- $B$5,$F$6*B202,IF(B202&lt;=$B$6,$F$12*(B202+$B$5)^3+$F$13*(B202+$B$5)^2+$F$6*(B202+$B$5)+$F$8,$F$9+$F$7*(B202-$B$6))))</f>
        <v/>
      </c>
      <c r="G202" s="10">
        <f>IF(F202="","",$B$10+F202)</f>
        <v/>
      </c>
      <c r="H202" s="10">
        <f>IF(B202="","",$B$9+B202)</f>
        <v/>
      </c>
    </row>
    <row r="203">
      <c r="A203" s="8">
        <f>IF(B203="","",A202+1)</f>
        <v/>
      </c>
      <c r="B203" s="8">
        <f>IF(B202="","",IF(B202+$B$11&lt;=$B$6+1E-9,B202+$B$11,""))</f>
        <v/>
      </c>
      <c r="C203" s="8">
        <f>IF(B203="","",B203+$B$5)</f>
        <v/>
      </c>
      <c r="D203" s="8">
        <f>IF(B203="","",IF(B203&lt;- $B$5,"Left tangent",IF(B203&lt;=$B$6,"Cubic curve","Right tangent")))</f>
        <v/>
      </c>
      <c r="E203" s="9">
        <f>IF(B203="","",IF(B203&lt;- $B$5,$B$7,IF(B203&lt;=$B$6,100*(3*$F$12*(B203+$B$5)^2+2*$F$13*(B203+$B$5)+$F$6),$B$8)))</f>
        <v/>
      </c>
      <c r="F203" s="10">
        <f>IF(B203="","",IF(B203&lt;- $B$5,$F$6*B203,IF(B203&lt;=$B$6,$F$12*(B203+$B$5)^3+$F$13*(B203+$B$5)^2+$F$6*(B203+$B$5)+$F$8,$F$9+$F$7*(B203-$B$6))))</f>
        <v/>
      </c>
      <c r="G203" s="10">
        <f>IF(F203="","",$B$10+F203)</f>
        <v/>
      </c>
      <c r="H203" s="10">
        <f>IF(B203="","",$B$9+B203)</f>
        <v/>
      </c>
    </row>
    <row r="204">
      <c r="A204" s="8">
        <f>IF(B204="","",A203+1)</f>
        <v/>
      </c>
      <c r="B204" s="8">
        <f>IF(B203="","",IF(B203+$B$11&lt;=$B$6+1E-9,B203+$B$11,""))</f>
        <v/>
      </c>
      <c r="C204" s="8">
        <f>IF(B204="","",B204+$B$5)</f>
        <v/>
      </c>
      <c r="D204" s="8">
        <f>IF(B204="","",IF(B204&lt;- $B$5,"Left tangent",IF(B204&lt;=$B$6,"Cubic curve","Right tangent")))</f>
        <v/>
      </c>
      <c r="E204" s="9">
        <f>IF(B204="","",IF(B204&lt;- $B$5,$B$7,IF(B204&lt;=$B$6,100*(3*$F$12*(B204+$B$5)^2+2*$F$13*(B204+$B$5)+$F$6),$B$8)))</f>
        <v/>
      </c>
      <c r="F204" s="10">
        <f>IF(B204="","",IF(B204&lt;- $B$5,$F$6*B204,IF(B204&lt;=$B$6,$F$12*(B204+$B$5)^3+$F$13*(B204+$B$5)^2+$F$6*(B204+$B$5)+$F$8,$F$9+$F$7*(B204-$B$6))))</f>
        <v/>
      </c>
      <c r="G204" s="10">
        <f>IF(F204="","",$B$10+F204)</f>
        <v/>
      </c>
      <c r="H204" s="10">
        <f>IF(B204="","",$B$9+B204)</f>
        <v/>
      </c>
    </row>
    <row r="205">
      <c r="A205" s="8">
        <f>IF(B205="","",A204+1)</f>
        <v/>
      </c>
      <c r="B205" s="8">
        <f>IF(B204="","",IF(B204+$B$11&lt;=$B$6+1E-9,B204+$B$11,""))</f>
        <v/>
      </c>
      <c r="C205" s="8">
        <f>IF(B205="","",B205+$B$5)</f>
        <v/>
      </c>
      <c r="D205" s="8">
        <f>IF(B205="","",IF(B205&lt;- $B$5,"Left tangent",IF(B205&lt;=$B$6,"Cubic curve","Right tangent")))</f>
        <v/>
      </c>
      <c r="E205" s="9">
        <f>IF(B205="","",IF(B205&lt;- $B$5,$B$7,IF(B205&lt;=$B$6,100*(3*$F$12*(B205+$B$5)^2+2*$F$13*(B205+$B$5)+$F$6),$B$8)))</f>
        <v/>
      </c>
      <c r="F205" s="10">
        <f>IF(B205="","",IF(B205&lt;- $B$5,$F$6*B205,IF(B205&lt;=$B$6,$F$12*(B205+$B$5)^3+$F$13*(B205+$B$5)^2+$F$6*(B205+$B$5)+$F$8,$F$9+$F$7*(B205-$B$6))))</f>
        <v/>
      </c>
      <c r="G205" s="10">
        <f>IF(F205="","",$B$10+F205)</f>
        <v/>
      </c>
      <c r="H205" s="10">
        <f>IF(B205="","",$B$9+B205)</f>
        <v/>
      </c>
    </row>
    <row r="206">
      <c r="A206" s="8">
        <f>IF(B206="","",A205+1)</f>
        <v/>
      </c>
      <c r="B206" s="8">
        <f>IF(B205="","",IF(B205+$B$11&lt;=$B$6+1E-9,B205+$B$11,""))</f>
        <v/>
      </c>
      <c r="C206" s="8">
        <f>IF(B206="","",B206+$B$5)</f>
        <v/>
      </c>
      <c r="D206" s="8">
        <f>IF(B206="","",IF(B206&lt;- $B$5,"Left tangent",IF(B206&lt;=$B$6,"Cubic curve","Right tangent")))</f>
        <v/>
      </c>
      <c r="E206" s="9">
        <f>IF(B206="","",IF(B206&lt;- $B$5,$B$7,IF(B206&lt;=$B$6,100*(3*$F$12*(B206+$B$5)^2+2*$F$13*(B206+$B$5)+$F$6),$B$8)))</f>
        <v/>
      </c>
      <c r="F206" s="10">
        <f>IF(B206="","",IF(B206&lt;- $B$5,$F$6*B206,IF(B206&lt;=$B$6,$F$12*(B206+$B$5)^3+$F$13*(B206+$B$5)^2+$F$6*(B206+$B$5)+$F$8,$F$9+$F$7*(B206-$B$6))))</f>
        <v/>
      </c>
      <c r="G206" s="10">
        <f>IF(F206="","",$B$10+F206)</f>
        <v/>
      </c>
      <c r="H206" s="10">
        <f>IF(B206="","",$B$9+B206)</f>
        <v/>
      </c>
    </row>
    <row r="207">
      <c r="A207" s="8">
        <f>IF(B207="","",A206+1)</f>
        <v/>
      </c>
      <c r="B207" s="8">
        <f>IF(B206="","",IF(B206+$B$11&lt;=$B$6+1E-9,B206+$B$11,""))</f>
        <v/>
      </c>
      <c r="C207" s="8">
        <f>IF(B207="","",B207+$B$5)</f>
        <v/>
      </c>
      <c r="D207" s="8">
        <f>IF(B207="","",IF(B207&lt;- $B$5,"Left tangent",IF(B207&lt;=$B$6,"Cubic curve","Right tangent")))</f>
        <v/>
      </c>
      <c r="E207" s="9">
        <f>IF(B207="","",IF(B207&lt;- $B$5,$B$7,IF(B207&lt;=$B$6,100*(3*$F$12*(B207+$B$5)^2+2*$F$13*(B207+$B$5)+$F$6),$B$8)))</f>
        <v/>
      </c>
      <c r="F207" s="10">
        <f>IF(B207="","",IF(B207&lt;- $B$5,$F$6*B207,IF(B207&lt;=$B$6,$F$12*(B207+$B$5)^3+$F$13*(B207+$B$5)^2+$F$6*(B207+$B$5)+$F$8,$F$9+$F$7*(B207-$B$6))))</f>
        <v/>
      </c>
      <c r="G207" s="10">
        <f>IF(F207="","",$B$10+F207)</f>
        <v/>
      </c>
      <c r="H207" s="10">
        <f>IF(B207="","",$B$9+B207)</f>
        <v/>
      </c>
    </row>
    <row r="208">
      <c r="A208" s="8">
        <f>IF(B208="","",A207+1)</f>
        <v/>
      </c>
      <c r="B208" s="8">
        <f>IF(B207="","",IF(B207+$B$11&lt;=$B$6+1E-9,B207+$B$11,""))</f>
        <v/>
      </c>
      <c r="C208" s="8">
        <f>IF(B208="","",B208+$B$5)</f>
        <v/>
      </c>
      <c r="D208" s="8">
        <f>IF(B208="","",IF(B208&lt;- $B$5,"Left tangent",IF(B208&lt;=$B$6,"Cubic curve","Right tangent")))</f>
        <v/>
      </c>
      <c r="E208" s="9">
        <f>IF(B208="","",IF(B208&lt;- $B$5,$B$7,IF(B208&lt;=$B$6,100*(3*$F$12*(B208+$B$5)^2+2*$F$13*(B208+$B$5)+$F$6),$B$8)))</f>
        <v/>
      </c>
      <c r="F208" s="10">
        <f>IF(B208="","",IF(B208&lt;- $B$5,$F$6*B208,IF(B208&lt;=$B$6,$F$12*(B208+$B$5)^3+$F$13*(B208+$B$5)^2+$F$6*(B208+$B$5)+$F$8,$F$9+$F$7*(B208-$B$6))))</f>
        <v/>
      </c>
      <c r="G208" s="10">
        <f>IF(F208="","",$B$10+F208)</f>
        <v/>
      </c>
      <c r="H208" s="10">
        <f>IF(B208="","",$B$9+B208)</f>
        <v/>
      </c>
    </row>
    <row r="209">
      <c r="A209" s="8">
        <f>IF(B209="","",A208+1)</f>
        <v/>
      </c>
      <c r="B209" s="8">
        <f>IF(B208="","",IF(B208+$B$11&lt;=$B$6+1E-9,B208+$B$11,""))</f>
        <v/>
      </c>
      <c r="C209" s="8">
        <f>IF(B209="","",B209+$B$5)</f>
        <v/>
      </c>
      <c r="D209" s="8">
        <f>IF(B209="","",IF(B209&lt;- $B$5,"Left tangent",IF(B209&lt;=$B$6,"Cubic curve","Right tangent")))</f>
        <v/>
      </c>
      <c r="E209" s="9">
        <f>IF(B209="","",IF(B209&lt;- $B$5,$B$7,IF(B209&lt;=$B$6,100*(3*$F$12*(B209+$B$5)^2+2*$F$13*(B209+$B$5)+$F$6),$B$8)))</f>
        <v/>
      </c>
      <c r="F209" s="10">
        <f>IF(B209="","",IF(B209&lt;- $B$5,$F$6*B209,IF(B209&lt;=$B$6,$F$12*(B209+$B$5)^3+$F$13*(B209+$B$5)^2+$F$6*(B209+$B$5)+$F$8,$F$9+$F$7*(B209-$B$6))))</f>
        <v/>
      </c>
      <c r="G209" s="10">
        <f>IF(F209="","",$B$10+F209)</f>
        <v/>
      </c>
      <c r="H209" s="10">
        <f>IF(B209="","",$B$9+B209)</f>
        <v/>
      </c>
    </row>
    <row r="210">
      <c r="A210" s="8">
        <f>IF(B210="","",A209+1)</f>
        <v/>
      </c>
      <c r="B210" s="8">
        <f>IF(B209="","",IF(B209+$B$11&lt;=$B$6+1E-9,B209+$B$11,""))</f>
        <v/>
      </c>
      <c r="C210" s="8">
        <f>IF(B210="","",B210+$B$5)</f>
        <v/>
      </c>
      <c r="D210" s="8">
        <f>IF(B210="","",IF(B210&lt;- $B$5,"Left tangent",IF(B210&lt;=$B$6,"Cubic curve","Right tangent")))</f>
        <v/>
      </c>
      <c r="E210" s="9">
        <f>IF(B210="","",IF(B210&lt;- $B$5,$B$7,IF(B210&lt;=$B$6,100*(3*$F$12*(B210+$B$5)^2+2*$F$13*(B210+$B$5)+$F$6),$B$8)))</f>
        <v/>
      </c>
      <c r="F210" s="10">
        <f>IF(B210="","",IF(B210&lt;- $B$5,$F$6*B210,IF(B210&lt;=$B$6,$F$12*(B210+$B$5)^3+$F$13*(B210+$B$5)^2+$F$6*(B210+$B$5)+$F$8,$F$9+$F$7*(B210-$B$6))))</f>
        <v/>
      </c>
      <c r="G210" s="10">
        <f>IF(F210="","",$B$10+F210)</f>
        <v/>
      </c>
      <c r="H210" s="10">
        <f>IF(B210="","",$B$9+B210)</f>
        <v/>
      </c>
    </row>
    <row r="211">
      <c r="A211" s="8">
        <f>IF(B211="","",A210+1)</f>
        <v/>
      </c>
      <c r="B211" s="8">
        <f>IF(B210="","",IF(B210+$B$11&lt;=$B$6+1E-9,B210+$B$11,""))</f>
        <v/>
      </c>
      <c r="C211" s="8">
        <f>IF(B211="","",B211+$B$5)</f>
        <v/>
      </c>
      <c r="D211" s="8">
        <f>IF(B211="","",IF(B211&lt;- $B$5,"Left tangent",IF(B211&lt;=$B$6,"Cubic curve","Right tangent")))</f>
        <v/>
      </c>
      <c r="E211" s="9">
        <f>IF(B211="","",IF(B211&lt;- $B$5,$B$7,IF(B211&lt;=$B$6,100*(3*$F$12*(B211+$B$5)^2+2*$F$13*(B211+$B$5)+$F$6),$B$8)))</f>
        <v/>
      </c>
      <c r="F211" s="10">
        <f>IF(B211="","",IF(B211&lt;- $B$5,$F$6*B211,IF(B211&lt;=$B$6,$F$12*(B211+$B$5)^3+$F$13*(B211+$B$5)^2+$F$6*(B211+$B$5)+$F$8,$F$9+$F$7*(B211-$B$6))))</f>
        <v/>
      </c>
      <c r="G211" s="10">
        <f>IF(F211="","",$B$10+F211)</f>
        <v/>
      </c>
      <c r="H211" s="10">
        <f>IF(B211="","",$B$9+B211)</f>
        <v/>
      </c>
    </row>
    <row r="212">
      <c r="A212" s="8">
        <f>IF(B212="","",A211+1)</f>
        <v/>
      </c>
      <c r="B212" s="8">
        <f>IF(B211="","",IF(B211+$B$11&lt;=$B$6+1E-9,B211+$B$11,""))</f>
        <v/>
      </c>
      <c r="C212" s="8">
        <f>IF(B212="","",B212+$B$5)</f>
        <v/>
      </c>
      <c r="D212" s="8">
        <f>IF(B212="","",IF(B212&lt;- $B$5,"Left tangent",IF(B212&lt;=$B$6,"Cubic curve","Right tangent")))</f>
        <v/>
      </c>
      <c r="E212" s="9">
        <f>IF(B212="","",IF(B212&lt;- $B$5,$B$7,IF(B212&lt;=$B$6,100*(3*$F$12*(B212+$B$5)^2+2*$F$13*(B212+$B$5)+$F$6),$B$8)))</f>
        <v/>
      </c>
      <c r="F212" s="10">
        <f>IF(B212="","",IF(B212&lt;- $B$5,$F$6*B212,IF(B212&lt;=$B$6,$F$12*(B212+$B$5)^3+$F$13*(B212+$B$5)^2+$F$6*(B212+$B$5)+$F$8,$F$9+$F$7*(B212-$B$6))))</f>
        <v/>
      </c>
      <c r="G212" s="10">
        <f>IF(F212="","",$B$10+F212)</f>
        <v/>
      </c>
      <c r="H212" s="10">
        <f>IF(B212="","",$B$9+B212)</f>
        <v/>
      </c>
    </row>
    <row r="213">
      <c r="A213" s="8">
        <f>IF(B213="","",A212+1)</f>
        <v/>
      </c>
      <c r="B213" s="8">
        <f>IF(B212="","",IF(B212+$B$11&lt;=$B$6+1E-9,B212+$B$11,""))</f>
        <v/>
      </c>
      <c r="C213" s="8">
        <f>IF(B213="","",B213+$B$5)</f>
        <v/>
      </c>
      <c r="D213" s="8">
        <f>IF(B213="","",IF(B213&lt;- $B$5,"Left tangent",IF(B213&lt;=$B$6,"Cubic curve","Right tangent")))</f>
        <v/>
      </c>
      <c r="E213" s="9">
        <f>IF(B213="","",IF(B213&lt;- $B$5,$B$7,IF(B213&lt;=$B$6,100*(3*$F$12*(B213+$B$5)^2+2*$F$13*(B213+$B$5)+$F$6),$B$8)))</f>
        <v/>
      </c>
      <c r="F213" s="10">
        <f>IF(B213="","",IF(B213&lt;- $B$5,$F$6*B213,IF(B213&lt;=$B$6,$F$12*(B213+$B$5)^3+$F$13*(B213+$B$5)^2+$F$6*(B213+$B$5)+$F$8,$F$9+$F$7*(B213-$B$6))))</f>
        <v/>
      </c>
      <c r="G213" s="10">
        <f>IF(F213="","",$B$10+F213)</f>
        <v/>
      </c>
      <c r="H213" s="10">
        <f>IF(B213="","",$B$9+B213)</f>
        <v/>
      </c>
    </row>
    <row r="214">
      <c r="A214" s="8">
        <f>IF(B214="","",A213+1)</f>
        <v/>
      </c>
      <c r="B214" s="8">
        <f>IF(B213="","",IF(B213+$B$11&lt;=$B$6+1E-9,B213+$B$11,""))</f>
        <v/>
      </c>
      <c r="C214" s="8">
        <f>IF(B214="","",B214+$B$5)</f>
        <v/>
      </c>
      <c r="D214" s="8">
        <f>IF(B214="","",IF(B214&lt;- $B$5,"Left tangent",IF(B214&lt;=$B$6,"Cubic curve","Right tangent")))</f>
        <v/>
      </c>
      <c r="E214" s="9">
        <f>IF(B214="","",IF(B214&lt;- $B$5,$B$7,IF(B214&lt;=$B$6,100*(3*$F$12*(B214+$B$5)^2+2*$F$13*(B214+$B$5)+$F$6),$B$8)))</f>
        <v/>
      </c>
      <c r="F214" s="10">
        <f>IF(B214="","",IF(B214&lt;- $B$5,$F$6*B214,IF(B214&lt;=$B$6,$F$12*(B214+$B$5)^3+$F$13*(B214+$B$5)^2+$F$6*(B214+$B$5)+$F$8,$F$9+$F$7*(B214-$B$6))))</f>
        <v/>
      </c>
      <c r="G214" s="10">
        <f>IF(F214="","",$B$10+F214)</f>
        <v/>
      </c>
      <c r="H214" s="10">
        <f>IF(B214="","",$B$9+B214)</f>
        <v/>
      </c>
    </row>
    <row r="215">
      <c r="A215" s="8">
        <f>IF(B215="","",A214+1)</f>
        <v/>
      </c>
      <c r="B215" s="8">
        <f>IF(B214="","",IF(B214+$B$11&lt;=$B$6+1E-9,B214+$B$11,""))</f>
        <v/>
      </c>
      <c r="C215" s="8">
        <f>IF(B215="","",B215+$B$5)</f>
        <v/>
      </c>
      <c r="D215" s="8">
        <f>IF(B215="","",IF(B215&lt;- $B$5,"Left tangent",IF(B215&lt;=$B$6,"Cubic curve","Right tangent")))</f>
        <v/>
      </c>
      <c r="E215" s="9">
        <f>IF(B215="","",IF(B215&lt;- $B$5,$B$7,IF(B215&lt;=$B$6,100*(3*$F$12*(B215+$B$5)^2+2*$F$13*(B215+$B$5)+$F$6),$B$8)))</f>
        <v/>
      </c>
      <c r="F215" s="10">
        <f>IF(B215="","",IF(B215&lt;- $B$5,$F$6*B215,IF(B215&lt;=$B$6,$F$12*(B215+$B$5)^3+$F$13*(B215+$B$5)^2+$F$6*(B215+$B$5)+$F$8,$F$9+$F$7*(B215-$B$6))))</f>
        <v/>
      </c>
      <c r="G215" s="10">
        <f>IF(F215="","",$B$10+F215)</f>
        <v/>
      </c>
      <c r="H215" s="10">
        <f>IF(B215="","",$B$9+B215)</f>
        <v/>
      </c>
    </row>
    <row r="216">
      <c r="A216" s="8">
        <f>IF(B216="","",A215+1)</f>
        <v/>
      </c>
      <c r="B216" s="8">
        <f>IF(B215="","",IF(B215+$B$11&lt;=$B$6+1E-9,B215+$B$11,""))</f>
        <v/>
      </c>
      <c r="C216" s="8">
        <f>IF(B216="","",B216+$B$5)</f>
        <v/>
      </c>
      <c r="D216" s="8">
        <f>IF(B216="","",IF(B216&lt;- $B$5,"Left tangent",IF(B216&lt;=$B$6,"Cubic curve","Right tangent")))</f>
        <v/>
      </c>
      <c r="E216" s="9">
        <f>IF(B216="","",IF(B216&lt;- $B$5,$B$7,IF(B216&lt;=$B$6,100*(3*$F$12*(B216+$B$5)^2+2*$F$13*(B216+$B$5)+$F$6),$B$8)))</f>
        <v/>
      </c>
      <c r="F216" s="10">
        <f>IF(B216="","",IF(B216&lt;- $B$5,$F$6*B216,IF(B216&lt;=$B$6,$F$12*(B216+$B$5)^3+$F$13*(B216+$B$5)^2+$F$6*(B216+$B$5)+$F$8,$F$9+$F$7*(B216-$B$6))))</f>
        <v/>
      </c>
      <c r="G216" s="10">
        <f>IF(F216="","",$B$10+F216)</f>
        <v/>
      </c>
      <c r="H216" s="10">
        <f>IF(B216="","",$B$9+B216)</f>
        <v/>
      </c>
    </row>
    <row r="217">
      <c r="A217" s="8">
        <f>IF(B217="","",A216+1)</f>
        <v/>
      </c>
      <c r="B217" s="8">
        <f>IF(B216="","",IF(B216+$B$11&lt;=$B$6+1E-9,B216+$B$11,""))</f>
        <v/>
      </c>
      <c r="C217" s="8">
        <f>IF(B217="","",B217+$B$5)</f>
        <v/>
      </c>
      <c r="D217" s="8">
        <f>IF(B217="","",IF(B217&lt;- $B$5,"Left tangent",IF(B217&lt;=$B$6,"Cubic curve","Right tangent")))</f>
        <v/>
      </c>
      <c r="E217" s="9">
        <f>IF(B217="","",IF(B217&lt;- $B$5,$B$7,IF(B217&lt;=$B$6,100*(3*$F$12*(B217+$B$5)^2+2*$F$13*(B217+$B$5)+$F$6),$B$8)))</f>
        <v/>
      </c>
      <c r="F217" s="10">
        <f>IF(B217="","",IF(B217&lt;- $B$5,$F$6*B217,IF(B217&lt;=$B$6,$F$12*(B217+$B$5)^3+$F$13*(B217+$B$5)^2+$F$6*(B217+$B$5)+$F$8,$F$9+$F$7*(B217-$B$6))))</f>
        <v/>
      </c>
      <c r="G217" s="10">
        <f>IF(F217="","",$B$10+F217)</f>
        <v/>
      </c>
      <c r="H217" s="10">
        <f>IF(B217="","",$B$9+B217)</f>
        <v/>
      </c>
    </row>
    <row r="218">
      <c r="A218" s="8">
        <f>IF(B218="","",A217+1)</f>
        <v/>
      </c>
      <c r="B218" s="8">
        <f>IF(B217="","",IF(B217+$B$11&lt;=$B$6+1E-9,B217+$B$11,""))</f>
        <v/>
      </c>
      <c r="C218" s="8">
        <f>IF(B218="","",B218+$B$5)</f>
        <v/>
      </c>
      <c r="D218" s="8">
        <f>IF(B218="","",IF(B218&lt;- $B$5,"Left tangent",IF(B218&lt;=$B$6,"Cubic curve","Right tangent")))</f>
        <v/>
      </c>
      <c r="E218" s="9">
        <f>IF(B218="","",IF(B218&lt;- $B$5,$B$7,IF(B218&lt;=$B$6,100*(3*$F$12*(B218+$B$5)^2+2*$F$13*(B218+$B$5)+$F$6),$B$8)))</f>
        <v/>
      </c>
      <c r="F218" s="10">
        <f>IF(B218="","",IF(B218&lt;- $B$5,$F$6*B218,IF(B218&lt;=$B$6,$F$12*(B218+$B$5)^3+$F$13*(B218+$B$5)^2+$F$6*(B218+$B$5)+$F$8,$F$9+$F$7*(B218-$B$6))))</f>
        <v/>
      </c>
      <c r="G218" s="10">
        <f>IF(F218="","",$B$10+F218)</f>
        <v/>
      </c>
      <c r="H218" s="10">
        <f>IF(B218="","",$B$9+B218)</f>
        <v/>
      </c>
    </row>
    <row r="219">
      <c r="A219" s="8">
        <f>IF(B219="","",A218+1)</f>
        <v/>
      </c>
      <c r="B219" s="8">
        <f>IF(B218="","",IF(B218+$B$11&lt;=$B$6+1E-9,B218+$B$11,""))</f>
        <v/>
      </c>
      <c r="C219" s="8">
        <f>IF(B219="","",B219+$B$5)</f>
        <v/>
      </c>
      <c r="D219" s="8">
        <f>IF(B219="","",IF(B219&lt;- $B$5,"Left tangent",IF(B219&lt;=$B$6,"Cubic curve","Right tangent")))</f>
        <v/>
      </c>
      <c r="E219" s="9">
        <f>IF(B219="","",IF(B219&lt;- $B$5,$B$7,IF(B219&lt;=$B$6,100*(3*$F$12*(B219+$B$5)^2+2*$F$13*(B219+$B$5)+$F$6),$B$8)))</f>
        <v/>
      </c>
      <c r="F219" s="10">
        <f>IF(B219="","",IF(B219&lt;- $B$5,$F$6*B219,IF(B219&lt;=$B$6,$F$12*(B219+$B$5)^3+$F$13*(B219+$B$5)^2+$F$6*(B219+$B$5)+$F$8,$F$9+$F$7*(B219-$B$6))))</f>
        <v/>
      </c>
      <c r="G219" s="10">
        <f>IF(F219="","",$B$10+F219)</f>
        <v/>
      </c>
      <c r="H219" s="10">
        <f>IF(B219="","",$B$9+B219)</f>
        <v/>
      </c>
    </row>
    <row r="220">
      <c r="A220" s="8">
        <f>IF(B220="","",A219+1)</f>
        <v/>
      </c>
      <c r="B220" s="8">
        <f>IF(B219="","",IF(B219+$B$11&lt;=$B$6+1E-9,B219+$B$11,""))</f>
        <v/>
      </c>
      <c r="C220" s="8">
        <f>IF(B220="","",B220+$B$5)</f>
        <v/>
      </c>
      <c r="D220" s="8">
        <f>IF(B220="","",IF(B220&lt;- $B$5,"Left tangent",IF(B220&lt;=$B$6,"Cubic curve","Right tangent")))</f>
        <v/>
      </c>
      <c r="E220" s="9">
        <f>IF(B220="","",IF(B220&lt;- $B$5,$B$7,IF(B220&lt;=$B$6,100*(3*$F$12*(B220+$B$5)^2+2*$F$13*(B220+$B$5)+$F$6),$B$8)))</f>
        <v/>
      </c>
      <c r="F220" s="10">
        <f>IF(B220="","",IF(B220&lt;- $B$5,$F$6*B220,IF(B220&lt;=$B$6,$F$12*(B220+$B$5)^3+$F$13*(B220+$B$5)^2+$F$6*(B220+$B$5)+$F$8,$F$9+$F$7*(B220-$B$6))))</f>
        <v/>
      </c>
      <c r="G220" s="10">
        <f>IF(F220="","",$B$10+F220)</f>
        <v/>
      </c>
      <c r="H220" s="10">
        <f>IF(B220="","",$B$9+B220)</f>
        <v/>
      </c>
    </row>
    <row r="221">
      <c r="A221" s="8">
        <f>IF(B221="","",A220+1)</f>
        <v/>
      </c>
      <c r="B221" s="8">
        <f>IF(B220="","",IF(B220+$B$11&lt;=$B$6+1E-9,B220+$B$11,""))</f>
        <v/>
      </c>
      <c r="C221" s="8">
        <f>IF(B221="","",B221+$B$5)</f>
        <v/>
      </c>
      <c r="D221" s="8">
        <f>IF(B221="","",IF(B221&lt;- $B$5,"Left tangent",IF(B221&lt;=$B$6,"Cubic curve","Right tangent")))</f>
        <v/>
      </c>
      <c r="E221" s="9">
        <f>IF(B221="","",IF(B221&lt;- $B$5,$B$7,IF(B221&lt;=$B$6,100*(3*$F$12*(B221+$B$5)^2+2*$F$13*(B221+$B$5)+$F$6),$B$8)))</f>
        <v/>
      </c>
      <c r="F221" s="10">
        <f>IF(B221="","",IF(B221&lt;- $B$5,$F$6*B221,IF(B221&lt;=$B$6,$F$12*(B221+$B$5)^3+$F$13*(B221+$B$5)^2+$F$6*(B221+$B$5)+$F$8,$F$9+$F$7*(B221-$B$6))))</f>
        <v/>
      </c>
      <c r="G221" s="10">
        <f>IF(F221="","",$B$10+F221)</f>
        <v/>
      </c>
      <c r="H221" s="10">
        <f>IF(B221="","",$B$9+B221)</f>
        <v/>
      </c>
    </row>
    <row r="222">
      <c r="A222" s="8">
        <f>IF(B222="","",A221+1)</f>
        <v/>
      </c>
      <c r="B222" s="8">
        <f>IF(B221="","",IF(B221+$B$11&lt;=$B$6+1E-9,B221+$B$11,""))</f>
        <v/>
      </c>
      <c r="C222" s="8">
        <f>IF(B222="","",B222+$B$5)</f>
        <v/>
      </c>
      <c r="D222" s="8">
        <f>IF(B222="","",IF(B222&lt;- $B$5,"Left tangent",IF(B222&lt;=$B$6,"Cubic curve","Right tangent")))</f>
        <v/>
      </c>
      <c r="E222" s="9">
        <f>IF(B222="","",IF(B222&lt;- $B$5,$B$7,IF(B222&lt;=$B$6,100*(3*$F$12*(B222+$B$5)^2+2*$F$13*(B222+$B$5)+$F$6),$B$8)))</f>
        <v/>
      </c>
      <c r="F222" s="10">
        <f>IF(B222="","",IF(B222&lt;- $B$5,$F$6*B222,IF(B222&lt;=$B$6,$F$12*(B222+$B$5)^3+$F$13*(B222+$B$5)^2+$F$6*(B222+$B$5)+$F$8,$F$9+$F$7*(B222-$B$6))))</f>
        <v/>
      </c>
      <c r="G222" s="10">
        <f>IF(F222="","",$B$10+F222)</f>
        <v/>
      </c>
      <c r="H222" s="10">
        <f>IF(B222="","",$B$9+B222)</f>
        <v/>
      </c>
    </row>
    <row r="223">
      <c r="A223" s="8">
        <f>IF(B223="","",A222+1)</f>
        <v/>
      </c>
      <c r="B223" s="8">
        <f>IF(B222="","",IF(B222+$B$11&lt;=$B$6+1E-9,B222+$B$11,""))</f>
        <v/>
      </c>
      <c r="C223" s="8">
        <f>IF(B223="","",B223+$B$5)</f>
        <v/>
      </c>
      <c r="D223" s="8">
        <f>IF(B223="","",IF(B223&lt;- $B$5,"Left tangent",IF(B223&lt;=$B$6,"Cubic curve","Right tangent")))</f>
        <v/>
      </c>
      <c r="E223" s="9">
        <f>IF(B223="","",IF(B223&lt;- $B$5,$B$7,IF(B223&lt;=$B$6,100*(3*$F$12*(B223+$B$5)^2+2*$F$13*(B223+$B$5)+$F$6),$B$8)))</f>
        <v/>
      </c>
      <c r="F223" s="10">
        <f>IF(B223="","",IF(B223&lt;- $B$5,$F$6*B223,IF(B223&lt;=$B$6,$F$12*(B223+$B$5)^3+$F$13*(B223+$B$5)^2+$F$6*(B223+$B$5)+$F$8,$F$9+$F$7*(B223-$B$6))))</f>
        <v/>
      </c>
      <c r="G223" s="10">
        <f>IF(F223="","",$B$10+F223)</f>
        <v/>
      </c>
      <c r="H223" s="10">
        <f>IF(B223="","",$B$9+B223)</f>
        <v/>
      </c>
    </row>
    <row r="224">
      <c r="A224" s="8">
        <f>IF(B224="","",A223+1)</f>
        <v/>
      </c>
      <c r="B224" s="8">
        <f>IF(B223="","",IF(B223+$B$11&lt;=$B$6+1E-9,B223+$B$11,""))</f>
        <v/>
      </c>
      <c r="C224" s="8">
        <f>IF(B224="","",B224+$B$5)</f>
        <v/>
      </c>
      <c r="D224" s="8">
        <f>IF(B224="","",IF(B224&lt;- $B$5,"Left tangent",IF(B224&lt;=$B$6,"Cubic curve","Right tangent")))</f>
        <v/>
      </c>
      <c r="E224" s="9">
        <f>IF(B224="","",IF(B224&lt;- $B$5,$B$7,IF(B224&lt;=$B$6,100*(3*$F$12*(B224+$B$5)^2+2*$F$13*(B224+$B$5)+$F$6),$B$8)))</f>
        <v/>
      </c>
      <c r="F224" s="10">
        <f>IF(B224="","",IF(B224&lt;- $B$5,$F$6*B224,IF(B224&lt;=$B$6,$F$12*(B224+$B$5)^3+$F$13*(B224+$B$5)^2+$F$6*(B224+$B$5)+$F$8,$F$9+$F$7*(B224-$B$6))))</f>
        <v/>
      </c>
      <c r="G224" s="10">
        <f>IF(F224="","",$B$10+F224)</f>
        <v/>
      </c>
      <c r="H224" s="10">
        <f>IF(B224="","",$B$9+B224)</f>
        <v/>
      </c>
    </row>
    <row r="225">
      <c r="A225" s="8">
        <f>IF(B225="","",A224+1)</f>
        <v/>
      </c>
      <c r="B225" s="8">
        <f>IF(B224="","",IF(B224+$B$11&lt;=$B$6+1E-9,B224+$B$11,""))</f>
        <v/>
      </c>
      <c r="C225" s="8">
        <f>IF(B225="","",B225+$B$5)</f>
        <v/>
      </c>
      <c r="D225" s="8">
        <f>IF(B225="","",IF(B225&lt;- $B$5,"Left tangent",IF(B225&lt;=$B$6,"Cubic curve","Right tangent")))</f>
        <v/>
      </c>
      <c r="E225" s="9">
        <f>IF(B225="","",IF(B225&lt;- $B$5,$B$7,IF(B225&lt;=$B$6,100*(3*$F$12*(B225+$B$5)^2+2*$F$13*(B225+$B$5)+$F$6),$B$8)))</f>
        <v/>
      </c>
      <c r="F225" s="10">
        <f>IF(B225="","",IF(B225&lt;- $B$5,$F$6*B225,IF(B225&lt;=$B$6,$F$12*(B225+$B$5)^3+$F$13*(B225+$B$5)^2+$F$6*(B225+$B$5)+$F$8,$F$9+$F$7*(B225-$B$6))))</f>
        <v/>
      </c>
      <c r="G225" s="10">
        <f>IF(F225="","",$B$10+F225)</f>
        <v/>
      </c>
      <c r="H225" s="10">
        <f>IF(B225="","",$B$9+B225)</f>
        <v/>
      </c>
    </row>
    <row r="226">
      <c r="A226" s="8">
        <f>IF(B226="","",A225+1)</f>
        <v/>
      </c>
      <c r="B226" s="8">
        <f>IF(B225="","",IF(B225+$B$11&lt;=$B$6+1E-9,B225+$B$11,""))</f>
        <v/>
      </c>
      <c r="C226" s="8">
        <f>IF(B226="","",B226+$B$5)</f>
        <v/>
      </c>
      <c r="D226" s="8">
        <f>IF(B226="","",IF(B226&lt;- $B$5,"Left tangent",IF(B226&lt;=$B$6,"Cubic curve","Right tangent")))</f>
        <v/>
      </c>
      <c r="E226" s="9">
        <f>IF(B226="","",IF(B226&lt;- $B$5,$B$7,IF(B226&lt;=$B$6,100*(3*$F$12*(B226+$B$5)^2+2*$F$13*(B226+$B$5)+$F$6),$B$8)))</f>
        <v/>
      </c>
      <c r="F226" s="10">
        <f>IF(B226="","",IF(B226&lt;- $B$5,$F$6*B226,IF(B226&lt;=$B$6,$F$12*(B226+$B$5)^3+$F$13*(B226+$B$5)^2+$F$6*(B226+$B$5)+$F$8,$F$9+$F$7*(B226-$B$6))))</f>
        <v/>
      </c>
      <c r="G226" s="10">
        <f>IF(F226="","",$B$10+F226)</f>
        <v/>
      </c>
      <c r="H226" s="10">
        <f>IF(B226="","",$B$9+B226)</f>
        <v/>
      </c>
    </row>
    <row r="227">
      <c r="A227" s="8">
        <f>IF(B227="","",A226+1)</f>
        <v/>
      </c>
      <c r="B227" s="8">
        <f>IF(B226="","",IF(B226+$B$11&lt;=$B$6+1E-9,B226+$B$11,""))</f>
        <v/>
      </c>
      <c r="C227" s="8">
        <f>IF(B227="","",B227+$B$5)</f>
        <v/>
      </c>
      <c r="D227" s="8">
        <f>IF(B227="","",IF(B227&lt;- $B$5,"Left tangent",IF(B227&lt;=$B$6,"Cubic curve","Right tangent")))</f>
        <v/>
      </c>
      <c r="E227" s="9">
        <f>IF(B227="","",IF(B227&lt;- $B$5,$B$7,IF(B227&lt;=$B$6,100*(3*$F$12*(B227+$B$5)^2+2*$F$13*(B227+$B$5)+$F$6),$B$8)))</f>
        <v/>
      </c>
      <c r="F227" s="10">
        <f>IF(B227="","",IF(B227&lt;- $B$5,$F$6*B227,IF(B227&lt;=$B$6,$F$12*(B227+$B$5)^3+$F$13*(B227+$B$5)^2+$F$6*(B227+$B$5)+$F$8,$F$9+$F$7*(B227-$B$6))))</f>
        <v/>
      </c>
      <c r="G227" s="10">
        <f>IF(F227="","",$B$10+F227)</f>
        <v/>
      </c>
      <c r="H227" s="10">
        <f>IF(B227="","",$B$9+B227)</f>
        <v/>
      </c>
    </row>
    <row r="228">
      <c r="A228" s="8">
        <f>IF(B228="","",A227+1)</f>
        <v/>
      </c>
      <c r="B228" s="8">
        <f>IF(B227="","",IF(B227+$B$11&lt;=$B$6+1E-9,B227+$B$11,""))</f>
        <v/>
      </c>
      <c r="C228" s="8">
        <f>IF(B228="","",B228+$B$5)</f>
        <v/>
      </c>
      <c r="D228" s="8">
        <f>IF(B228="","",IF(B228&lt;- $B$5,"Left tangent",IF(B228&lt;=$B$6,"Cubic curve","Right tangent")))</f>
        <v/>
      </c>
      <c r="E228" s="9">
        <f>IF(B228="","",IF(B228&lt;- $B$5,$B$7,IF(B228&lt;=$B$6,100*(3*$F$12*(B228+$B$5)^2+2*$F$13*(B228+$B$5)+$F$6),$B$8)))</f>
        <v/>
      </c>
      <c r="F228" s="10">
        <f>IF(B228="","",IF(B228&lt;- $B$5,$F$6*B228,IF(B228&lt;=$B$6,$F$12*(B228+$B$5)^3+$F$13*(B228+$B$5)^2+$F$6*(B228+$B$5)+$F$8,$F$9+$F$7*(B228-$B$6))))</f>
        <v/>
      </c>
      <c r="G228" s="10">
        <f>IF(F228="","",$B$10+F228)</f>
        <v/>
      </c>
      <c r="H228" s="10">
        <f>IF(B228="","",$B$9+B228)</f>
        <v/>
      </c>
    </row>
    <row r="229">
      <c r="A229" s="8">
        <f>IF(B229="","",A228+1)</f>
        <v/>
      </c>
      <c r="B229" s="8">
        <f>IF(B228="","",IF(B228+$B$11&lt;=$B$6+1E-9,B228+$B$11,""))</f>
        <v/>
      </c>
      <c r="C229" s="8">
        <f>IF(B229="","",B229+$B$5)</f>
        <v/>
      </c>
      <c r="D229" s="8">
        <f>IF(B229="","",IF(B229&lt;- $B$5,"Left tangent",IF(B229&lt;=$B$6,"Cubic curve","Right tangent")))</f>
        <v/>
      </c>
      <c r="E229" s="9">
        <f>IF(B229="","",IF(B229&lt;- $B$5,$B$7,IF(B229&lt;=$B$6,100*(3*$F$12*(B229+$B$5)^2+2*$F$13*(B229+$B$5)+$F$6),$B$8)))</f>
        <v/>
      </c>
      <c r="F229" s="10">
        <f>IF(B229="","",IF(B229&lt;- $B$5,$F$6*B229,IF(B229&lt;=$B$6,$F$12*(B229+$B$5)^3+$F$13*(B229+$B$5)^2+$F$6*(B229+$B$5)+$F$8,$F$9+$F$7*(B229-$B$6))))</f>
        <v/>
      </c>
      <c r="G229" s="10">
        <f>IF(F229="","",$B$10+F229)</f>
        <v/>
      </c>
      <c r="H229" s="10">
        <f>IF(B229="","",$B$9+B229)</f>
        <v/>
      </c>
    </row>
    <row r="230">
      <c r="A230" s="8">
        <f>IF(B230="","",A229+1)</f>
        <v/>
      </c>
      <c r="B230" s="8">
        <f>IF(B229="","",IF(B229+$B$11&lt;=$B$6+1E-9,B229+$B$11,""))</f>
        <v/>
      </c>
      <c r="C230" s="8">
        <f>IF(B230="","",B230+$B$5)</f>
        <v/>
      </c>
      <c r="D230" s="8">
        <f>IF(B230="","",IF(B230&lt;- $B$5,"Left tangent",IF(B230&lt;=$B$6,"Cubic curve","Right tangent")))</f>
        <v/>
      </c>
      <c r="E230" s="9">
        <f>IF(B230="","",IF(B230&lt;- $B$5,$B$7,IF(B230&lt;=$B$6,100*(3*$F$12*(B230+$B$5)^2+2*$F$13*(B230+$B$5)+$F$6),$B$8)))</f>
        <v/>
      </c>
      <c r="F230" s="10">
        <f>IF(B230="","",IF(B230&lt;- $B$5,$F$6*B230,IF(B230&lt;=$B$6,$F$12*(B230+$B$5)^3+$F$13*(B230+$B$5)^2+$F$6*(B230+$B$5)+$F$8,$F$9+$F$7*(B230-$B$6))))</f>
        <v/>
      </c>
      <c r="G230" s="10">
        <f>IF(F230="","",$B$10+F230)</f>
        <v/>
      </c>
      <c r="H230" s="10">
        <f>IF(B230="","",$B$9+B230)</f>
        <v/>
      </c>
    </row>
    <row r="231">
      <c r="A231" s="8">
        <f>IF(B231="","",A230+1)</f>
        <v/>
      </c>
      <c r="B231" s="8">
        <f>IF(B230="","",IF(B230+$B$11&lt;=$B$6+1E-9,B230+$B$11,""))</f>
        <v/>
      </c>
      <c r="C231" s="8">
        <f>IF(B231="","",B231+$B$5)</f>
        <v/>
      </c>
      <c r="D231" s="8">
        <f>IF(B231="","",IF(B231&lt;- $B$5,"Left tangent",IF(B231&lt;=$B$6,"Cubic curve","Right tangent")))</f>
        <v/>
      </c>
      <c r="E231" s="9">
        <f>IF(B231="","",IF(B231&lt;- $B$5,$B$7,IF(B231&lt;=$B$6,100*(3*$F$12*(B231+$B$5)^2+2*$F$13*(B231+$B$5)+$F$6),$B$8)))</f>
        <v/>
      </c>
      <c r="F231" s="10">
        <f>IF(B231="","",IF(B231&lt;- $B$5,$F$6*B231,IF(B231&lt;=$B$6,$F$12*(B231+$B$5)^3+$F$13*(B231+$B$5)^2+$F$6*(B231+$B$5)+$F$8,$F$9+$F$7*(B231-$B$6))))</f>
        <v/>
      </c>
      <c r="G231" s="10">
        <f>IF(F231="","",$B$10+F231)</f>
        <v/>
      </c>
      <c r="H231" s="10">
        <f>IF(B231="","",$B$9+B231)</f>
        <v/>
      </c>
    </row>
    <row r="232">
      <c r="A232" s="8">
        <f>IF(B232="","",A231+1)</f>
        <v/>
      </c>
      <c r="B232" s="8">
        <f>IF(B231="","",IF(B231+$B$11&lt;=$B$6+1E-9,B231+$B$11,""))</f>
        <v/>
      </c>
      <c r="C232" s="8">
        <f>IF(B232="","",B232+$B$5)</f>
        <v/>
      </c>
      <c r="D232" s="8">
        <f>IF(B232="","",IF(B232&lt;- $B$5,"Left tangent",IF(B232&lt;=$B$6,"Cubic curve","Right tangent")))</f>
        <v/>
      </c>
      <c r="E232" s="9">
        <f>IF(B232="","",IF(B232&lt;- $B$5,$B$7,IF(B232&lt;=$B$6,100*(3*$F$12*(B232+$B$5)^2+2*$F$13*(B232+$B$5)+$F$6),$B$8)))</f>
        <v/>
      </c>
      <c r="F232" s="10">
        <f>IF(B232="","",IF(B232&lt;- $B$5,$F$6*B232,IF(B232&lt;=$B$6,$F$12*(B232+$B$5)^3+$F$13*(B232+$B$5)^2+$F$6*(B232+$B$5)+$F$8,$F$9+$F$7*(B232-$B$6))))</f>
        <v/>
      </c>
      <c r="G232" s="10">
        <f>IF(F232="","",$B$10+F232)</f>
        <v/>
      </c>
      <c r="H232" s="10">
        <f>IF(B232="","",$B$9+B232)</f>
        <v/>
      </c>
    </row>
    <row r="233">
      <c r="A233" s="8">
        <f>IF(B233="","",A232+1)</f>
        <v/>
      </c>
      <c r="B233" s="8">
        <f>IF(B232="","",IF(B232+$B$11&lt;=$B$6+1E-9,B232+$B$11,""))</f>
        <v/>
      </c>
      <c r="C233" s="8">
        <f>IF(B233="","",B233+$B$5)</f>
        <v/>
      </c>
      <c r="D233" s="8">
        <f>IF(B233="","",IF(B233&lt;- $B$5,"Left tangent",IF(B233&lt;=$B$6,"Cubic curve","Right tangent")))</f>
        <v/>
      </c>
      <c r="E233" s="9">
        <f>IF(B233="","",IF(B233&lt;- $B$5,$B$7,IF(B233&lt;=$B$6,100*(3*$F$12*(B233+$B$5)^2+2*$F$13*(B233+$B$5)+$F$6),$B$8)))</f>
        <v/>
      </c>
      <c r="F233" s="10">
        <f>IF(B233="","",IF(B233&lt;- $B$5,$F$6*B233,IF(B233&lt;=$B$6,$F$12*(B233+$B$5)^3+$F$13*(B233+$B$5)^2+$F$6*(B233+$B$5)+$F$8,$F$9+$F$7*(B233-$B$6))))</f>
        <v/>
      </c>
      <c r="G233" s="10">
        <f>IF(F233="","",$B$10+F233)</f>
        <v/>
      </c>
      <c r="H233" s="10">
        <f>IF(B233="","",$B$9+B233)</f>
        <v/>
      </c>
    </row>
    <row r="234">
      <c r="A234" s="8">
        <f>IF(B234="","",A233+1)</f>
        <v/>
      </c>
      <c r="B234" s="8">
        <f>IF(B233="","",IF(B233+$B$11&lt;=$B$6+1E-9,B233+$B$11,""))</f>
        <v/>
      </c>
      <c r="C234" s="8">
        <f>IF(B234="","",B234+$B$5)</f>
        <v/>
      </c>
      <c r="D234" s="8">
        <f>IF(B234="","",IF(B234&lt;- $B$5,"Left tangent",IF(B234&lt;=$B$6,"Cubic curve","Right tangent")))</f>
        <v/>
      </c>
      <c r="E234" s="9">
        <f>IF(B234="","",IF(B234&lt;- $B$5,$B$7,IF(B234&lt;=$B$6,100*(3*$F$12*(B234+$B$5)^2+2*$F$13*(B234+$B$5)+$F$6),$B$8)))</f>
        <v/>
      </c>
      <c r="F234" s="10">
        <f>IF(B234="","",IF(B234&lt;- $B$5,$F$6*B234,IF(B234&lt;=$B$6,$F$12*(B234+$B$5)^3+$F$13*(B234+$B$5)^2+$F$6*(B234+$B$5)+$F$8,$F$9+$F$7*(B234-$B$6))))</f>
        <v/>
      </c>
      <c r="G234" s="10">
        <f>IF(F234="","",$B$10+F234)</f>
        <v/>
      </c>
      <c r="H234" s="10">
        <f>IF(B234="","",$B$9+B234)</f>
        <v/>
      </c>
    </row>
    <row r="235">
      <c r="A235" s="8">
        <f>IF(B235="","",A234+1)</f>
        <v/>
      </c>
      <c r="B235" s="8">
        <f>IF(B234="","",IF(B234+$B$11&lt;=$B$6+1E-9,B234+$B$11,""))</f>
        <v/>
      </c>
      <c r="C235" s="8">
        <f>IF(B235="","",B235+$B$5)</f>
        <v/>
      </c>
      <c r="D235" s="8">
        <f>IF(B235="","",IF(B235&lt;- $B$5,"Left tangent",IF(B235&lt;=$B$6,"Cubic curve","Right tangent")))</f>
        <v/>
      </c>
      <c r="E235" s="9">
        <f>IF(B235="","",IF(B235&lt;- $B$5,$B$7,IF(B235&lt;=$B$6,100*(3*$F$12*(B235+$B$5)^2+2*$F$13*(B235+$B$5)+$F$6),$B$8)))</f>
        <v/>
      </c>
      <c r="F235" s="10">
        <f>IF(B235="","",IF(B235&lt;- $B$5,$F$6*B235,IF(B235&lt;=$B$6,$F$12*(B235+$B$5)^3+$F$13*(B235+$B$5)^2+$F$6*(B235+$B$5)+$F$8,$F$9+$F$7*(B235-$B$6))))</f>
        <v/>
      </c>
      <c r="G235" s="10">
        <f>IF(F235="","",$B$10+F235)</f>
        <v/>
      </c>
      <c r="H235" s="10">
        <f>IF(B235="","",$B$9+B235)</f>
        <v/>
      </c>
    </row>
    <row r="236">
      <c r="A236" s="8">
        <f>IF(B236="","",A235+1)</f>
        <v/>
      </c>
      <c r="B236" s="8">
        <f>IF(B235="","",IF(B235+$B$11&lt;=$B$6+1E-9,B235+$B$11,""))</f>
        <v/>
      </c>
      <c r="C236" s="8">
        <f>IF(B236="","",B236+$B$5)</f>
        <v/>
      </c>
      <c r="D236" s="8">
        <f>IF(B236="","",IF(B236&lt;- $B$5,"Left tangent",IF(B236&lt;=$B$6,"Cubic curve","Right tangent")))</f>
        <v/>
      </c>
      <c r="E236" s="9">
        <f>IF(B236="","",IF(B236&lt;- $B$5,$B$7,IF(B236&lt;=$B$6,100*(3*$F$12*(B236+$B$5)^2+2*$F$13*(B236+$B$5)+$F$6),$B$8)))</f>
        <v/>
      </c>
      <c r="F236" s="10">
        <f>IF(B236="","",IF(B236&lt;- $B$5,$F$6*B236,IF(B236&lt;=$B$6,$F$12*(B236+$B$5)^3+$F$13*(B236+$B$5)^2+$F$6*(B236+$B$5)+$F$8,$F$9+$F$7*(B236-$B$6))))</f>
        <v/>
      </c>
      <c r="G236" s="10">
        <f>IF(F236="","",$B$10+F236)</f>
        <v/>
      </c>
      <c r="H236" s="10">
        <f>IF(B236="","",$B$9+B236)</f>
        <v/>
      </c>
    </row>
    <row r="237">
      <c r="A237" s="8">
        <f>IF(B237="","",A236+1)</f>
        <v/>
      </c>
      <c r="B237" s="8">
        <f>IF(B236="","",IF(B236+$B$11&lt;=$B$6+1E-9,B236+$B$11,""))</f>
        <v/>
      </c>
      <c r="C237" s="8">
        <f>IF(B237="","",B237+$B$5)</f>
        <v/>
      </c>
      <c r="D237" s="8">
        <f>IF(B237="","",IF(B237&lt;- $B$5,"Left tangent",IF(B237&lt;=$B$6,"Cubic curve","Right tangent")))</f>
        <v/>
      </c>
      <c r="E237" s="9">
        <f>IF(B237="","",IF(B237&lt;- $B$5,$B$7,IF(B237&lt;=$B$6,100*(3*$F$12*(B237+$B$5)^2+2*$F$13*(B237+$B$5)+$F$6),$B$8)))</f>
        <v/>
      </c>
      <c r="F237" s="10">
        <f>IF(B237="","",IF(B237&lt;- $B$5,$F$6*B237,IF(B237&lt;=$B$6,$F$12*(B237+$B$5)^3+$F$13*(B237+$B$5)^2+$F$6*(B237+$B$5)+$F$8,$F$9+$F$7*(B237-$B$6))))</f>
        <v/>
      </c>
      <c r="G237" s="10">
        <f>IF(F237="","",$B$10+F237)</f>
        <v/>
      </c>
      <c r="H237" s="10">
        <f>IF(B237="","",$B$9+B237)</f>
        <v/>
      </c>
    </row>
    <row r="238">
      <c r="A238" s="8">
        <f>IF(B238="","",A237+1)</f>
        <v/>
      </c>
      <c r="B238" s="8">
        <f>IF(B237="","",IF(B237+$B$11&lt;=$B$6+1E-9,B237+$B$11,""))</f>
        <v/>
      </c>
      <c r="C238" s="8">
        <f>IF(B238="","",B238+$B$5)</f>
        <v/>
      </c>
      <c r="D238" s="8">
        <f>IF(B238="","",IF(B238&lt;- $B$5,"Left tangent",IF(B238&lt;=$B$6,"Cubic curve","Right tangent")))</f>
        <v/>
      </c>
      <c r="E238" s="9">
        <f>IF(B238="","",IF(B238&lt;- $B$5,$B$7,IF(B238&lt;=$B$6,100*(3*$F$12*(B238+$B$5)^2+2*$F$13*(B238+$B$5)+$F$6),$B$8)))</f>
        <v/>
      </c>
      <c r="F238" s="10">
        <f>IF(B238="","",IF(B238&lt;- $B$5,$F$6*B238,IF(B238&lt;=$B$6,$F$12*(B238+$B$5)^3+$F$13*(B238+$B$5)^2+$F$6*(B238+$B$5)+$F$8,$F$9+$F$7*(B238-$B$6))))</f>
        <v/>
      </c>
      <c r="G238" s="10">
        <f>IF(F238="","",$B$10+F238)</f>
        <v/>
      </c>
      <c r="H238" s="10">
        <f>IF(B238="","",$B$9+B238)</f>
        <v/>
      </c>
    </row>
    <row r="239">
      <c r="A239" s="8">
        <f>IF(B239="","",A238+1)</f>
        <v/>
      </c>
      <c r="B239" s="8">
        <f>IF(B238="","",IF(B238+$B$11&lt;=$B$6+1E-9,B238+$B$11,""))</f>
        <v/>
      </c>
      <c r="C239" s="8">
        <f>IF(B239="","",B239+$B$5)</f>
        <v/>
      </c>
      <c r="D239" s="8">
        <f>IF(B239="","",IF(B239&lt;- $B$5,"Left tangent",IF(B239&lt;=$B$6,"Cubic curve","Right tangent")))</f>
        <v/>
      </c>
      <c r="E239" s="9">
        <f>IF(B239="","",IF(B239&lt;- $B$5,$B$7,IF(B239&lt;=$B$6,100*(3*$F$12*(B239+$B$5)^2+2*$F$13*(B239+$B$5)+$F$6),$B$8)))</f>
        <v/>
      </c>
      <c r="F239" s="10">
        <f>IF(B239="","",IF(B239&lt;- $B$5,$F$6*B239,IF(B239&lt;=$B$6,$F$12*(B239+$B$5)^3+$F$13*(B239+$B$5)^2+$F$6*(B239+$B$5)+$F$8,$F$9+$F$7*(B239-$B$6))))</f>
        <v/>
      </c>
      <c r="G239" s="10">
        <f>IF(F239="","",$B$10+F239)</f>
        <v/>
      </c>
      <c r="H239" s="10">
        <f>IF(B239="","",$B$9+B239)</f>
        <v/>
      </c>
    </row>
    <row r="240">
      <c r="A240" s="8">
        <f>IF(B240="","",A239+1)</f>
        <v/>
      </c>
      <c r="B240" s="8">
        <f>IF(B239="","",IF(B239+$B$11&lt;=$B$6+1E-9,B239+$B$11,""))</f>
        <v/>
      </c>
      <c r="C240" s="8">
        <f>IF(B240="","",B240+$B$5)</f>
        <v/>
      </c>
      <c r="D240" s="8">
        <f>IF(B240="","",IF(B240&lt;- $B$5,"Left tangent",IF(B240&lt;=$B$6,"Cubic curve","Right tangent")))</f>
        <v/>
      </c>
      <c r="E240" s="9">
        <f>IF(B240="","",IF(B240&lt;- $B$5,$B$7,IF(B240&lt;=$B$6,100*(3*$F$12*(B240+$B$5)^2+2*$F$13*(B240+$B$5)+$F$6),$B$8)))</f>
        <v/>
      </c>
      <c r="F240" s="10">
        <f>IF(B240="","",IF(B240&lt;- $B$5,$F$6*B240,IF(B240&lt;=$B$6,$F$12*(B240+$B$5)^3+$F$13*(B240+$B$5)^2+$F$6*(B240+$B$5)+$F$8,$F$9+$F$7*(B240-$B$6))))</f>
        <v/>
      </c>
      <c r="G240" s="10">
        <f>IF(F240="","",$B$10+F240)</f>
        <v/>
      </c>
      <c r="H240" s="10">
        <f>IF(B240="","",$B$9+B240)</f>
        <v/>
      </c>
    </row>
    <row r="241">
      <c r="A241" s="8">
        <f>IF(B241="","",A240+1)</f>
        <v/>
      </c>
      <c r="B241" s="8">
        <f>IF(B240="","",IF(B240+$B$11&lt;=$B$6+1E-9,B240+$B$11,""))</f>
        <v/>
      </c>
      <c r="C241" s="8">
        <f>IF(B241="","",B241+$B$5)</f>
        <v/>
      </c>
      <c r="D241" s="8">
        <f>IF(B241="","",IF(B241&lt;- $B$5,"Left tangent",IF(B241&lt;=$B$6,"Cubic curve","Right tangent")))</f>
        <v/>
      </c>
      <c r="E241" s="9">
        <f>IF(B241="","",IF(B241&lt;- $B$5,$B$7,IF(B241&lt;=$B$6,100*(3*$F$12*(B241+$B$5)^2+2*$F$13*(B241+$B$5)+$F$6),$B$8)))</f>
        <v/>
      </c>
      <c r="F241" s="10">
        <f>IF(B241="","",IF(B241&lt;- $B$5,$F$6*B241,IF(B241&lt;=$B$6,$F$12*(B241+$B$5)^3+$F$13*(B241+$B$5)^2+$F$6*(B241+$B$5)+$F$8,$F$9+$F$7*(B241-$B$6))))</f>
        <v/>
      </c>
      <c r="G241" s="10">
        <f>IF(F241="","",$B$10+F241)</f>
        <v/>
      </c>
      <c r="H241" s="10">
        <f>IF(B241="","",$B$9+B241)</f>
        <v/>
      </c>
    </row>
    <row r="242">
      <c r="A242" s="8">
        <f>IF(B242="","",A241+1)</f>
        <v/>
      </c>
      <c r="B242" s="8">
        <f>IF(B241="","",IF(B241+$B$11&lt;=$B$6+1E-9,B241+$B$11,""))</f>
        <v/>
      </c>
      <c r="C242" s="8">
        <f>IF(B242="","",B242+$B$5)</f>
        <v/>
      </c>
      <c r="D242" s="8">
        <f>IF(B242="","",IF(B242&lt;- $B$5,"Left tangent",IF(B242&lt;=$B$6,"Cubic curve","Right tangent")))</f>
        <v/>
      </c>
      <c r="E242" s="9">
        <f>IF(B242="","",IF(B242&lt;- $B$5,$B$7,IF(B242&lt;=$B$6,100*(3*$F$12*(B242+$B$5)^2+2*$F$13*(B242+$B$5)+$F$6),$B$8)))</f>
        <v/>
      </c>
      <c r="F242" s="10">
        <f>IF(B242="","",IF(B242&lt;- $B$5,$F$6*B242,IF(B242&lt;=$B$6,$F$12*(B242+$B$5)^3+$F$13*(B242+$B$5)^2+$F$6*(B242+$B$5)+$F$8,$F$9+$F$7*(B242-$B$6))))</f>
        <v/>
      </c>
      <c r="G242" s="10">
        <f>IF(F242="","",$B$10+F242)</f>
        <v/>
      </c>
      <c r="H242" s="10">
        <f>IF(B242="","",$B$9+B242)</f>
        <v/>
      </c>
    </row>
    <row r="243">
      <c r="A243" s="8">
        <f>IF(B243="","",A242+1)</f>
        <v/>
      </c>
      <c r="B243" s="8">
        <f>IF(B242="","",IF(B242+$B$11&lt;=$B$6+1E-9,B242+$B$11,""))</f>
        <v/>
      </c>
      <c r="C243" s="8">
        <f>IF(B243="","",B243+$B$5)</f>
        <v/>
      </c>
      <c r="D243" s="8">
        <f>IF(B243="","",IF(B243&lt;- $B$5,"Left tangent",IF(B243&lt;=$B$6,"Cubic curve","Right tangent")))</f>
        <v/>
      </c>
      <c r="E243" s="9">
        <f>IF(B243="","",IF(B243&lt;- $B$5,$B$7,IF(B243&lt;=$B$6,100*(3*$F$12*(B243+$B$5)^2+2*$F$13*(B243+$B$5)+$F$6),$B$8)))</f>
        <v/>
      </c>
      <c r="F243" s="10">
        <f>IF(B243="","",IF(B243&lt;- $B$5,$F$6*B243,IF(B243&lt;=$B$6,$F$12*(B243+$B$5)^3+$F$13*(B243+$B$5)^2+$F$6*(B243+$B$5)+$F$8,$F$9+$F$7*(B243-$B$6))))</f>
        <v/>
      </c>
      <c r="G243" s="10">
        <f>IF(F243="","",$B$10+F243)</f>
        <v/>
      </c>
      <c r="H243" s="10">
        <f>IF(B243="","",$B$9+B243)</f>
        <v/>
      </c>
    </row>
    <row r="244">
      <c r="A244" s="8">
        <f>IF(B244="","",A243+1)</f>
        <v/>
      </c>
      <c r="B244" s="8">
        <f>IF(B243="","",IF(B243+$B$11&lt;=$B$6+1E-9,B243+$B$11,""))</f>
        <v/>
      </c>
      <c r="C244" s="8">
        <f>IF(B244="","",B244+$B$5)</f>
        <v/>
      </c>
      <c r="D244" s="8">
        <f>IF(B244="","",IF(B244&lt;- $B$5,"Left tangent",IF(B244&lt;=$B$6,"Cubic curve","Right tangent")))</f>
        <v/>
      </c>
      <c r="E244" s="9">
        <f>IF(B244="","",IF(B244&lt;- $B$5,$B$7,IF(B244&lt;=$B$6,100*(3*$F$12*(B244+$B$5)^2+2*$F$13*(B244+$B$5)+$F$6),$B$8)))</f>
        <v/>
      </c>
      <c r="F244" s="10">
        <f>IF(B244="","",IF(B244&lt;- $B$5,$F$6*B244,IF(B244&lt;=$B$6,$F$12*(B244+$B$5)^3+$F$13*(B244+$B$5)^2+$F$6*(B244+$B$5)+$F$8,$F$9+$F$7*(B244-$B$6))))</f>
        <v/>
      </c>
      <c r="G244" s="10">
        <f>IF(F244="","",$B$10+F244)</f>
        <v/>
      </c>
      <c r="H244" s="10">
        <f>IF(B244="","",$B$9+B244)</f>
        <v/>
      </c>
    </row>
    <row r="245">
      <c r="A245" s="8">
        <f>IF(B245="","",A244+1)</f>
        <v/>
      </c>
      <c r="B245" s="8">
        <f>IF(B244="","",IF(B244+$B$11&lt;=$B$6+1E-9,B244+$B$11,""))</f>
        <v/>
      </c>
      <c r="C245" s="8">
        <f>IF(B245="","",B245+$B$5)</f>
        <v/>
      </c>
      <c r="D245" s="8">
        <f>IF(B245="","",IF(B245&lt;- $B$5,"Left tangent",IF(B245&lt;=$B$6,"Cubic curve","Right tangent")))</f>
        <v/>
      </c>
      <c r="E245" s="9">
        <f>IF(B245="","",IF(B245&lt;- $B$5,$B$7,IF(B245&lt;=$B$6,100*(3*$F$12*(B245+$B$5)^2+2*$F$13*(B245+$B$5)+$F$6),$B$8)))</f>
        <v/>
      </c>
      <c r="F245" s="10">
        <f>IF(B245="","",IF(B245&lt;- $B$5,$F$6*B245,IF(B245&lt;=$B$6,$F$12*(B245+$B$5)^3+$F$13*(B245+$B$5)^2+$F$6*(B245+$B$5)+$F$8,$F$9+$F$7*(B245-$B$6))))</f>
        <v/>
      </c>
      <c r="G245" s="10">
        <f>IF(F245="","",$B$10+F245)</f>
        <v/>
      </c>
      <c r="H245" s="10">
        <f>IF(B245="","",$B$9+B245)</f>
        <v/>
      </c>
    </row>
    <row r="246">
      <c r="A246" s="8">
        <f>IF(B246="","",A245+1)</f>
        <v/>
      </c>
      <c r="B246" s="8">
        <f>IF(B245="","",IF(B245+$B$11&lt;=$B$6+1E-9,B245+$B$11,""))</f>
        <v/>
      </c>
      <c r="C246" s="8">
        <f>IF(B246="","",B246+$B$5)</f>
        <v/>
      </c>
      <c r="D246" s="8">
        <f>IF(B246="","",IF(B246&lt;- $B$5,"Left tangent",IF(B246&lt;=$B$6,"Cubic curve","Right tangent")))</f>
        <v/>
      </c>
      <c r="E246" s="9">
        <f>IF(B246="","",IF(B246&lt;- $B$5,$B$7,IF(B246&lt;=$B$6,100*(3*$F$12*(B246+$B$5)^2+2*$F$13*(B246+$B$5)+$F$6),$B$8)))</f>
        <v/>
      </c>
      <c r="F246" s="10">
        <f>IF(B246="","",IF(B246&lt;- $B$5,$F$6*B246,IF(B246&lt;=$B$6,$F$12*(B246+$B$5)^3+$F$13*(B246+$B$5)^2+$F$6*(B246+$B$5)+$F$8,$F$9+$F$7*(B246-$B$6))))</f>
        <v/>
      </c>
      <c r="G246" s="10">
        <f>IF(F246="","",$B$10+F246)</f>
        <v/>
      </c>
      <c r="H246" s="10">
        <f>IF(B246="","",$B$9+B246)</f>
        <v/>
      </c>
    </row>
    <row r="247">
      <c r="A247" s="8">
        <f>IF(B247="","",A246+1)</f>
        <v/>
      </c>
      <c r="B247" s="8">
        <f>IF(B246="","",IF(B246+$B$11&lt;=$B$6+1E-9,B246+$B$11,""))</f>
        <v/>
      </c>
      <c r="C247" s="8">
        <f>IF(B247="","",B247+$B$5)</f>
        <v/>
      </c>
      <c r="D247" s="8">
        <f>IF(B247="","",IF(B247&lt;- $B$5,"Left tangent",IF(B247&lt;=$B$6,"Cubic curve","Right tangent")))</f>
        <v/>
      </c>
      <c r="E247" s="9">
        <f>IF(B247="","",IF(B247&lt;- $B$5,$B$7,IF(B247&lt;=$B$6,100*(3*$F$12*(B247+$B$5)^2+2*$F$13*(B247+$B$5)+$F$6),$B$8)))</f>
        <v/>
      </c>
      <c r="F247" s="10">
        <f>IF(B247="","",IF(B247&lt;- $B$5,$F$6*B247,IF(B247&lt;=$B$6,$F$12*(B247+$B$5)^3+$F$13*(B247+$B$5)^2+$F$6*(B247+$B$5)+$F$8,$F$9+$F$7*(B247-$B$6))))</f>
        <v/>
      </c>
      <c r="G247" s="10">
        <f>IF(F247="","",$B$10+F247)</f>
        <v/>
      </c>
      <c r="H247" s="10">
        <f>IF(B247="","",$B$9+B247)</f>
        <v/>
      </c>
    </row>
    <row r="248">
      <c r="A248" s="8">
        <f>IF(B248="","",A247+1)</f>
        <v/>
      </c>
      <c r="B248" s="8">
        <f>IF(B247="","",IF(B247+$B$11&lt;=$B$6+1E-9,B247+$B$11,""))</f>
        <v/>
      </c>
      <c r="C248" s="8">
        <f>IF(B248="","",B248+$B$5)</f>
        <v/>
      </c>
      <c r="D248" s="8">
        <f>IF(B248="","",IF(B248&lt;- $B$5,"Left tangent",IF(B248&lt;=$B$6,"Cubic curve","Right tangent")))</f>
        <v/>
      </c>
      <c r="E248" s="9">
        <f>IF(B248="","",IF(B248&lt;- $B$5,$B$7,IF(B248&lt;=$B$6,100*(3*$F$12*(B248+$B$5)^2+2*$F$13*(B248+$B$5)+$F$6),$B$8)))</f>
        <v/>
      </c>
      <c r="F248" s="10">
        <f>IF(B248="","",IF(B248&lt;- $B$5,$F$6*B248,IF(B248&lt;=$B$6,$F$12*(B248+$B$5)^3+$F$13*(B248+$B$5)^2+$F$6*(B248+$B$5)+$F$8,$F$9+$F$7*(B248-$B$6))))</f>
        <v/>
      </c>
      <c r="G248" s="10">
        <f>IF(F248="","",$B$10+F248)</f>
        <v/>
      </c>
      <c r="H248" s="10">
        <f>IF(B248="","",$B$9+B248)</f>
        <v/>
      </c>
    </row>
    <row r="249">
      <c r="A249" s="8">
        <f>IF(B249="","",A248+1)</f>
        <v/>
      </c>
      <c r="B249" s="8">
        <f>IF(B248="","",IF(B248+$B$11&lt;=$B$6+1E-9,B248+$B$11,""))</f>
        <v/>
      </c>
      <c r="C249" s="8">
        <f>IF(B249="","",B249+$B$5)</f>
        <v/>
      </c>
      <c r="D249" s="8">
        <f>IF(B249="","",IF(B249&lt;- $B$5,"Left tangent",IF(B249&lt;=$B$6,"Cubic curve","Right tangent")))</f>
        <v/>
      </c>
      <c r="E249" s="9">
        <f>IF(B249="","",IF(B249&lt;- $B$5,$B$7,IF(B249&lt;=$B$6,100*(3*$F$12*(B249+$B$5)^2+2*$F$13*(B249+$B$5)+$F$6),$B$8)))</f>
        <v/>
      </c>
      <c r="F249" s="10">
        <f>IF(B249="","",IF(B249&lt;- $B$5,$F$6*B249,IF(B249&lt;=$B$6,$F$12*(B249+$B$5)^3+$F$13*(B249+$B$5)^2+$F$6*(B249+$B$5)+$F$8,$F$9+$F$7*(B249-$B$6))))</f>
        <v/>
      </c>
      <c r="G249" s="10">
        <f>IF(F249="","",$B$10+F249)</f>
        <v/>
      </c>
      <c r="H249" s="10">
        <f>IF(B249="","",$B$9+B249)</f>
        <v/>
      </c>
    </row>
    <row r="250">
      <c r="A250" s="8">
        <f>IF(B250="","",A249+1)</f>
        <v/>
      </c>
      <c r="B250" s="8">
        <f>IF(B249="","",IF(B249+$B$11&lt;=$B$6+1E-9,B249+$B$11,""))</f>
        <v/>
      </c>
      <c r="C250" s="8">
        <f>IF(B250="","",B250+$B$5)</f>
        <v/>
      </c>
      <c r="D250" s="8">
        <f>IF(B250="","",IF(B250&lt;- $B$5,"Left tangent",IF(B250&lt;=$B$6,"Cubic curve","Right tangent")))</f>
        <v/>
      </c>
      <c r="E250" s="9">
        <f>IF(B250="","",IF(B250&lt;- $B$5,$B$7,IF(B250&lt;=$B$6,100*(3*$F$12*(B250+$B$5)^2+2*$F$13*(B250+$B$5)+$F$6),$B$8)))</f>
        <v/>
      </c>
      <c r="F250" s="10">
        <f>IF(B250="","",IF(B250&lt;- $B$5,$F$6*B250,IF(B250&lt;=$B$6,$F$12*(B250+$B$5)^3+$F$13*(B250+$B$5)^2+$F$6*(B250+$B$5)+$F$8,$F$9+$F$7*(B250-$B$6))))</f>
        <v/>
      </c>
      <c r="G250" s="10">
        <f>IF(F250="","",$B$10+F250)</f>
        <v/>
      </c>
      <c r="H250" s="10">
        <f>IF(B250="","",$B$9+B250)</f>
        <v/>
      </c>
    </row>
    <row r="251">
      <c r="A251" s="8">
        <f>IF(B251="","",A250+1)</f>
        <v/>
      </c>
      <c r="B251" s="8">
        <f>IF(B250="","",IF(B250+$B$11&lt;=$B$6+1E-9,B250+$B$11,""))</f>
        <v/>
      </c>
      <c r="C251" s="8">
        <f>IF(B251="","",B251+$B$5)</f>
        <v/>
      </c>
      <c r="D251" s="8">
        <f>IF(B251="","",IF(B251&lt;- $B$5,"Left tangent",IF(B251&lt;=$B$6,"Cubic curve","Right tangent")))</f>
        <v/>
      </c>
      <c r="E251" s="9">
        <f>IF(B251="","",IF(B251&lt;- $B$5,$B$7,IF(B251&lt;=$B$6,100*(3*$F$12*(B251+$B$5)^2+2*$F$13*(B251+$B$5)+$F$6),$B$8)))</f>
        <v/>
      </c>
      <c r="F251" s="10">
        <f>IF(B251="","",IF(B251&lt;- $B$5,$F$6*B251,IF(B251&lt;=$B$6,$F$12*(B251+$B$5)^3+$F$13*(B251+$B$5)^2+$F$6*(B251+$B$5)+$F$8,$F$9+$F$7*(B251-$B$6))))</f>
        <v/>
      </c>
      <c r="G251" s="10">
        <f>IF(F251="","",$B$10+F251)</f>
        <v/>
      </c>
      <c r="H251" s="10">
        <f>IF(B251="","",$B$9+B251)</f>
        <v/>
      </c>
    </row>
    <row r="252">
      <c r="A252" s="8">
        <f>IF(B252="","",A251+1)</f>
        <v/>
      </c>
      <c r="B252" s="8">
        <f>IF(B251="","",IF(B251+$B$11&lt;=$B$6+1E-9,B251+$B$11,""))</f>
        <v/>
      </c>
      <c r="C252" s="8">
        <f>IF(B252="","",B252+$B$5)</f>
        <v/>
      </c>
      <c r="D252" s="8">
        <f>IF(B252="","",IF(B252&lt;- $B$5,"Left tangent",IF(B252&lt;=$B$6,"Cubic curve","Right tangent")))</f>
        <v/>
      </c>
      <c r="E252" s="9">
        <f>IF(B252="","",IF(B252&lt;- $B$5,$B$7,IF(B252&lt;=$B$6,100*(3*$F$12*(B252+$B$5)^2+2*$F$13*(B252+$B$5)+$F$6),$B$8)))</f>
        <v/>
      </c>
      <c r="F252" s="10">
        <f>IF(B252="","",IF(B252&lt;- $B$5,$F$6*B252,IF(B252&lt;=$B$6,$F$12*(B252+$B$5)^3+$F$13*(B252+$B$5)^2+$F$6*(B252+$B$5)+$F$8,$F$9+$F$7*(B252-$B$6))))</f>
        <v/>
      </c>
      <c r="G252" s="10">
        <f>IF(F252="","",$B$10+F252)</f>
        <v/>
      </c>
      <c r="H252" s="10">
        <f>IF(B252="","",$B$9+B252)</f>
        <v/>
      </c>
    </row>
    <row r="253">
      <c r="A253" s="8">
        <f>IF(B253="","",A252+1)</f>
        <v/>
      </c>
      <c r="B253" s="8">
        <f>IF(B252="","",IF(B252+$B$11&lt;=$B$6+1E-9,B252+$B$11,""))</f>
        <v/>
      </c>
      <c r="C253" s="8">
        <f>IF(B253="","",B253+$B$5)</f>
        <v/>
      </c>
      <c r="D253" s="8">
        <f>IF(B253="","",IF(B253&lt;- $B$5,"Left tangent",IF(B253&lt;=$B$6,"Cubic curve","Right tangent")))</f>
        <v/>
      </c>
      <c r="E253" s="9">
        <f>IF(B253="","",IF(B253&lt;- $B$5,$B$7,IF(B253&lt;=$B$6,100*(3*$F$12*(B253+$B$5)^2+2*$F$13*(B253+$B$5)+$F$6),$B$8)))</f>
        <v/>
      </c>
      <c r="F253" s="10">
        <f>IF(B253="","",IF(B253&lt;- $B$5,$F$6*B253,IF(B253&lt;=$B$6,$F$12*(B253+$B$5)^3+$F$13*(B253+$B$5)^2+$F$6*(B253+$B$5)+$F$8,$F$9+$F$7*(B253-$B$6))))</f>
        <v/>
      </c>
      <c r="G253" s="10">
        <f>IF(F253="","",$B$10+F253)</f>
        <v/>
      </c>
      <c r="H253" s="10">
        <f>IF(B253="","",$B$9+B253)</f>
        <v/>
      </c>
    </row>
    <row r="254">
      <c r="A254" s="8">
        <f>IF(B254="","",A253+1)</f>
        <v/>
      </c>
      <c r="B254" s="8">
        <f>IF(B253="","",IF(B253+$B$11&lt;=$B$6+1E-9,B253+$B$11,""))</f>
        <v/>
      </c>
      <c r="C254" s="8">
        <f>IF(B254="","",B254+$B$5)</f>
        <v/>
      </c>
      <c r="D254" s="8">
        <f>IF(B254="","",IF(B254&lt;- $B$5,"Left tangent",IF(B254&lt;=$B$6,"Cubic curve","Right tangent")))</f>
        <v/>
      </c>
      <c r="E254" s="9">
        <f>IF(B254="","",IF(B254&lt;- $B$5,$B$7,IF(B254&lt;=$B$6,100*(3*$F$12*(B254+$B$5)^2+2*$F$13*(B254+$B$5)+$F$6),$B$8)))</f>
        <v/>
      </c>
      <c r="F254" s="10">
        <f>IF(B254="","",IF(B254&lt;- $B$5,$F$6*B254,IF(B254&lt;=$B$6,$F$12*(B254+$B$5)^3+$F$13*(B254+$B$5)^2+$F$6*(B254+$B$5)+$F$8,$F$9+$F$7*(B254-$B$6))))</f>
        <v/>
      </c>
      <c r="G254" s="10">
        <f>IF(F254="","",$B$10+F254)</f>
        <v/>
      </c>
      <c r="H254" s="10">
        <f>IF(B254="","",$B$9+B254)</f>
        <v/>
      </c>
    </row>
    <row r="255">
      <c r="A255" s="8">
        <f>IF(B255="","",A254+1)</f>
        <v/>
      </c>
      <c r="B255" s="8">
        <f>IF(B254="","",IF(B254+$B$11&lt;=$B$6+1E-9,B254+$B$11,""))</f>
        <v/>
      </c>
      <c r="C255" s="8">
        <f>IF(B255="","",B255+$B$5)</f>
        <v/>
      </c>
      <c r="D255" s="8">
        <f>IF(B255="","",IF(B255&lt;- $B$5,"Left tangent",IF(B255&lt;=$B$6,"Cubic curve","Right tangent")))</f>
        <v/>
      </c>
      <c r="E255" s="9">
        <f>IF(B255="","",IF(B255&lt;- $B$5,$B$7,IF(B255&lt;=$B$6,100*(3*$F$12*(B255+$B$5)^2+2*$F$13*(B255+$B$5)+$F$6),$B$8)))</f>
        <v/>
      </c>
      <c r="F255" s="10">
        <f>IF(B255="","",IF(B255&lt;- $B$5,$F$6*B255,IF(B255&lt;=$B$6,$F$12*(B255+$B$5)^3+$F$13*(B255+$B$5)^2+$F$6*(B255+$B$5)+$F$8,$F$9+$F$7*(B255-$B$6))))</f>
        <v/>
      </c>
      <c r="G255" s="10">
        <f>IF(F255="","",$B$10+F255)</f>
        <v/>
      </c>
      <c r="H255" s="10">
        <f>IF(B255="","",$B$9+B255)</f>
        <v/>
      </c>
    </row>
    <row r="256">
      <c r="A256" s="8">
        <f>IF(B256="","",A255+1)</f>
        <v/>
      </c>
      <c r="B256" s="8">
        <f>IF(B255="","",IF(B255+$B$11&lt;=$B$6+1E-9,B255+$B$11,""))</f>
        <v/>
      </c>
      <c r="C256" s="8">
        <f>IF(B256="","",B256+$B$5)</f>
        <v/>
      </c>
      <c r="D256" s="8">
        <f>IF(B256="","",IF(B256&lt;- $B$5,"Left tangent",IF(B256&lt;=$B$6,"Cubic curve","Right tangent")))</f>
        <v/>
      </c>
      <c r="E256" s="9">
        <f>IF(B256="","",IF(B256&lt;- $B$5,$B$7,IF(B256&lt;=$B$6,100*(3*$F$12*(B256+$B$5)^2+2*$F$13*(B256+$B$5)+$F$6),$B$8)))</f>
        <v/>
      </c>
      <c r="F256" s="10">
        <f>IF(B256="","",IF(B256&lt;- $B$5,$F$6*B256,IF(B256&lt;=$B$6,$F$12*(B256+$B$5)^3+$F$13*(B256+$B$5)^2+$F$6*(B256+$B$5)+$F$8,$F$9+$F$7*(B256-$B$6))))</f>
        <v/>
      </c>
      <c r="G256" s="10">
        <f>IF(F256="","",$B$10+F256)</f>
        <v/>
      </c>
      <c r="H256" s="10">
        <f>IF(B256="","",$B$9+B256)</f>
        <v/>
      </c>
    </row>
    <row r="257">
      <c r="A257" s="8">
        <f>IF(B257="","",A256+1)</f>
        <v/>
      </c>
      <c r="B257" s="8">
        <f>IF(B256="","",IF(B256+$B$11&lt;=$B$6+1E-9,B256+$B$11,""))</f>
        <v/>
      </c>
      <c r="C257" s="8">
        <f>IF(B257="","",B257+$B$5)</f>
        <v/>
      </c>
      <c r="D257" s="8">
        <f>IF(B257="","",IF(B257&lt;- $B$5,"Left tangent",IF(B257&lt;=$B$6,"Cubic curve","Right tangent")))</f>
        <v/>
      </c>
      <c r="E257" s="9">
        <f>IF(B257="","",IF(B257&lt;- $B$5,$B$7,IF(B257&lt;=$B$6,100*(3*$F$12*(B257+$B$5)^2+2*$F$13*(B257+$B$5)+$F$6),$B$8)))</f>
        <v/>
      </c>
      <c r="F257" s="10">
        <f>IF(B257="","",IF(B257&lt;- $B$5,$F$6*B257,IF(B257&lt;=$B$6,$F$12*(B257+$B$5)^3+$F$13*(B257+$B$5)^2+$F$6*(B257+$B$5)+$F$8,$F$9+$F$7*(B257-$B$6))))</f>
        <v/>
      </c>
      <c r="G257" s="10">
        <f>IF(F257="","",$B$10+F257)</f>
        <v/>
      </c>
      <c r="H257" s="10">
        <f>IF(B257="","",$B$9+B257)</f>
        <v/>
      </c>
    </row>
    <row r="258">
      <c r="A258" s="8">
        <f>IF(B258="","",A257+1)</f>
        <v/>
      </c>
      <c r="B258" s="8">
        <f>IF(B257="","",IF(B257+$B$11&lt;=$B$6+1E-9,B257+$B$11,""))</f>
        <v/>
      </c>
      <c r="C258" s="8">
        <f>IF(B258="","",B258+$B$5)</f>
        <v/>
      </c>
      <c r="D258" s="8">
        <f>IF(B258="","",IF(B258&lt;- $B$5,"Left tangent",IF(B258&lt;=$B$6,"Cubic curve","Right tangent")))</f>
        <v/>
      </c>
      <c r="E258" s="9">
        <f>IF(B258="","",IF(B258&lt;- $B$5,$B$7,IF(B258&lt;=$B$6,100*(3*$F$12*(B258+$B$5)^2+2*$F$13*(B258+$B$5)+$F$6),$B$8)))</f>
        <v/>
      </c>
      <c r="F258" s="10">
        <f>IF(B258="","",IF(B258&lt;- $B$5,$F$6*B258,IF(B258&lt;=$B$6,$F$12*(B258+$B$5)^3+$F$13*(B258+$B$5)^2+$F$6*(B258+$B$5)+$F$8,$F$9+$F$7*(B258-$B$6))))</f>
        <v/>
      </c>
      <c r="G258" s="10">
        <f>IF(F258="","",$B$10+F258)</f>
        <v/>
      </c>
      <c r="H258" s="10">
        <f>IF(B258="","",$B$9+B258)</f>
        <v/>
      </c>
    </row>
    <row r="259">
      <c r="A259" s="8">
        <f>IF(B259="","",A258+1)</f>
        <v/>
      </c>
      <c r="B259" s="8">
        <f>IF(B258="","",IF(B258+$B$11&lt;=$B$6+1E-9,B258+$B$11,""))</f>
        <v/>
      </c>
      <c r="C259" s="8">
        <f>IF(B259="","",B259+$B$5)</f>
        <v/>
      </c>
      <c r="D259" s="8">
        <f>IF(B259="","",IF(B259&lt;- $B$5,"Left tangent",IF(B259&lt;=$B$6,"Cubic curve","Right tangent")))</f>
        <v/>
      </c>
      <c r="E259" s="9">
        <f>IF(B259="","",IF(B259&lt;- $B$5,$B$7,IF(B259&lt;=$B$6,100*(3*$F$12*(B259+$B$5)^2+2*$F$13*(B259+$B$5)+$F$6),$B$8)))</f>
        <v/>
      </c>
      <c r="F259" s="10">
        <f>IF(B259="","",IF(B259&lt;- $B$5,$F$6*B259,IF(B259&lt;=$B$6,$F$12*(B259+$B$5)^3+$F$13*(B259+$B$5)^2+$F$6*(B259+$B$5)+$F$8,$F$9+$F$7*(B259-$B$6))))</f>
        <v/>
      </c>
      <c r="G259" s="10">
        <f>IF(F259="","",$B$10+F259)</f>
        <v/>
      </c>
      <c r="H259" s="10">
        <f>IF(B259="","",$B$9+B259)</f>
        <v/>
      </c>
    </row>
    <row r="260">
      <c r="A260" s="8">
        <f>IF(B260="","",A259+1)</f>
        <v/>
      </c>
      <c r="B260" s="8">
        <f>IF(B259="","",IF(B259+$B$11&lt;=$B$6+1E-9,B259+$B$11,""))</f>
        <v/>
      </c>
      <c r="C260" s="8">
        <f>IF(B260="","",B260+$B$5)</f>
        <v/>
      </c>
      <c r="D260" s="8">
        <f>IF(B260="","",IF(B260&lt;- $B$5,"Left tangent",IF(B260&lt;=$B$6,"Cubic curve","Right tangent")))</f>
        <v/>
      </c>
      <c r="E260" s="9">
        <f>IF(B260="","",IF(B260&lt;- $B$5,$B$7,IF(B260&lt;=$B$6,100*(3*$F$12*(B260+$B$5)^2+2*$F$13*(B260+$B$5)+$F$6),$B$8)))</f>
        <v/>
      </c>
      <c r="F260" s="10">
        <f>IF(B260="","",IF(B260&lt;- $B$5,$F$6*B260,IF(B260&lt;=$B$6,$F$12*(B260+$B$5)^3+$F$13*(B260+$B$5)^2+$F$6*(B260+$B$5)+$F$8,$F$9+$F$7*(B260-$B$6))))</f>
        <v/>
      </c>
      <c r="G260" s="10">
        <f>IF(F260="","",$B$10+F260)</f>
        <v/>
      </c>
      <c r="H260" s="10">
        <f>IF(B260="","",$B$9+B260)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0"/>
  <sheetViews>
    <sheetView workbookViewId="0">
      <selection activeCell="A1" sqref="A1"/>
    </sheetView>
  </sheetViews>
  <sheetFormatPr baseColWidth="8" defaultRowHeight="15"/>
  <cols>
    <col width="9" customWidth="1" min="1" max="1"/>
    <col width="18" customWidth="1" min="2" max="2"/>
    <col width="17" customWidth="1" min="3" max="3"/>
    <col width="11" customWidth="1" min="4" max="4"/>
    <col width="22" customWidth="1" min="5" max="5"/>
    <col width="22" customWidth="1" min="6" max="6"/>
    <col width="14" customWidth="1" min="7" max="7"/>
    <col width="14" customWidth="1" min="8" max="8"/>
  </cols>
  <sheetData>
    <row r="1">
      <c r="A1" s="1" t="inlineStr">
        <is>
          <t>Symmetric Parabolic Vertical Curve (quick field use)</t>
        </is>
      </c>
    </row>
    <row r="2">
      <c r="A2" s="2" t="inlineStr">
        <is>
          <t>Curve is centered on PVI: PVC = -L/2, PVT = +L/2. Good for quick smooth transitions.</t>
        </is>
      </c>
    </row>
    <row r="4">
      <c r="A4" s="3" t="inlineStr">
        <is>
          <t>INPUTS</t>
        </is>
      </c>
      <c r="E4" s="3" t="inlineStr">
        <is>
          <t>CALCULATED PARAMETERS</t>
        </is>
      </c>
    </row>
    <row r="5">
      <c r="A5" t="inlineStr">
        <is>
          <t>Left grade g1</t>
        </is>
      </c>
      <c r="B5" s="4" t="n">
        <v>-1</v>
      </c>
      <c r="C5" t="inlineStr">
        <is>
          <t>%</t>
        </is>
      </c>
      <c r="E5" t="inlineStr">
        <is>
          <t>g1 decimal</t>
        </is>
      </c>
      <c r="F5" s="5">
        <f>B5/100</f>
        <v/>
      </c>
    </row>
    <row r="6">
      <c r="A6" t="inlineStr">
        <is>
          <t>Right grade g2</t>
        </is>
      </c>
      <c r="B6" s="4" t="n">
        <v>5</v>
      </c>
      <c r="C6" t="inlineStr">
        <is>
          <t>%</t>
        </is>
      </c>
      <c r="E6" t="inlineStr">
        <is>
          <t>g2 decimal</t>
        </is>
      </c>
      <c r="F6" s="5">
        <f>B6/100</f>
        <v/>
      </c>
    </row>
    <row r="7">
      <c r="A7" t="inlineStr">
        <is>
          <t>Symmetric curve length L</t>
        </is>
      </c>
      <c r="B7" s="4" t="n">
        <v>10</v>
      </c>
      <c r="C7" t="inlineStr">
        <is>
          <t>m</t>
        </is>
      </c>
      <c r="E7" t="inlineStr">
        <is>
          <t>Half-length L/2</t>
        </is>
      </c>
      <c r="F7" s="5">
        <f>B7/2</f>
        <v/>
      </c>
    </row>
    <row r="8">
      <c r="A8" t="inlineStr">
        <is>
          <t>Table start s (from PVI)</t>
        </is>
      </c>
      <c r="B8" s="4" t="n">
        <v>-12</v>
      </c>
      <c r="C8" t="inlineStr">
        <is>
          <t>m</t>
        </is>
      </c>
      <c r="E8" t="inlineStr">
        <is>
          <t>Rate A = (g2-g1)/L</t>
        </is>
      </c>
      <c r="F8" s="5">
        <f>IF(B7=0,"",(F6-F5)/B7)</f>
        <v/>
      </c>
    </row>
    <row r="9">
      <c r="A9" t="inlineStr">
        <is>
          <t>Table end s (from PVI)</t>
        </is>
      </c>
      <c r="B9" s="4" t="n">
        <v>12</v>
      </c>
      <c r="C9" t="inlineStr">
        <is>
          <t>m</t>
        </is>
      </c>
      <c r="E9" t="inlineStr">
        <is>
          <t>Z at PVC relative to PVI</t>
        </is>
      </c>
      <c r="F9" s="5">
        <f>-(F5*F7+0.5*F8*F7^2)</f>
        <v/>
      </c>
    </row>
    <row r="10">
      <c r="A10" t="inlineStr">
        <is>
          <t>Table increment</t>
        </is>
      </c>
      <c r="B10" s="4" t="n">
        <v>1</v>
      </c>
      <c r="C10" t="inlineStr">
        <is>
          <t>m</t>
        </is>
      </c>
      <c r="E10" t="inlineStr">
        <is>
          <t>Z at PVT relative to PVI</t>
        </is>
      </c>
      <c r="F10" s="5">
        <f>F5*F7+0.5*F8*F7^2</f>
        <v/>
      </c>
    </row>
    <row r="11">
      <c r="A11" t="inlineStr">
        <is>
          <t>Station at PVI (optional)</t>
        </is>
      </c>
      <c r="B11" s="4" t="n">
        <v>0</v>
      </c>
      <c r="C11" t="inlineStr">
        <is>
          <t>m</t>
        </is>
      </c>
      <c r="E11" t="inlineStr">
        <is>
          <t>Status</t>
        </is>
      </c>
      <c r="F11" s="5">
        <f>IF(OR(B7&lt;=0,B10&lt;=0,B9&lt;B8),"CHECK INPUTS","OK")</f>
        <v/>
      </c>
    </row>
    <row r="12">
      <c r="A12" t="inlineStr">
        <is>
          <t>Elevation at PVI (optional)</t>
        </is>
      </c>
      <c r="B12" s="4" t="n">
        <v>100</v>
      </c>
      <c r="C12" t="inlineStr">
        <is>
          <t>m</t>
        </is>
      </c>
    </row>
    <row r="13">
      <c r="A13" t="inlineStr">
        <is>
          <t>Tip:</t>
        </is>
      </c>
      <c r="B13" t="inlineStr">
        <is>
          <t>For relative profile only use column E; for staked elevations use column F.</t>
        </is>
      </c>
    </row>
    <row r="15">
      <c r="A15" s="7" t="inlineStr">
        <is>
          <t>Point #</t>
        </is>
      </c>
      <c r="B15" s="7" t="inlineStr">
        <is>
          <t>s from PVI (m)</t>
        </is>
      </c>
      <c r="C15" s="7" t="inlineStr">
        <is>
          <t>Zone</t>
        </is>
      </c>
      <c r="D15" s="7" t="inlineStr">
        <is>
          <t>Grade (%)</t>
        </is>
      </c>
      <c r="E15" s="7" t="inlineStr">
        <is>
          <t>Z relative to PVI (m)</t>
        </is>
      </c>
      <c r="F15" s="7" t="inlineStr">
        <is>
          <t>Absolute Elevation (m)</t>
        </is>
      </c>
      <c r="G15" s="7" t="inlineStr">
        <is>
          <t>Station (m)</t>
        </is>
      </c>
      <c r="H15" s="7" t="inlineStr">
        <is>
          <t>Note</t>
        </is>
      </c>
    </row>
    <row r="16">
      <c r="A16" s="8" t="n">
        <v>1</v>
      </c>
      <c r="B16" s="8">
        <f>$B$8</f>
        <v/>
      </c>
      <c r="C16" s="8">
        <f>IF(B16="","",IF(B16&lt;- $F$7,"Left tangent",IF(B16&lt;=$F$7,"Parabolic curve","Right tangent")))</f>
        <v/>
      </c>
      <c r="D16" s="9">
        <f>IF(B16="","",IF(B16&lt;- $F$7,$B$5,IF(B16&lt;=$F$7,100*($F$5+$F$8*(B16+$F$7)),$B$6)))</f>
        <v/>
      </c>
      <c r="E16" s="10">
        <f>IF(B16="","",IF(B16&lt;- $F$7,$F$9+$F$5*(B16+$F$7),IF(B16&lt;=$F$7,$F$9+$F$5*(B16+$F$7)+0.5*$F$8*(B16+$F$7)^2,$F$10+$F$6*(B16-$F$7))))</f>
        <v/>
      </c>
      <c r="F16" s="10">
        <f>IF(E16="","",$B$12+E16)</f>
        <v/>
      </c>
      <c r="G16" s="10">
        <f>IF(B16="","",$B$11+B16)</f>
        <v/>
      </c>
      <c r="H16" s="8">
        <f>IF(B16="","",IF(ABS(B16)&lt;1E-9,"PVI",IF(ABS(B16+$F$7)&lt;$B$10/2,"PVC",IF(ABS(B16-$F$7)&lt;$B$10/2,"PVT",""))))</f>
        <v/>
      </c>
    </row>
    <row r="17">
      <c r="A17" s="8">
        <f>IF(B17="","",A16+1)</f>
        <v/>
      </c>
      <c r="B17" s="8">
        <f>IF(B16="","",IF(B16+$B$10&lt;=$B$9+1E-9,B16+$B$10,""))</f>
        <v/>
      </c>
      <c r="C17" s="8">
        <f>IF(B17="","",IF(B17&lt;- $F$7,"Left tangent",IF(B17&lt;=$F$7,"Parabolic curve","Right tangent")))</f>
        <v/>
      </c>
      <c r="D17" s="9">
        <f>IF(B17="","",IF(B17&lt;- $F$7,$B$5,IF(B17&lt;=$F$7,100*($F$5+$F$8*(B17+$F$7)),$B$6)))</f>
        <v/>
      </c>
      <c r="E17" s="10">
        <f>IF(B17="","",IF(B17&lt;- $F$7,$F$9+$F$5*(B17+$F$7),IF(B17&lt;=$F$7,$F$9+$F$5*(B17+$F$7)+0.5*$F$8*(B17+$F$7)^2,$F$10+$F$6*(B17-$F$7))))</f>
        <v/>
      </c>
      <c r="F17" s="10">
        <f>IF(E17="","",$B$12+E17)</f>
        <v/>
      </c>
      <c r="G17" s="10">
        <f>IF(B17="","",$B$11+B17)</f>
        <v/>
      </c>
      <c r="H17" s="8">
        <f>IF(B17="","",IF(ABS(B17)&lt;1E-9,"PVI",IF(ABS(B17+$F$7)&lt;$B$10/2,"PVC",IF(ABS(B17-$F$7)&lt;$B$10/2,"PVT",""))))</f>
        <v/>
      </c>
    </row>
    <row r="18">
      <c r="A18" s="8">
        <f>IF(B18="","",A17+1)</f>
        <v/>
      </c>
      <c r="B18" s="8">
        <f>IF(B17="","",IF(B17+$B$10&lt;=$B$9+1E-9,B17+$B$10,""))</f>
        <v/>
      </c>
      <c r="C18" s="8">
        <f>IF(B18="","",IF(B18&lt;- $F$7,"Left tangent",IF(B18&lt;=$F$7,"Parabolic curve","Right tangent")))</f>
        <v/>
      </c>
      <c r="D18" s="9">
        <f>IF(B18="","",IF(B18&lt;- $F$7,$B$5,IF(B18&lt;=$F$7,100*($F$5+$F$8*(B18+$F$7)),$B$6)))</f>
        <v/>
      </c>
      <c r="E18" s="10">
        <f>IF(B18="","",IF(B18&lt;- $F$7,$F$9+$F$5*(B18+$F$7),IF(B18&lt;=$F$7,$F$9+$F$5*(B18+$F$7)+0.5*$F$8*(B18+$F$7)^2,$F$10+$F$6*(B18-$F$7))))</f>
        <v/>
      </c>
      <c r="F18" s="10">
        <f>IF(E18="","",$B$12+E18)</f>
        <v/>
      </c>
      <c r="G18" s="10">
        <f>IF(B18="","",$B$11+B18)</f>
        <v/>
      </c>
      <c r="H18" s="8">
        <f>IF(B18="","",IF(ABS(B18)&lt;1E-9,"PVI",IF(ABS(B18+$F$7)&lt;$B$10/2,"PVC",IF(ABS(B18-$F$7)&lt;$B$10/2,"PVT",""))))</f>
        <v/>
      </c>
    </row>
    <row r="19">
      <c r="A19" s="8">
        <f>IF(B19="","",A18+1)</f>
        <v/>
      </c>
      <c r="B19" s="8">
        <f>IF(B18="","",IF(B18+$B$10&lt;=$B$9+1E-9,B18+$B$10,""))</f>
        <v/>
      </c>
      <c r="C19" s="8">
        <f>IF(B19="","",IF(B19&lt;- $F$7,"Left tangent",IF(B19&lt;=$F$7,"Parabolic curve","Right tangent")))</f>
        <v/>
      </c>
      <c r="D19" s="9">
        <f>IF(B19="","",IF(B19&lt;- $F$7,$B$5,IF(B19&lt;=$F$7,100*($F$5+$F$8*(B19+$F$7)),$B$6)))</f>
        <v/>
      </c>
      <c r="E19" s="10">
        <f>IF(B19="","",IF(B19&lt;- $F$7,$F$9+$F$5*(B19+$F$7),IF(B19&lt;=$F$7,$F$9+$F$5*(B19+$F$7)+0.5*$F$8*(B19+$F$7)^2,$F$10+$F$6*(B19-$F$7))))</f>
        <v/>
      </c>
      <c r="F19" s="10">
        <f>IF(E19="","",$B$12+E19)</f>
        <v/>
      </c>
      <c r="G19" s="10">
        <f>IF(B19="","",$B$11+B19)</f>
        <v/>
      </c>
      <c r="H19" s="8">
        <f>IF(B19="","",IF(ABS(B19)&lt;1E-9,"PVI",IF(ABS(B19+$F$7)&lt;$B$10/2,"PVC",IF(ABS(B19-$F$7)&lt;$B$10/2,"PVT",""))))</f>
        <v/>
      </c>
    </row>
    <row r="20">
      <c r="A20" s="8">
        <f>IF(B20="","",A19+1)</f>
        <v/>
      </c>
      <c r="B20" s="8">
        <f>IF(B19="","",IF(B19+$B$10&lt;=$B$9+1E-9,B19+$B$10,""))</f>
        <v/>
      </c>
      <c r="C20" s="8">
        <f>IF(B20="","",IF(B20&lt;- $F$7,"Left tangent",IF(B20&lt;=$F$7,"Parabolic curve","Right tangent")))</f>
        <v/>
      </c>
      <c r="D20" s="9">
        <f>IF(B20="","",IF(B20&lt;- $F$7,$B$5,IF(B20&lt;=$F$7,100*($F$5+$F$8*(B20+$F$7)),$B$6)))</f>
        <v/>
      </c>
      <c r="E20" s="10">
        <f>IF(B20="","",IF(B20&lt;- $F$7,$F$9+$F$5*(B20+$F$7),IF(B20&lt;=$F$7,$F$9+$F$5*(B20+$F$7)+0.5*$F$8*(B20+$F$7)^2,$F$10+$F$6*(B20-$F$7))))</f>
        <v/>
      </c>
      <c r="F20" s="10">
        <f>IF(E20="","",$B$12+E20)</f>
        <v/>
      </c>
      <c r="G20" s="10">
        <f>IF(B20="","",$B$11+B20)</f>
        <v/>
      </c>
      <c r="H20" s="8">
        <f>IF(B20="","",IF(ABS(B20)&lt;1E-9,"PVI",IF(ABS(B20+$F$7)&lt;$B$10/2,"PVC",IF(ABS(B20-$F$7)&lt;$B$10/2,"PVT",""))))</f>
        <v/>
      </c>
    </row>
    <row r="21">
      <c r="A21" s="8">
        <f>IF(B21="","",A20+1)</f>
        <v/>
      </c>
      <c r="B21" s="8">
        <f>IF(B20="","",IF(B20+$B$10&lt;=$B$9+1E-9,B20+$B$10,""))</f>
        <v/>
      </c>
      <c r="C21" s="8">
        <f>IF(B21="","",IF(B21&lt;- $F$7,"Left tangent",IF(B21&lt;=$F$7,"Parabolic curve","Right tangent")))</f>
        <v/>
      </c>
      <c r="D21" s="9">
        <f>IF(B21="","",IF(B21&lt;- $F$7,$B$5,IF(B21&lt;=$F$7,100*($F$5+$F$8*(B21+$F$7)),$B$6)))</f>
        <v/>
      </c>
      <c r="E21" s="10">
        <f>IF(B21="","",IF(B21&lt;- $F$7,$F$9+$F$5*(B21+$F$7),IF(B21&lt;=$F$7,$F$9+$F$5*(B21+$F$7)+0.5*$F$8*(B21+$F$7)^2,$F$10+$F$6*(B21-$F$7))))</f>
        <v/>
      </c>
      <c r="F21" s="10">
        <f>IF(E21="","",$B$12+E21)</f>
        <v/>
      </c>
      <c r="G21" s="10">
        <f>IF(B21="","",$B$11+B21)</f>
        <v/>
      </c>
      <c r="H21" s="8">
        <f>IF(B21="","",IF(ABS(B21)&lt;1E-9,"PVI",IF(ABS(B21+$F$7)&lt;$B$10/2,"PVC",IF(ABS(B21-$F$7)&lt;$B$10/2,"PVT",""))))</f>
        <v/>
      </c>
    </row>
    <row r="22">
      <c r="A22" s="8">
        <f>IF(B22="","",A21+1)</f>
        <v/>
      </c>
      <c r="B22" s="8">
        <f>IF(B21="","",IF(B21+$B$10&lt;=$B$9+1E-9,B21+$B$10,""))</f>
        <v/>
      </c>
      <c r="C22" s="8">
        <f>IF(B22="","",IF(B22&lt;- $F$7,"Left tangent",IF(B22&lt;=$F$7,"Parabolic curve","Right tangent")))</f>
        <v/>
      </c>
      <c r="D22" s="9">
        <f>IF(B22="","",IF(B22&lt;- $F$7,$B$5,IF(B22&lt;=$F$7,100*($F$5+$F$8*(B22+$F$7)),$B$6)))</f>
        <v/>
      </c>
      <c r="E22" s="10">
        <f>IF(B22="","",IF(B22&lt;- $F$7,$F$9+$F$5*(B22+$F$7),IF(B22&lt;=$F$7,$F$9+$F$5*(B22+$F$7)+0.5*$F$8*(B22+$F$7)^2,$F$10+$F$6*(B22-$F$7))))</f>
        <v/>
      </c>
      <c r="F22" s="10">
        <f>IF(E22="","",$B$12+E22)</f>
        <v/>
      </c>
      <c r="G22" s="10">
        <f>IF(B22="","",$B$11+B22)</f>
        <v/>
      </c>
      <c r="H22" s="8">
        <f>IF(B22="","",IF(ABS(B22)&lt;1E-9,"PVI",IF(ABS(B22+$F$7)&lt;$B$10/2,"PVC",IF(ABS(B22-$F$7)&lt;$B$10/2,"PVT",""))))</f>
        <v/>
      </c>
    </row>
    <row r="23">
      <c r="A23" s="8">
        <f>IF(B23="","",A22+1)</f>
        <v/>
      </c>
      <c r="B23" s="8">
        <f>IF(B22="","",IF(B22+$B$10&lt;=$B$9+1E-9,B22+$B$10,""))</f>
        <v/>
      </c>
      <c r="C23" s="8">
        <f>IF(B23="","",IF(B23&lt;- $F$7,"Left tangent",IF(B23&lt;=$F$7,"Parabolic curve","Right tangent")))</f>
        <v/>
      </c>
      <c r="D23" s="9">
        <f>IF(B23="","",IF(B23&lt;- $F$7,$B$5,IF(B23&lt;=$F$7,100*($F$5+$F$8*(B23+$F$7)),$B$6)))</f>
        <v/>
      </c>
      <c r="E23" s="10">
        <f>IF(B23="","",IF(B23&lt;- $F$7,$F$9+$F$5*(B23+$F$7),IF(B23&lt;=$F$7,$F$9+$F$5*(B23+$F$7)+0.5*$F$8*(B23+$F$7)^2,$F$10+$F$6*(B23-$F$7))))</f>
        <v/>
      </c>
      <c r="F23" s="10">
        <f>IF(E23="","",$B$12+E23)</f>
        <v/>
      </c>
      <c r="G23" s="10">
        <f>IF(B23="","",$B$11+B23)</f>
        <v/>
      </c>
      <c r="H23" s="8">
        <f>IF(B23="","",IF(ABS(B23)&lt;1E-9,"PVI",IF(ABS(B23+$F$7)&lt;$B$10/2,"PVC",IF(ABS(B23-$F$7)&lt;$B$10/2,"PVT",""))))</f>
        <v/>
      </c>
    </row>
    <row r="24">
      <c r="A24" s="8">
        <f>IF(B24="","",A23+1)</f>
        <v/>
      </c>
      <c r="B24" s="8">
        <f>IF(B23="","",IF(B23+$B$10&lt;=$B$9+1E-9,B23+$B$10,""))</f>
        <v/>
      </c>
      <c r="C24" s="8">
        <f>IF(B24="","",IF(B24&lt;- $F$7,"Left tangent",IF(B24&lt;=$F$7,"Parabolic curve","Right tangent")))</f>
        <v/>
      </c>
      <c r="D24" s="9">
        <f>IF(B24="","",IF(B24&lt;- $F$7,$B$5,IF(B24&lt;=$F$7,100*($F$5+$F$8*(B24+$F$7)),$B$6)))</f>
        <v/>
      </c>
      <c r="E24" s="10">
        <f>IF(B24="","",IF(B24&lt;- $F$7,$F$9+$F$5*(B24+$F$7),IF(B24&lt;=$F$7,$F$9+$F$5*(B24+$F$7)+0.5*$F$8*(B24+$F$7)^2,$F$10+$F$6*(B24-$F$7))))</f>
        <v/>
      </c>
      <c r="F24" s="10">
        <f>IF(E24="","",$B$12+E24)</f>
        <v/>
      </c>
      <c r="G24" s="10">
        <f>IF(B24="","",$B$11+B24)</f>
        <v/>
      </c>
      <c r="H24" s="8">
        <f>IF(B24="","",IF(ABS(B24)&lt;1E-9,"PVI",IF(ABS(B24+$F$7)&lt;$B$10/2,"PVC",IF(ABS(B24-$F$7)&lt;$B$10/2,"PVT",""))))</f>
        <v/>
      </c>
    </row>
    <row r="25">
      <c r="A25" s="8">
        <f>IF(B25="","",A24+1)</f>
        <v/>
      </c>
      <c r="B25" s="8">
        <f>IF(B24="","",IF(B24+$B$10&lt;=$B$9+1E-9,B24+$B$10,""))</f>
        <v/>
      </c>
      <c r="C25" s="8">
        <f>IF(B25="","",IF(B25&lt;- $F$7,"Left tangent",IF(B25&lt;=$F$7,"Parabolic curve","Right tangent")))</f>
        <v/>
      </c>
      <c r="D25" s="9">
        <f>IF(B25="","",IF(B25&lt;- $F$7,$B$5,IF(B25&lt;=$F$7,100*($F$5+$F$8*(B25+$F$7)),$B$6)))</f>
        <v/>
      </c>
      <c r="E25" s="10">
        <f>IF(B25="","",IF(B25&lt;- $F$7,$F$9+$F$5*(B25+$F$7),IF(B25&lt;=$F$7,$F$9+$F$5*(B25+$F$7)+0.5*$F$8*(B25+$F$7)^2,$F$10+$F$6*(B25-$F$7))))</f>
        <v/>
      </c>
      <c r="F25" s="10">
        <f>IF(E25="","",$B$12+E25)</f>
        <v/>
      </c>
      <c r="G25" s="10">
        <f>IF(B25="","",$B$11+B25)</f>
        <v/>
      </c>
      <c r="H25" s="8">
        <f>IF(B25="","",IF(ABS(B25)&lt;1E-9,"PVI",IF(ABS(B25+$F$7)&lt;$B$10/2,"PVC",IF(ABS(B25-$F$7)&lt;$B$10/2,"PVT",""))))</f>
        <v/>
      </c>
    </row>
    <row r="26">
      <c r="A26" s="8">
        <f>IF(B26="","",A25+1)</f>
        <v/>
      </c>
      <c r="B26" s="8">
        <f>IF(B25="","",IF(B25+$B$10&lt;=$B$9+1E-9,B25+$B$10,""))</f>
        <v/>
      </c>
      <c r="C26" s="8">
        <f>IF(B26="","",IF(B26&lt;- $F$7,"Left tangent",IF(B26&lt;=$F$7,"Parabolic curve","Right tangent")))</f>
        <v/>
      </c>
      <c r="D26" s="9">
        <f>IF(B26="","",IF(B26&lt;- $F$7,$B$5,IF(B26&lt;=$F$7,100*($F$5+$F$8*(B26+$F$7)),$B$6)))</f>
        <v/>
      </c>
      <c r="E26" s="10">
        <f>IF(B26="","",IF(B26&lt;- $F$7,$F$9+$F$5*(B26+$F$7),IF(B26&lt;=$F$7,$F$9+$F$5*(B26+$F$7)+0.5*$F$8*(B26+$F$7)^2,$F$10+$F$6*(B26-$F$7))))</f>
        <v/>
      </c>
      <c r="F26" s="10">
        <f>IF(E26="","",$B$12+E26)</f>
        <v/>
      </c>
      <c r="G26" s="10">
        <f>IF(B26="","",$B$11+B26)</f>
        <v/>
      </c>
      <c r="H26" s="8">
        <f>IF(B26="","",IF(ABS(B26)&lt;1E-9,"PVI",IF(ABS(B26+$F$7)&lt;$B$10/2,"PVC",IF(ABS(B26-$F$7)&lt;$B$10/2,"PVT",""))))</f>
        <v/>
      </c>
    </row>
    <row r="27">
      <c r="A27" s="8">
        <f>IF(B27="","",A26+1)</f>
        <v/>
      </c>
      <c r="B27" s="8">
        <f>IF(B26="","",IF(B26+$B$10&lt;=$B$9+1E-9,B26+$B$10,""))</f>
        <v/>
      </c>
      <c r="C27" s="8">
        <f>IF(B27="","",IF(B27&lt;- $F$7,"Left tangent",IF(B27&lt;=$F$7,"Parabolic curve","Right tangent")))</f>
        <v/>
      </c>
      <c r="D27" s="9">
        <f>IF(B27="","",IF(B27&lt;- $F$7,$B$5,IF(B27&lt;=$F$7,100*($F$5+$F$8*(B27+$F$7)),$B$6)))</f>
        <v/>
      </c>
      <c r="E27" s="10">
        <f>IF(B27="","",IF(B27&lt;- $F$7,$F$9+$F$5*(B27+$F$7),IF(B27&lt;=$F$7,$F$9+$F$5*(B27+$F$7)+0.5*$F$8*(B27+$F$7)^2,$F$10+$F$6*(B27-$F$7))))</f>
        <v/>
      </c>
      <c r="F27" s="10">
        <f>IF(E27="","",$B$12+E27)</f>
        <v/>
      </c>
      <c r="G27" s="10">
        <f>IF(B27="","",$B$11+B27)</f>
        <v/>
      </c>
      <c r="H27" s="8">
        <f>IF(B27="","",IF(ABS(B27)&lt;1E-9,"PVI",IF(ABS(B27+$F$7)&lt;$B$10/2,"PVC",IF(ABS(B27-$F$7)&lt;$B$10/2,"PVT",""))))</f>
        <v/>
      </c>
    </row>
    <row r="28">
      <c r="A28" s="8">
        <f>IF(B28="","",A27+1)</f>
        <v/>
      </c>
      <c r="B28" s="8">
        <f>IF(B27="","",IF(B27+$B$10&lt;=$B$9+1E-9,B27+$B$10,""))</f>
        <v/>
      </c>
      <c r="C28" s="8">
        <f>IF(B28="","",IF(B28&lt;- $F$7,"Left tangent",IF(B28&lt;=$F$7,"Parabolic curve","Right tangent")))</f>
        <v/>
      </c>
      <c r="D28" s="9">
        <f>IF(B28="","",IF(B28&lt;- $F$7,$B$5,IF(B28&lt;=$F$7,100*($F$5+$F$8*(B28+$F$7)),$B$6)))</f>
        <v/>
      </c>
      <c r="E28" s="10">
        <f>IF(B28="","",IF(B28&lt;- $F$7,$F$9+$F$5*(B28+$F$7),IF(B28&lt;=$F$7,$F$9+$F$5*(B28+$F$7)+0.5*$F$8*(B28+$F$7)^2,$F$10+$F$6*(B28-$F$7))))</f>
        <v/>
      </c>
      <c r="F28" s="10">
        <f>IF(E28="","",$B$12+E28)</f>
        <v/>
      </c>
      <c r="G28" s="10">
        <f>IF(B28="","",$B$11+B28)</f>
        <v/>
      </c>
      <c r="H28" s="8">
        <f>IF(B28="","",IF(ABS(B28)&lt;1E-9,"PVI",IF(ABS(B28+$F$7)&lt;$B$10/2,"PVC",IF(ABS(B28-$F$7)&lt;$B$10/2,"PVT",""))))</f>
        <v/>
      </c>
    </row>
    <row r="29">
      <c r="A29" s="8">
        <f>IF(B29="","",A28+1)</f>
        <v/>
      </c>
      <c r="B29" s="8">
        <f>IF(B28="","",IF(B28+$B$10&lt;=$B$9+1E-9,B28+$B$10,""))</f>
        <v/>
      </c>
      <c r="C29" s="8">
        <f>IF(B29="","",IF(B29&lt;- $F$7,"Left tangent",IF(B29&lt;=$F$7,"Parabolic curve","Right tangent")))</f>
        <v/>
      </c>
      <c r="D29" s="9">
        <f>IF(B29="","",IF(B29&lt;- $F$7,$B$5,IF(B29&lt;=$F$7,100*($F$5+$F$8*(B29+$F$7)),$B$6)))</f>
        <v/>
      </c>
      <c r="E29" s="10">
        <f>IF(B29="","",IF(B29&lt;- $F$7,$F$9+$F$5*(B29+$F$7),IF(B29&lt;=$F$7,$F$9+$F$5*(B29+$F$7)+0.5*$F$8*(B29+$F$7)^2,$F$10+$F$6*(B29-$F$7))))</f>
        <v/>
      </c>
      <c r="F29" s="10">
        <f>IF(E29="","",$B$12+E29)</f>
        <v/>
      </c>
      <c r="G29" s="10">
        <f>IF(B29="","",$B$11+B29)</f>
        <v/>
      </c>
      <c r="H29" s="8">
        <f>IF(B29="","",IF(ABS(B29)&lt;1E-9,"PVI",IF(ABS(B29+$F$7)&lt;$B$10/2,"PVC",IF(ABS(B29-$F$7)&lt;$B$10/2,"PVT",""))))</f>
        <v/>
      </c>
    </row>
    <row r="30">
      <c r="A30" s="8">
        <f>IF(B30="","",A29+1)</f>
        <v/>
      </c>
      <c r="B30" s="8">
        <f>IF(B29="","",IF(B29+$B$10&lt;=$B$9+1E-9,B29+$B$10,""))</f>
        <v/>
      </c>
      <c r="C30" s="8">
        <f>IF(B30="","",IF(B30&lt;- $F$7,"Left tangent",IF(B30&lt;=$F$7,"Parabolic curve","Right tangent")))</f>
        <v/>
      </c>
      <c r="D30" s="9">
        <f>IF(B30="","",IF(B30&lt;- $F$7,$B$5,IF(B30&lt;=$F$7,100*($F$5+$F$8*(B30+$F$7)),$B$6)))</f>
        <v/>
      </c>
      <c r="E30" s="10">
        <f>IF(B30="","",IF(B30&lt;- $F$7,$F$9+$F$5*(B30+$F$7),IF(B30&lt;=$F$7,$F$9+$F$5*(B30+$F$7)+0.5*$F$8*(B30+$F$7)^2,$F$10+$F$6*(B30-$F$7))))</f>
        <v/>
      </c>
      <c r="F30" s="10">
        <f>IF(E30="","",$B$12+E30)</f>
        <v/>
      </c>
      <c r="G30" s="10">
        <f>IF(B30="","",$B$11+B30)</f>
        <v/>
      </c>
      <c r="H30" s="8">
        <f>IF(B30="","",IF(ABS(B30)&lt;1E-9,"PVI",IF(ABS(B30+$F$7)&lt;$B$10/2,"PVC",IF(ABS(B30-$F$7)&lt;$B$10/2,"PVT",""))))</f>
        <v/>
      </c>
    </row>
    <row r="31">
      <c r="A31" s="8">
        <f>IF(B31="","",A30+1)</f>
        <v/>
      </c>
      <c r="B31" s="8">
        <f>IF(B30="","",IF(B30+$B$10&lt;=$B$9+1E-9,B30+$B$10,""))</f>
        <v/>
      </c>
      <c r="C31" s="8">
        <f>IF(B31="","",IF(B31&lt;- $F$7,"Left tangent",IF(B31&lt;=$F$7,"Parabolic curve","Right tangent")))</f>
        <v/>
      </c>
      <c r="D31" s="9">
        <f>IF(B31="","",IF(B31&lt;- $F$7,$B$5,IF(B31&lt;=$F$7,100*($F$5+$F$8*(B31+$F$7)),$B$6)))</f>
        <v/>
      </c>
      <c r="E31" s="10">
        <f>IF(B31="","",IF(B31&lt;- $F$7,$F$9+$F$5*(B31+$F$7),IF(B31&lt;=$F$7,$F$9+$F$5*(B31+$F$7)+0.5*$F$8*(B31+$F$7)^2,$F$10+$F$6*(B31-$F$7))))</f>
        <v/>
      </c>
      <c r="F31" s="10">
        <f>IF(E31="","",$B$12+E31)</f>
        <v/>
      </c>
      <c r="G31" s="10">
        <f>IF(B31="","",$B$11+B31)</f>
        <v/>
      </c>
      <c r="H31" s="8">
        <f>IF(B31="","",IF(ABS(B31)&lt;1E-9,"PVI",IF(ABS(B31+$F$7)&lt;$B$10/2,"PVC",IF(ABS(B31-$F$7)&lt;$B$10/2,"PVT",""))))</f>
        <v/>
      </c>
    </row>
    <row r="32">
      <c r="A32" s="8">
        <f>IF(B32="","",A31+1)</f>
        <v/>
      </c>
      <c r="B32" s="8">
        <f>IF(B31="","",IF(B31+$B$10&lt;=$B$9+1E-9,B31+$B$10,""))</f>
        <v/>
      </c>
      <c r="C32" s="8">
        <f>IF(B32="","",IF(B32&lt;- $F$7,"Left tangent",IF(B32&lt;=$F$7,"Parabolic curve","Right tangent")))</f>
        <v/>
      </c>
      <c r="D32" s="9">
        <f>IF(B32="","",IF(B32&lt;- $F$7,$B$5,IF(B32&lt;=$F$7,100*($F$5+$F$8*(B32+$F$7)),$B$6)))</f>
        <v/>
      </c>
      <c r="E32" s="10">
        <f>IF(B32="","",IF(B32&lt;- $F$7,$F$9+$F$5*(B32+$F$7),IF(B32&lt;=$F$7,$F$9+$F$5*(B32+$F$7)+0.5*$F$8*(B32+$F$7)^2,$F$10+$F$6*(B32-$F$7))))</f>
        <v/>
      </c>
      <c r="F32" s="10">
        <f>IF(E32="","",$B$12+E32)</f>
        <v/>
      </c>
      <c r="G32" s="10">
        <f>IF(B32="","",$B$11+B32)</f>
        <v/>
      </c>
      <c r="H32" s="8">
        <f>IF(B32="","",IF(ABS(B32)&lt;1E-9,"PVI",IF(ABS(B32+$F$7)&lt;$B$10/2,"PVC",IF(ABS(B32-$F$7)&lt;$B$10/2,"PVT",""))))</f>
        <v/>
      </c>
    </row>
    <row r="33">
      <c r="A33" s="8">
        <f>IF(B33="","",A32+1)</f>
        <v/>
      </c>
      <c r="B33" s="8">
        <f>IF(B32="","",IF(B32+$B$10&lt;=$B$9+1E-9,B32+$B$10,""))</f>
        <v/>
      </c>
      <c r="C33" s="8">
        <f>IF(B33="","",IF(B33&lt;- $F$7,"Left tangent",IF(B33&lt;=$F$7,"Parabolic curve","Right tangent")))</f>
        <v/>
      </c>
      <c r="D33" s="9">
        <f>IF(B33="","",IF(B33&lt;- $F$7,$B$5,IF(B33&lt;=$F$7,100*($F$5+$F$8*(B33+$F$7)),$B$6)))</f>
        <v/>
      </c>
      <c r="E33" s="10">
        <f>IF(B33="","",IF(B33&lt;- $F$7,$F$9+$F$5*(B33+$F$7),IF(B33&lt;=$F$7,$F$9+$F$5*(B33+$F$7)+0.5*$F$8*(B33+$F$7)^2,$F$10+$F$6*(B33-$F$7))))</f>
        <v/>
      </c>
      <c r="F33" s="10">
        <f>IF(E33="","",$B$12+E33)</f>
        <v/>
      </c>
      <c r="G33" s="10">
        <f>IF(B33="","",$B$11+B33)</f>
        <v/>
      </c>
      <c r="H33" s="8">
        <f>IF(B33="","",IF(ABS(B33)&lt;1E-9,"PVI",IF(ABS(B33+$F$7)&lt;$B$10/2,"PVC",IF(ABS(B33-$F$7)&lt;$B$10/2,"PVT",""))))</f>
        <v/>
      </c>
    </row>
    <row r="34">
      <c r="A34" s="8">
        <f>IF(B34="","",A33+1)</f>
        <v/>
      </c>
      <c r="B34" s="8">
        <f>IF(B33="","",IF(B33+$B$10&lt;=$B$9+1E-9,B33+$B$10,""))</f>
        <v/>
      </c>
      <c r="C34" s="8">
        <f>IF(B34="","",IF(B34&lt;- $F$7,"Left tangent",IF(B34&lt;=$F$7,"Parabolic curve","Right tangent")))</f>
        <v/>
      </c>
      <c r="D34" s="9">
        <f>IF(B34="","",IF(B34&lt;- $F$7,$B$5,IF(B34&lt;=$F$7,100*($F$5+$F$8*(B34+$F$7)),$B$6)))</f>
        <v/>
      </c>
      <c r="E34" s="10">
        <f>IF(B34="","",IF(B34&lt;- $F$7,$F$9+$F$5*(B34+$F$7),IF(B34&lt;=$F$7,$F$9+$F$5*(B34+$F$7)+0.5*$F$8*(B34+$F$7)^2,$F$10+$F$6*(B34-$F$7))))</f>
        <v/>
      </c>
      <c r="F34" s="10">
        <f>IF(E34="","",$B$12+E34)</f>
        <v/>
      </c>
      <c r="G34" s="10">
        <f>IF(B34="","",$B$11+B34)</f>
        <v/>
      </c>
      <c r="H34" s="8">
        <f>IF(B34="","",IF(ABS(B34)&lt;1E-9,"PVI",IF(ABS(B34+$F$7)&lt;$B$10/2,"PVC",IF(ABS(B34-$F$7)&lt;$B$10/2,"PVT",""))))</f>
        <v/>
      </c>
    </row>
    <row r="35">
      <c r="A35" s="8">
        <f>IF(B35="","",A34+1)</f>
        <v/>
      </c>
      <c r="B35" s="8">
        <f>IF(B34="","",IF(B34+$B$10&lt;=$B$9+1E-9,B34+$B$10,""))</f>
        <v/>
      </c>
      <c r="C35" s="8">
        <f>IF(B35="","",IF(B35&lt;- $F$7,"Left tangent",IF(B35&lt;=$F$7,"Parabolic curve","Right tangent")))</f>
        <v/>
      </c>
      <c r="D35" s="9">
        <f>IF(B35="","",IF(B35&lt;- $F$7,$B$5,IF(B35&lt;=$F$7,100*($F$5+$F$8*(B35+$F$7)),$B$6)))</f>
        <v/>
      </c>
      <c r="E35" s="10">
        <f>IF(B35="","",IF(B35&lt;- $F$7,$F$9+$F$5*(B35+$F$7),IF(B35&lt;=$F$7,$F$9+$F$5*(B35+$F$7)+0.5*$F$8*(B35+$F$7)^2,$F$10+$F$6*(B35-$F$7))))</f>
        <v/>
      </c>
      <c r="F35" s="10">
        <f>IF(E35="","",$B$12+E35)</f>
        <v/>
      </c>
      <c r="G35" s="10">
        <f>IF(B35="","",$B$11+B35)</f>
        <v/>
      </c>
      <c r="H35" s="8">
        <f>IF(B35="","",IF(ABS(B35)&lt;1E-9,"PVI",IF(ABS(B35+$F$7)&lt;$B$10/2,"PVC",IF(ABS(B35-$F$7)&lt;$B$10/2,"PVT",""))))</f>
        <v/>
      </c>
    </row>
    <row r="36">
      <c r="A36" s="8">
        <f>IF(B36="","",A35+1)</f>
        <v/>
      </c>
      <c r="B36" s="8">
        <f>IF(B35="","",IF(B35+$B$10&lt;=$B$9+1E-9,B35+$B$10,""))</f>
        <v/>
      </c>
      <c r="C36" s="8">
        <f>IF(B36="","",IF(B36&lt;- $F$7,"Left tangent",IF(B36&lt;=$F$7,"Parabolic curve","Right tangent")))</f>
        <v/>
      </c>
      <c r="D36" s="9">
        <f>IF(B36="","",IF(B36&lt;- $F$7,$B$5,IF(B36&lt;=$F$7,100*($F$5+$F$8*(B36+$F$7)),$B$6)))</f>
        <v/>
      </c>
      <c r="E36" s="10">
        <f>IF(B36="","",IF(B36&lt;- $F$7,$F$9+$F$5*(B36+$F$7),IF(B36&lt;=$F$7,$F$9+$F$5*(B36+$F$7)+0.5*$F$8*(B36+$F$7)^2,$F$10+$F$6*(B36-$F$7))))</f>
        <v/>
      </c>
      <c r="F36" s="10">
        <f>IF(E36="","",$B$12+E36)</f>
        <v/>
      </c>
      <c r="G36" s="10">
        <f>IF(B36="","",$B$11+B36)</f>
        <v/>
      </c>
      <c r="H36" s="8">
        <f>IF(B36="","",IF(ABS(B36)&lt;1E-9,"PVI",IF(ABS(B36+$F$7)&lt;$B$10/2,"PVC",IF(ABS(B36-$F$7)&lt;$B$10/2,"PVT",""))))</f>
        <v/>
      </c>
    </row>
    <row r="37">
      <c r="A37" s="8">
        <f>IF(B37="","",A36+1)</f>
        <v/>
      </c>
      <c r="B37" s="8">
        <f>IF(B36="","",IF(B36+$B$10&lt;=$B$9+1E-9,B36+$B$10,""))</f>
        <v/>
      </c>
      <c r="C37" s="8">
        <f>IF(B37="","",IF(B37&lt;- $F$7,"Left tangent",IF(B37&lt;=$F$7,"Parabolic curve","Right tangent")))</f>
        <v/>
      </c>
      <c r="D37" s="9">
        <f>IF(B37="","",IF(B37&lt;- $F$7,$B$5,IF(B37&lt;=$F$7,100*($F$5+$F$8*(B37+$F$7)),$B$6)))</f>
        <v/>
      </c>
      <c r="E37" s="10">
        <f>IF(B37="","",IF(B37&lt;- $F$7,$F$9+$F$5*(B37+$F$7),IF(B37&lt;=$F$7,$F$9+$F$5*(B37+$F$7)+0.5*$F$8*(B37+$F$7)^2,$F$10+$F$6*(B37-$F$7))))</f>
        <v/>
      </c>
      <c r="F37" s="10">
        <f>IF(E37="","",$B$12+E37)</f>
        <v/>
      </c>
      <c r="G37" s="10">
        <f>IF(B37="","",$B$11+B37)</f>
        <v/>
      </c>
      <c r="H37" s="8">
        <f>IF(B37="","",IF(ABS(B37)&lt;1E-9,"PVI",IF(ABS(B37+$F$7)&lt;$B$10/2,"PVC",IF(ABS(B37-$F$7)&lt;$B$10/2,"PVT",""))))</f>
        <v/>
      </c>
    </row>
    <row r="38">
      <c r="A38" s="8">
        <f>IF(B38="","",A37+1)</f>
        <v/>
      </c>
      <c r="B38" s="8">
        <f>IF(B37="","",IF(B37+$B$10&lt;=$B$9+1E-9,B37+$B$10,""))</f>
        <v/>
      </c>
      <c r="C38" s="8">
        <f>IF(B38="","",IF(B38&lt;- $F$7,"Left tangent",IF(B38&lt;=$F$7,"Parabolic curve","Right tangent")))</f>
        <v/>
      </c>
      <c r="D38" s="9">
        <f>IF(B38="","",IF(B38&lt;- $F$7,$B$5,IF(B38&lt;=$F$7,100*($F$5+$F$8*(B38+$F$7)),$B$6)))</f>
        <v/>
      </c>
      <c r="E38" s="10">
        <f>IF(B38="","",IF(B38&lt;- $F$7,$F$9+$F$5*(B38+$F$7),IF(B38&lt;=$F$7,$F$9+$F$5*(B38+$F$7)+0.5*$F$8*(B38+$F$7)^2,$F$10+$F$6*(B38-$F$7))))</f>
        <v/>
      </c>
      <c r="F38" s="10">
        <f>IF(E38="","",$B$12+E38)</f>
        <v/>
      </c>
      <c r="G38" s="10">
        <f>IF(B38="","",$B$11+B38)</f>
        <v/>
      </c>
      <c r="H38" s="8">
        <f>IF(B38="","",IF(ABS(B38)&lt;1E-9,"PVI",IF(ABS(B38+$F$7)&lt;$B$10/2,"PVC",IF(ABS(B38-$F$7)&lt;$B$10/2,"PVT",""))))</f>
        <v/>
      </c>
    </row>
    <row r="39">
      <c r="A39" s="8">
        <f>IF(B39="","",A38+1)</f>
        <v/>
      </c>
      <c r="B39" s="8">
        <f>IF(B38="","",IF(B38+$B$10&lt;=$B$9+1E-9,B38+$B$10,""))</f>
        <v/>
      </c>
      <c r="C39" s="8">
        <f>IF(B39="","",IF(B39&lt;- $F$7,"Left tangent",IF(B39&lt;=$F$7,"Parabolic curve","Right tangent")))</f>
        <v/>
      </c>
      <c r="D39" s="9">
        <f>IF(B39="","",IF(B39&lt;- $F$7,$B$5,IF(B39&lt;=$F$7,100*($F$5+$F$8*(B39+$F$7)),$B$6)))</f>
        <v/>
      </c>
      <c r="E39" s="10">
        <f>IF(B39="","",IF(B39&lt;- $F$7,$F$9+$F$5*(B39+$F$7),IF(B39&lt;=$F$7,$F$9+$F$5*(B39+$F$7)+0.5*$F$8*(B39+$F$7)^2,$F$10+$F$6*(B39-$F$7))))</f>
        <v/>
      </c>
      <c r="F39" s="10">
        <f>IF(E39="","",$B$12+E39)</f>
        <v/>
      </c>
      <c r="G39" s="10">
        <f>IF(B39="","",$B$11+B39)</f>
        <v/>
      </c>
      <c r="H39" s="8">
        <f>IF(B39="","",IF(ABS(B39)&lt;1E-9,"PVI",IF(ABS(B39+$F$7)&lt;$B$10/2,"PVC",IF(ABS(B39-$F$7)&lt;$B$10/2,"PVT",""))))</f>
        <v/>
      </c>
    </row>
    <row r="40">
      <c r="A40" s="8">
        <f>IF(B40="","",A39+1)</f>
        <v/>
      </c>
      <c r="B40" s="8">
        <f>IF(B39="","",IF(B39+$B$10&lt;=$B$9+1E-9,B39+$B$10,""))</f>
        <v/>
      </c>
      <c r="C40" s="8">
        <f>IF(B40="","",IF(B40&lt;- $F$7,"Left tangent",IF(B40&lt;=$F$7,"Parabolic curve","Right tangent")))</f>
        <v/>
      </c>
      <c r="D40" s="9">
        <f>IF(B40="","",IF(B40&lt;- $F$7,$B$5,IF(B40&lt;=$F$7,100*($F$5+$F$8*(B40+$F$7)),$B$6)))</f>
        <v/>
      </c>
      <c r="E40" s="10">
        <f>IF(B40="","",IF(B40&lt;- $F$7,$F$9+$F$5*(B40+$F$7),IF(B40&lt;=$F$7,$F$9+$F$5*(B40+$F$7)+0.5*$F$8*(B40+$F$7)^2,$F$10+$F$6*(B40-$F$7))))</f>
        <v/>
      </c>
      <c r="F40" s="10">
        <f>IF(E40="","",$B$12+E40)</f>
        <v/>
      </c>
      <c r="G40" s="10">
        <f>IF(B40="","",$B$11+B40)</f>
        <v/>
      </c>
      <c r="H40" s="8">
        <f>IF(B40="","",IF(ABS(B40)&lt;1E-9,"PVI",IF(ABS(B40+$F$7)&lt;$B$10/2,"PVC",IF(ABS(B40-$F$7)&lt;$B$10/2,"PVT",""))))</f>
        <v/>
      </c>
    </row>
    <row r="41">
      <c r="A41" s="8">
        <f>IF(B41="","",A40+1)</f>
        <v/>
      </c>
      <c r="B41" s="8">
        <f>IF(B40="","",IF(B40+$B$10&lt;=$B$9+1E-9,B40+$B$10,""))</f>
        <v/>
      </c>
      <c r="C41" s="8">
        <f>IF(B41="","",IF(B41&lt;- $F$7,"Left tangent",IF(B41&lt;=$F$7,"Parabolic curve","Right tangent")))</f>
        <v/>
      </c>
      <c r="D41" s="9">
        <f>IF(B41="","",IF(B41&lt;- $F$7,$B$5,IF(B41&lt;=$F$7,100*($F$5+$F$8*(B41+$F$7)),$B$6)))</f>
        <v/>
      </c>
      <c r="E41" s="10">
        <f>IF(B41="","",IF(B41&lt;- $F$7,$F$9+$F$5*(B41+$F$7),IF(B41&lt;=$F$7,$F$9+$F$5*(B41+$F$7)+0.5*$F$8*(B41+$F$7)^2,$F$10+$F$6*(B41-$F$7))))</f>
        <v/>
      </c>
      <c r="F41" s="10">
        <f>IF(E41="","",$B$12+E41)</f>
        <v/>
      </c>
      <c r="G41" s="10">
        <f>IF(B41="","",$B$11+B41)</f>
        <v/>
      </c>
      <c r="H41" s="8">
        <f>IF(B41="","",IF(ABS(B41)&lt;1E-9,"PVI",IF(ABS(B41+$F$7)&lt;$B$10/2,"PVC",IF(ABS(B41-$F$7)&lt;$B$10/2,"PVT",""))))</f>
        <v/>
      </c>
    </row>
    <row r="42">
      <c r="A42" s="8">
        <f>IF(B42="","",A41+1)</f>
        <v/>
      </c>
      <c r="B42" s="8">
        <f>IF(B41="","",IF(B41+$B$10&lt;=$B$9+1E-9,B41+$B$10,""))</f>
        <v/>
      </c>
      <c r="C42" s="8">
        <f>IF(B42="","",IF(B42&lt;- $F$7,"Left tangent",IF(B42&lt;=$F$7,"Parabolic curve","Right tangent")))</f>
        <v/>
      </c>
      <c r="D42" s="9">
        <f>IF(B42="","",IF(B42&lt;- $F$7,$B$5,IF(B42&lt;=$F$7,100*($F$5+$F$8*(B42+$F$7)),$B$6)))</f>
        <v/>
      </c>
      <c r="E42" s="10">
        <f>IF(B42="","",IF(B42&lt;- $F$7,$F$9+$F$5*(B42+$F$7),IF(B42&lt;=$F$7,$F$9+$F$5*(B42+$F$7)+0.5*$F$8*(B42+$F$7)^2,$F$10+$F$6*(B42-$F$7))))</f>
        <v/>
      </c>
      <c r="F42" s="10">
        <f>IF(E42="","",$B$12+E42)</f>
        <v/>
      </c>
      <c r="G42" s="10">
        <f>IF(B42="","",$B$11+B42)</f>
        <v/>
      </c>
      <c r="H42" s="8">
        <f>IF(B42="","",IF(ABS(B42)&lt;1E-9,"PVI",IF(ABS(B42+$F$7)&lt;$B$10/2,"PVC",IF(ABS(B42-$F$7)&lt;$B$10/2,"PVT",""))))</f>
        <v/>
      </c>
    </row>
    <row r="43">
      <c r="A43" s="8">
        <f>IF(B43="","",A42+1)</f>
        <v/>
      </c>
      <c r="B43" s="8">
        <f>IF(B42="","",IF(B42+$B$10&lt;=$B$9+1E-9,B42+$B$10,""))</f>
        <v/>
      </c>
      <c r="C43" s="8">
        <f>IF(B43="","",IF(B43&lt;- $F$7,"Left tangent",IF(B43&lt;=$F$7,"Parabolic curve","Right tangent")))</f>
        <v/>
      </c>
      <c r="D43" s="9">
        <f>IF(B43="","",IF(B43&lt;- $F$7,$B$5,IF(B43&lt;=$F$7,100*($F$5+$F$8*(B43+$F$7)),$B$6)))</f>
        <v/>
      </c>
      <c r="E43" s="10">
        <f>IF(B43="","",IF(B43&lt;- $F$7,$F$9+$F$5*(B43+$F$7),IF(B43&lt;=$F$7,$F$9+$F$5*(B43+$F$7)+0.5*$F$8*(B43+$F$7)^2,$F$10+$F$6*(B43-$F$7))))</f>
        <v/>
      </c>
      <c r="F43" s="10">
        <f>IF(E43="","",$B$12+E43)</f>
        <v/>
      </c>
      <c r="G43" s="10">
        <f>IF(B43="","",$B$11+B43)</f>
        <v/>
      </c>
      <c r="H43" s="8">
        <f>IF(B43="","",IF(ABS(B43)&lt;1E-9,"PVI",IF(ABS(B43+$F$7)&lt;$B$10/2,"PVC",IF(ABS(B43-$F$7)&lt;$B$10/2,"PVT",""))))</f>
        <v/>
      </c>
    </row>
    <row r="44">
      <c r="A44" s="8">
        <f>IF(B44="","",A43+1)</f>
        <v/>
      </c>
      <c r="B44" s="8">
        <f>IF(B43="","",IF(B43+$B$10&lt;=$B$9+1E-9,B43+$B$10,""))</f>
        <v/>
      </c>
      <c r="C44" s="8">
        <f>IF(B44="","",IF(B44&lt;- $F$7,"Left tangent",IF(B44&lt;=$F$7,"Parabolic curve","Right tangent")))</f>
        <v/>
      </c>
      <c r="D44" s="9">
        <f>IF(B44="","",IF(B44&lt;- $F$7,$B$5,IF(B44&lt;=$F$7,100*($F$5+$F$8*(B44+$F$7)),$B$6)))</f>
        <v/>
      </c>
      <c r="E44" s="10">
        <f>IF(B44="","",IF(B44&lt;- $F$7,$F$9+$F$5*(B44+$F$7),IF(B44&lt;=$F$7,$F$9+$F$5*(B44+$F$7)+0.5*$F$8*(B44+$F$7)^2,$F$10+$F$6*(B44-$F$7))))</f>
        <v/>
      </c>
      <c r="F44" s="10">
        <f>IF(E44="","",$B$12+E44)</f>
        <v/>
      </c>
      <c r="G44" s="10">
        <f>IF(B44="","",$B$11+B44)</f>
        <v/>
      </c>
      <c r="H44" s="8">
        <f>IF(B44="","",IF(ABS(B44)&lt;1E-9,"PVI",IF(ABS(B44+$F$7)&lt;$B$10/2,"PVC",IF(ABS(B44-$F$7)&lt;$B$10/2,"PVT",""))))</f>
        <v/>
      </c>
    </row>
    <row r="45">
      <c r="A45" s="8">
        <f>IF(B45="","",A44+1)</f>
        <v/>
      </c>
      <c r="B45" s="8">
        <f>IF(B44="","",IF(B44+$B$10&lt;=$B$9+1E-9,B44+$B$10,""))</f>
        <v/>
      </c>
      <c r="C45" s="8">
        <f>IF(B45="","",IF(B45&lt;- $F$7,"Left tangent",IF(B45&lt;=$F$7,"Parabolic curve","Right tangent")))</f>
        <v/>
      </c>
      <c r="D45" s="9">
        <f>IF(B45="","",IF(B45&lt;- $F$7,$B$5,IF(B45&lt;=$F$7,100*($F$5+$F$8*(B45+$F$7)),$B$6)))</f>
        <v/>
      </c>
      <c r="E45" s="10">
        <f>IF(B45="","",IF(B45&lt;- $F$7,$F$9+$F$5*(B45+$F$7),IF(B45&lt;=$F$7,$F$9+$F$5*(B45+$F$7)+0.5*$F$8*(B45+$F$7)^2,$F$10+$F$6*(B45-$F$7))))</f>
        <v/>
      </c>
      <c r="F45" s="10">
        <f>IF(E45="","",$B$12+E45)</f>
        <v/>
      </c>
      <c r="G45" s="10">
        <f>IF(B45="","",$B$11+B45)</f>
        <v/>
      </c>
      <c r="H45" s="8">
        <f>IF(B45="","",IF(ABS(B45)&lt;1E-9,"PVI",IF(ABS(B45+$F$7)&lt;$B$10/2,"PVC",IF(ABS(B45-$F$7)&lt;$B$10/2,"PVT",""))))</f>
        <v/>
      </c>
    </row>
    <row r="46">
      <c r="A46" s="8">
        <f>IF(B46="","",A45+1)</f>
        <v/>
      </c>
      <c r="B46" s="8">
        <f>IF(B45="","",IF(B45+$B$10&lt;=$B$9+1E-9,B45+$B$10,""))</f>
        <v/>
      </c>
      <c r="C46" s="8">
        <f>IF(B46="","",IF(B46&lt;- $F$7,"Left tangent",IF(B46&lt;=$F$7,"Parabolic curve","Right tangent")))</f>
        <v/>
      </c>
      <c r="D46" s="9">
        <f>IF(B46="","",IF(B46&lt;- $F$7,$B$5,IF(B46&lt;=$F$7,100*($F$5+$F$8*(B46+$F$7)),$B$6)))</f>
        <v/>
      </c>
      <c r="E46" s="10">
        <f>IF(B46="","",IF(B46&lt;- $F$7,$F$9+$F$5*(B46+$F$7),IF(B46&lt;=$F$7,$F$9+$F$5*(B46+$F$7)+0.5*$F$8*(B46+$F$7)^2,$F$10+$F$6*(B46-$F$7))))</f>
        <v/>
      </c>
      <c r="F46" s="10">
        <f>IF(E46="","",$B$12+E46)</f>
        <v/>
      </c>
      <c r="G46" s="10">
        <f>IF(B46="","",$B$11+B46)</f>
        <v/>
      </c>
      <c r="H46" s="8">
        <f>IF(B46="","",IF(ABS(B46)&lt;1E-9,"PVI",IF(ABS(B46+$F$7)&lt;$B$10/2,"PVC",IF(ABS(B46-$F$7)&lt;$B$10/2,"PVT",""))))</f>
        <v/>
      </c>
    </row>
    <row r="47">
      <c r="A47" s="8">
        <f>IF(B47="","",A46+1)</f>
        <v/>
      </c>
      <c r="B47" s="8">
        <f>IF(B46="","",IF(B46+$B$10&lt;=$B$9+1E-9,B46+$B$10,""))</f>
        <v/>
      </c>
      <c r="C47" s="8">
        <f>IF(B47="","",IF(B47&lt;- $F$7,"Left tangent",IF(B47&lt;=$F$7,"Parabolic curve","Right tangent")))</f>
        <v/>
      </c>
      <c r="D47" s="9">
        <f>IF(B47="","",IF(B47&lt;- $F$7,$B$5,IF(B47&lt;=$F$7,100*($F$5+$F$8*(B47+$F$7)),$B$6)))</f>
        <v/>
      </c>
      <c r="E47" s="10">
        <f>IF(B47="","",IF(B47&lt;- $F$7,$F$9+$F$5*(B47+$F$7),IF(B47&lt;=$F$7,$F$9+$F$5*(B47+$F$7)+0.5*$F$8*(B47+$F$7)^2,$F$10+$F$6*(B47-$F$7))))</f>
        <v/>
      </c>
      <c r="F47" s="10">
        <f>IF(E47="","",$B$12+E47)</f>
        <v/>
      </c>
      <c r="G47" s="10">
        <f>IF(B47="","",$B$11+B47)</f>
        <v/>
      </c>
      <c r="H47" s="8">
        <f>IF(B47="","",IF(ABS(B47)&lt;1E-9,"PVI",IF(ABS(B47+$F$7)&lt;$B$10/2,"PVC",IF(ABS(B47-$F$7)&lt;$B$10/2,"PVT",""))))</f>
        <v/>
      </c>
    </row>
    <row r="48">
      <c r="A48" s="8">
        <f>IF(B48="","",A47+1)</f>
        <v/>
      </c>
      <c r="B48" s="8">
        <f>IF(B47="","",IF(B47+$B$10&lt;=$B$9+1E-9,B47+$B$10,""))</f>
        <v/>
      </c>
      <c r="C48" s="8">
        <f>IF(B48="","",IF(B48&lt;- $F$7,"Left tangent",IF(B48&lt;=$F$7,"Parabolic curve","Right tangent")))</f>
        <v/>
      </c>
      <c r="D48" s="9">
        <f>IF(B48="","",IF(B48&lt;- $F$7,$B$5,IF(B48&lt;=$F$7,100*($F$5+$F$8*(B48+$F$7)),$B$6)))</f>
        <v/>
      </c>
      <c r="E48" s="10">
        <f>IF(B48="","",IF(B48&lt;- $F$7,$F$9+$F$5*(B48+$F$7),IF(B48&lt;=$F$7,$F$9+$F$5*(B48+$F$7)+0.5*$F$8*(B48+$F$7)^2,$F$10+$F$6*(B48-$F$7))))</f>
        <v/>
      </c>
      <c r="F48" s="10">
        <f>IF(E48="","",$B$12+E48)</f>
        <v/>
      </c>
      <c r="G48" s="10">
        <f>IF(B48="","",$B$11+B48)</f>
        <v/>
      </c>
      <c r="H48" s="8">
        <f>IF(B48="","",IF(ABS(B48)&lt;1E-9,"PVI",IF(ABS(B48+$F$7)&lt;$B$10/2,"PVC",IF(ABS(B48-$F$7)&lt;$B$10/2,"PVT",""))))</f>
        <v/>
      </c>
    </row>
    <row r="49">
      <c r="A49" s="8">
        <f>IF(B49="","",A48+1)</f>
        <v/>
      </c>
      <c r="B49" s="8">
        <f>IF(B48="","",IF(B48+$B$10&lt;=$B$9+1E-9,B48+$B$10,""))</f>
        <v/>
      </c>
      <c r="C49" s="8">
        <f>IF(B49="","",IF(B49&lt;- $F$7,"Left tangent",IF(B49&lt;=$F$7,"Parabolic curve","Right tangent")))</f>
        <v/>
      </c>
      <c r="D49" s="9">
        <f>IF(B49="","",IF(B49&lt;- $F$7,$B$5,IF(B49&lt;=$F$7,100*($F$5+$F$8*(B49+$F$7)),$B$6)))</f>
        <v/>
      </c>
      <c r="E49" s="10">
        <f>IF(B49="","",IF(B49&lt;- $F$7,$F$9+$F$5*(B49+$F$7),IF(B49&lt;=$F$7,$F$9+$F$5*(B49+$F$7)+0.5*$F$8*(B49+$F$7)^2,$F$10+$F$6*(B49-$F$7))))</f>
        <v/>
      </c>
      <c r="F49" s="10">
        <f>IF(E49="","",$B$12+E49)</f>
        <v/>
      </c>
      <c r="G49" s="10">
        <f>IF(B49="","",$B$11+B49)</f>
        <v/>
      </c>
      <c r="H49" s="8">
        <f>IF(B49="","",IF(ABS(B49)&lt;1E-9,"PVI",IF(ABS(B49+$F$7)&lt;$B$10/2,"PVC",IF(ABS(B49-$F$7)&lt;$B$10/2,"PVT",""))))</f>
        <v/>
      </c>
    </row>
    <row r="50">
      <c r="A50" s="8">
        <f>IF(B50="","",A49+1)</f>
        <v/>
      </c>
      <c r="B50" s="8">
        <f>IF(B49="","",IF(B49+$B$10&lt;=$B$9+1E-9,B49+$B$10,""))</f>
        <v/>
      </c>
      <c r="C50" s="8">
        <f>IF(B50="","",IF(B50&lt;- $F$7,"Left tangent",IF(B50&lt;=$F$7,"Parabolic curve","Right tangent")))</f>
        <v/>
      </c>
      <c r="D50" s="9">
        <f>IF(B50="","",IF(B50&lt;- $F$7,$B$5,IF(B50&lt;=$F$7,100*($F$5+$F$8*(B50+$F$7)),$B$6)))</f>
        <v/>
      </c>
      <c r="E50" s="10">
        <f>IF(B50="","",IF(B50&lt;- $F$7,$F$9+$F$5*(B50+$F$7),IF(B50&lt;=$F$7,$F$9+$F$5*(B50+$F$7)+0.5*$F$8*(B50+$F$7)^2,$F$10+$F$6*(B50-$F$7))))</f>
        <v/>
      </c>
      <c r="F50" s="10">
        <f>IF(E50="","",$B$12+E50)</f>
        <v/>
      </c>
      <c r="G50" s="10">
        <f>IF(B50="","",$B$11+B50)</f>
        <v/>
      </c>
      <c r="H50" s="8">
        <f>IF(B50="","",IF(ABS(B50)&lt;1E-9,"PVI",IF(ABS(B50+$F$7)&lt;$B$10/2,"PVC",IF(ABS(B50-$F$7)&lt;$B$10/2,"PVT",""))))</f>
        <v/>
      </c>
    </row>
    <row r="51">
      <c r="A51" s="8">
        <f>IF(B51="","",A50+1)</f>
        <v/>
      </c>
      <c r="B51" s="8">
        <f>IF(B50="","",IF(B50+$B$10&lt;=$B$9+1E-9,B50+$B$10,""))</f>
        <v/>
      </c>
      <c r="C51" s="8">
        <f>IF(B51="","",IF(B51&lt;- $F$7,"Left tangent",IF(B51&lt;=$F$7,"Parabolic curve","Right tangent")))</f>
        <v/>
      </c>
      <c r="D51" s="9">
        <f>IF(B51="","",IF(B51&lt;- $F$7,$B$5,IF(B51&lt;=$F$7,100*($F$5+$F$8*(B51+$F$7)),$B$6)))</f>
        <v/>
      </c>
      <c r="E51" s="10">
        <f>IF(B51="","",IF(B51&lt;- $F$7,$F$9+$F$5*(B51+$F$7),IF(B51&lt;=$F$7,$F$9+$F$5*(B51+$F$7)+0.5*$F$8*(B51+$F$7)^2,$F$10+$F$6*(B51-$F$7))))</f>
        <v/>
      </c>
      <c r="F51" s="10">
        <f>IF(E51="","",$B$12+E51)</f>
        <v/>
      </c>
      <c r="G51" s="10">
        <f>IF(B51="","",$B$11+B51)</f>
        <v/>
      </c>
      <c r="H51" s="8">
        <f>IF(B51="","",IF(ABS(B51)&lt;1E-9,"PVI",IF(ABS(B51+$F$7)&lt;$B$10/2,"PVC",IF(ABS(B51-$F$7)&lt;$B$10/2,"PVT",""))))</f>
        <v/>
      </c>
    </row>
    <row r="52">
      <c r="A52" s="8">
        <f>IF(B52="","",A51+1)</f>
        <v/>
      </c>
      <c r="B52" s="8">
        <f>IF(B51="","",IF(B51+$B$10&lt;=$B$9+1E-9,B51+$B$10,""))</f>
        <v/>
      </c>
      <c r="C52" s="8">
        <f>IF(B52="","",IF(B52&lt;- $F$7,"Left tangent",IF(B52&lt;=$F$7,"Parabolic curve","Right tangent")))</f>
        <v/>
      </c>
      <c r="D52" s="9">
        <f>IF(B52="","",IF(B52&lt;- $F$7,$B$5,IF(B52&lt;=$F$7,100*($F$5+$F$8*(B52+$F$7)),$B$6)))</f>
        <v/>
      </c>
      <c r="E52" s="10">
        <f>IF(B52="","",IF(B52&lt;- $F$7,$F$9+$F$5*(B52+$F$7),IF(B52&lt;=$F$7,$F$9+$F$5*(B52+$F$7)+0.5*$F$8*(B52+$F$7)^2,$F$10+$F$6*(B52-$F$7))))</f>
        <v/>
      </c>
      <c r="F52" s="10">
        <f>IF(E52="","",$B$12+E52)</f>
        <v/>
      </c>
      <c r="G52" s="10">
        <f>IF(B52="","",$B$11+B52)</f>
        <v/>
      </c>
      <c r="H52" s="8">
        <f>IF(B52="","",IF(ABS(B52)&lt;1E-9,"PVI",IF(ABS(B52+$F$7)&lt;$B$10/2,"PVC",IF(ABS(B52-$F$7)&lt;$B$10/2,"PVT",""))))</f>
        <v/>
      </c>
    </row>
    <row r="53">
      <c r="A53" s="8">
        <f>IF(B53="","",A52+1)</f>
        <v/>
      </c>
      <c r="B53" s="8">
        <f>IF(B52="","",IF(B52+$B$10&lt;=$B$9+1E-9,B52+$B$10,""))</f>
        <v/>
      </c>
      <c r="C53" s="8">
        <f>IF(B53="","",IF(B53&lt;- $F$7,"Left tangent",IF(B53&lt;=$F$7,"Parabolic curve","Right tangent")))</f>
        <v/>
      </c>
      <c r="D53" s="9">
        <f>IF(B53="","",IF(B53&lt;- $F$7,$B$5,IF(B53&lt;=$F$7,100*($F$5+$F$8*(B53+$F$7)),$B$6)))</f>
        <v/>
      </c>
      <c r="E53" s="10">
        <f>IF(B53="","",IF(B53&lt;- $F$7,$F$9+$F$5*(B53+$F$7),IF(B53&lt;=$F$7,$F$9+$F$5*(B53+$F$7)+0.5*$F$8*(B53+$F$7)^2,$F$10+$F$6*(B53-$F$7))))</f>
        <v/>
      </c>
      <c r="F53" s="10">
        <f>IF(E53="","",$B$12+E53)</f>
        <v/>
      </c>
      <c r="G53" s="10">
        <f>IF(B53="","",$B$11+B53)</f>
        <v/>
      </c>
      <c r="H53" s="8">
        <f>IF(B53="","",IF(ABS(B53)&lt;1E-9,"PVI",IF(ABS(B53+$F$7)&lt;$B$10/2,"PVC",IF(ABS(B53-$F$7)&lt;$B$10/2,"PVT",""))))</f>
        <v/>
      </c>
    </row>
    <row r="54">
      <c r="A54" s="8">
        <f>IF(B54="","",A53+1)</f>
        <v/>
      </c>
      <c r="B54" s="8">
        <f>IF(B53="","",IF(B53+$B$10&lt;=$B$9+1E-9,B53+$B$10,""))</f>
        <v/>
      </c>
      <c r="C54" s="8">
        <f>IF(B54="","",IF(B54&lt;- $F$7,"Left tangent",IF(B54&lt;=$F$7,"Parabolic curve","Right tangent")))</f>
        <v/>
      </c>
      <c r="D54" s="9">
        <f>IF(B54="","",IF(B54&lt;- $F$7,$B$5,IF(B54&lt;=$F$7,100*($F$5+$F$8*(B54+$F$7)),$B$6)))</f>
        <v/>
      </c>
      <c r="E54" s="10">
        <f>IF(B54="","",IF(B54&lt;- $F$7,$F$9+$F$5*(B54+$F$7),IF(B54&lt;=$F$7,$F$9+$F$5*(B54+$F$7)+0.5*$F$8*(B54+$F$7)^2,$F$10+$F$6*(B54-$F$7))))</f>
        <v/>
      </c>
      <c r="F54" s="10">
        <f>IF(E54="","",$B$12+E54)</f>
        <v/>
      </c>
      <c r="G54" s="10">
        <f>IF(B54="","",$B$11+B54)</f>
        <v/>
      </c>
      <c r="H54" s="8">
        <f>IF(B54="","",IF(ABS(B54)&lt;1E-9,"PVI",IF(ABS(B54+$F$7)&lt;$B$10/2,"PVC",IF(ABS(B54-$F$7)&lt;$B$10/2,"PVT",""))))</f>
        <v/>
      </c>
    </row>
    <row r="55">
      <c r="A55" s="8">
        <f>IF(B55="","",A54+1)</f>
        <v/>
      </c>
      <c r="B55" s="8">
        <f>IF(B54="","",IF(B54+$B$10&lt;=$B$9+1E-9,B54+$B$10,""))</f>
        <v/>
      </c>
      <c r="C55" s="8">
        <f>IF(B55="","",IF(B55&lt;- $F$7,"Left tangent",IF(B55&lt;=$F$7,"Parabolic curve","Right tangent")))</f>
        <v/>
      </c>
      <c r="D55" s="9">
        <f>IF(B55="","",IF(B55&lt;- $F$7,$B$5,IF(B55&lt;=$F$7,100*($F$5+$F$8*(B55+$F$7)),$B$6)))</f>
        <v/>
      </c>
      <c r="E55" s="10">
        <f>IF(B55="","",IF(B55&lt;- $F$7,$F$9+$F$5*(B55+$F$7),IF(B55&lt;=$F$7,$F$9+$F$5*(B55+$F$7)+0.5*$F$8*(B55+$F$7)^2,$F$10+$F$6*(B55-$F$7))))</f>
        <v/>
      </c>
      <c r="F55" s="10">
        <f>IF(E55="","",$B$12+E55)</f>
        <v/>
      </c>
      <c r="G55" s="10">
        <f>IF(B55="","",$B$11+B55)</f>
        <v/>
      </c>
      <c r="H55" s="8">
        <f>IF(B55="","",IF(ABS(B55)&lt;1E-9,"PVI",IF(ABS(B55+$F$7)&lt;$B$10/2,"PVC",IF(ABS(B55-$F$7)&lt;$B$10/2,"PVT",""))))</f>
        <v/>
      </c>
    </row>
    <row r="56">
      <c r="A56" s="8">
        <f>IF(B56="","",A55+1)</f>
        <v/>
      </c>
      <c r="B56" s="8">
        <f>IF(B55="","",IF(B55+$B$10&lt;=$B$9+1E-9,B55+$B$10,""))</f>
        <v/>
      </c>
      <c r="C56" s="8">
        <f>IF(B56="","",IF(B56&lt;- $F$7,"Left tangent",IF(B56&lt;=$F$7,"Parabolic curve","Right tangent")))</f>
        <v/>
      </c>
      <c r="D56" s="9">
        <f>IF(B56="","",IF(B56&lt;- $F$7,$B$5,IF(B56&lt;=$F$7,100*($F$5+$F$8*(B56+$F$7)),$B$6)))</f>
        <v/>
      </c>
      <c r="E56" s="10">
        <f>IF(B56="","",IF(B56&lt;- $F$7,$F$9+$F$5*(B56+$F$7),IF(B56&lt;=$F$7,$F$9+$F$5*(B56+$F$7)+0.5*$F$8*(B56+$F$7)^2,$F$10+$F$6*(B56-$F$7))))</f>
        <v/>
      </c>
      <c r="F56" s="10">
        <f>IF(E56="","",$B$12+E56)</f>
        <v/>
      </c>
      <c r="G56" s="10">
        <f>IF(B56="","",$B$11+B56)</f>
        <v/>
      </c>
      <c r="H56" s="8">
        <f>IF(B56="","",IF(ABS(B56)&lt;1E-9,"PVI",IF(ABS(B56+$F$7)&lt;$B$10/2,"PVC",IF(ABS(B56-$F$7)&lt;$B$10/2,"PVT",""))))</f>
        <v/>
      </c>
    </row>
    <row r="57">
      <c r="A57" s="8">
        <f>IF(B57="","",A56+1)</f>
        <v/>
      </c>
      <c r="B57" s="8">
        <f>IF(B56="","",IF(B56+$B$10&lt;=$B$9+1E-9,B56+$B$10,""))</f>
        <v/>
      </c>
      <c r="C57" s="8">
        <f>IF(B57="","",IF(B57&lt;- $F$7,"Left tangent",IF(B57&lt;=$F$7,"Parabolic curve","Right tangent")))</f>
        <v/>
      </c>
      <c r="D57" s="9">
        <f>IF(B57="","",IF(B57&lt;- $F$7,$B$5,IF(B57&lt;=$F$7,100*($F$5+$F$8*(B57+$F$7)),$B$6)))</f>
        <v/>
      </c>
      <c r="E57" s="10">
        <f>IF(B57="","",IF(B57&lt;- $F$7,$F$9+$F$5*(B57+$F$7),IF(B57&lt;=$F$7,$F$9+$F$5*(B57+$F$7)+0.5*$F$8*(B57+$F$7)^2,$F$10+$F$6*(B57-$F$7))))</f>
        <v/>
      </c>
      <c r="F57" s="10">
        <f>IF(E57="","",$B$12+E57)</f>
        <v/>
      </c>
      <c r="G57" s="10">
        <f>IF(B57="","",$B$11+B57)</f>
        <v/>
      </c>
      <c r="H57" s="8">
        <f>IF(B57="","",IF(ABS(B57)&lt;1E-9,"PVI",IF(ABS(B57+$F$7)&lt;$B$10/2,"PVC",IF(ABS(B57-$F$7)&lt;$B$10/2,"PVT",""))))</f>
        <v/>
      </c>
    </row>
    <row r="58">
      <c r="A58" s="8">
        <f>IF(B58="","",A57+1)</f>
        <v/>
      </c>
      <c r="B58" s="8">
        <f>IF(B57="","",IF(B57+$B$10&lt;=$B$9+1E-9,B57+$B$10,""))</f>
        <v/>
      </c>
      <c r="C58" s="8">
        <f>IF(B58="","",IF(B58&lt;- $F$7,"Left tangent",IF(B58&lt;=$F$7,"Parabolic curve","Right tangent")))</f>
        <v/>
      </c>
      <c r="D58" s="9">
        <f>IF(B58="","",IF(B58&lt;- $F$7,$B$5,IF(B58&lt;=$F$7,100*($F$5+$F$8*(B58+$F$7)),$B$6)))</f>
        <v/>
      </c>
      <c r="E58" s="10">
        <f>IF(B58="","",IF(B58&lt;- $F$7,$F$9+$F$5*(B58+$F$7),IF(B58&lt;=$F$7,$F$9+$F$5*(B58+$F$7)+0.5*$F$8*(B58+$F$7)^2,$F$10+$F$6*(B58-$F$7))))</f>
        <v/>
      </c>
      <c r="F58" s="10">
        <f>IF(E58="","",$B$12+E58)</f>
        <v/>
      </c>
      <c r="G58" s="10">
        <f>IF(B58="","",$B$11+B58)</f>
        <v/>
      </c>
      <c r="H58" s="8">
        <f>IF(B58="","",IF(ABS(B58)&lt;1E-9,"PVI",IF(ABS(B58+$F$7)&lt;$B$10/2,"PVC",IF(ABS(B58-$F$7)&lt;$B$10/2,"PVT",""))))</f>
        <v/>
      </c>
    </row>
    <row r="59">
      <c r="A59" s="8">
        <f>IF(B59="","",A58+1)</f>
        <v/>
      </c>
      <c r="B59" s="8">
        <f>IF(B58="","",IF(B58+$B$10&lt;=$B$9+1E-9,B58+$B$10,""))</f>
        <v/>
      </c>
      <c r="C59" s="8">
        <f>IF(B59="","",IF(B59&lt;- $F$7,"Left tangent",IF(B59&lt;=$F$7,"Parabolic curve","Right tangent")))</f>
        <v/>
      </c>
      <c r="D59" s="9">
        <f>IF(B59="","",IF(B59&lt;- $F$7,$B$5,IF(B59&lt;=$F$7,100*($F$5+$F$8*(B59+$F$7)),$B$6)))</f>
        <v/>
      </c>
      <c r="E59" s="10">
        <f>IF(B59="","",IF(B59&lt;- $F$7,$F$9+$F$5*(B59+$F$7),IF(B59&lt;=$F$7,$F$9+$F$5*(B59+$F$7)+0.5*$F$8*(B59+$F$7)^2,$F$10+$F$6*(B59-$F$7))))</f>
        <v/>
      </c>
      <c r="F59" s="10">
        <f>IF(E59="","",$B$12+E59)</f>
        <v/>
      </c>
      <c r="G59" s="10">
        <f>IF(B59="","",$B$11+B59)</f>
        <v/>
      </c>
      <c r="H59" s="8">
        <f>IF(B59="","",IF(ABS(B59)&lt;1E-9,"PVI",IF(ABS(B59+$F$7)&lt;$B$10/2,"PVC",IF(ABS(B59-$F$7)&lt;$B$10/2,"PVT",""))))</f>
        <v/>
      </c>
    </row>
    <row r="60">
      <c r="A60" s="8">
        <f>IF(B60="","",A59+1)</f>
        <v/>
      </c>
      <c r="B60" s="8">
        <f>IF(B59="","",IF(B59+$B$10&lt;=$B$9+1E-9,B59+$B$10,""))</f>
        <v/>
      </c>
      <c r="C60" s="8">
        <f>IF(B60="","",IF(B60&lt;- $F$7,"Left tangent",IF(B60&lt;=$F$7,"Parabolic curve","Right tangent")))</f>
        <v/>
      </c>
      <c r="D60" s="9">
        <f>IF(B60="","",IF(B60&lt;- $F$7,$B$5,IF(B60&lt;=$F$7,100*($F$5+$F$8*(B60+$F$7)),$B$6)))</f>
        <v/>
      </c>
      <c r="E60" s="10">
        <f>IF(B60="","",IF(B60&lt;- $F$7,$F$9+$F$5*(B60+$F$7),IF(B60&lt;=$F$7,$F$9+$F$5*(B60+$F$7)+0.5*$F$8*(B60+$F$7)^2,$F$10+$F$6*(B60-$F$7))))</f>
        <v/>
      </c>
      <c r="F60" s="10">
        <f>IF(E60="","",$B$12+E60)</f>
        <v/>
      </c>
      <c r="G60" s="10">
        <f>IF(B60="","",$B$11+B60)</f>
        <v/>
      </c>
      <c r="H60" s="8">
        <f>IF(B60="","",IF(ABS(B60)&lt;1E-9,"PVI",IF(ABS(B60+$F$7)&lt;$B$10/2,"PVC",IF(ABS(B60-$F$7)&lt;$B$10/2,"PVT",""))))</f>
        <v/>
      </c>
    </row>
    <row r="61">
      <c r="A61" s="8">
        <f>IF(B61="","",A60+1)</f>
        <v/>
      </c>
      <c r="B61" s="8">
        <f>IF(B60="","",IF(B60+$B$10&lt;=$B$9+1E-9,B60+$B$10,""))</f>
        <v/>
      </c>
      <c r="C61" s="8">
        <f>IF(B61="","",IF(B61&lt;- $F$7,"Left tangent",IF(B61&lt;=$F$7,"Parabolic curve","Right tangent")))</f>
        <v/>
      </c>
      <c r="D61" s="9">
        <f>IF(B61="","",IF(B61&lt;- $F$7,$B$5,IF(B61&lt;=$F$7,100*($F$5+$F$8*(B61+$F$7)),$B$6)))</f>
        <v/>
      </c>
      <c r="E61" s="10">
        <f>IF(B61="","",IF(B61&lt;- $F$7,$F$9+$F$5*(B61+$F$7),IF(B61&lt;=$F$7,$F$9+$F$5*(B61+$F$7)+0.5*$F$8*(B61+$F$7)^2,$F$10+$F$6*(B61-$F$7))))</f>
        <v/>
      </c>
      <c r="F61" s="10">
        <f>IF(E61="","",$B$12+E61)</f>
        <v/>
      </c>
      <c r="G61" s="10">
        <f>IF(B61="","",$B$11+B61)</f>
        <v/>
      </c>
      <c r="H61" s="8">
        <f>IF(B61="","",IF(ABS(B61)&lt;1E-9,"PVI",IF(ABS(B61+$F$7)&lt;$B$10/2,"PVC",IF(ABS(B61-$F$7)&lt;$B$10/2,"PVT",""))))</f>
        <v/>
      </c>
    </row>
    <row r="62">
      <c r="A62" s="8">
        <f>IF(B62="","",A61+1)</f>
        <v/>
      </c>
      <c r="B62" s="8">
        <f>IF(B61="","",IF(B61+$B$10&lt;=$B$9+1E-9,B61+$B$10,""))</f>
        <v/>
      </c>
      <c r="C62" s="8">
        <f>IF(B62="","",IF(B62&lt;- $F$7,"Left tangent",IF(B62&lt;=$F$7,"Parabolic curve","Right tangent")))</f>
        <v/>
      </c>
      <c r="D62" s="9">
        <f>IF(B62="","",IF(B62&lt;- $F$7,$B$5,IF(B62&lt;=$F$7,100*($F$5+$F$8*(B62+$F$7)),$B$6)))</f>
        <v/>
      </c>
      <c r="E62" s="10">
        <f>IF(B62="","",IF(B62&lt;- $F$7,$F$9+$F$5*(B62+$F$7),IF(B62&lt;=$F$7,$F$9+$F$5*(B62+$F$7)+0.5*$F$8*(B62+$F$7)^2,$F$10+$F$6*(B62-$F$7))))</f>
        <v/>
      </c>
      <c r="F62" s="10">
        <f>IF(E62="","",$B$12+E62)</f>
        <v/>
      </c>
      <c r="G62" s="10">
        <f>IF(B62="","",$B$11+B62)</f>
        <v/>
      </c>
      <c r="H62" s="8">
        <f>IF(B62="","",IF(ABS(B62)&lt;1E-9,"PVI",IF(ABS(B62+$F$7)&lt;$B$10/2,"PVC",IF(ABS(B62-$F$7)&lt;$B$10/2,"PVT",""))))</f>
        <v/>
      </c>
    </row>
    <row r="63">
      <c r="A63" s="8">
        <f>IF(B63="","",A62+1)</f>
        <v/>
      </c>
      <c r="B63" s="8">
        <f>IF(B62="","",IF(B62+$B$10&lt;=$B$9+1E-9,B62+$B$10,""))</f>
        <v/>
      </c>
      <c r="C63" s="8">
        <f>IF(B63="","",IF(B63&lt;- $F$7,"Left tangent",IF(B63&lt;=$F$7,"Parabolic curve","Right tangent")))</f>
        <v/>
      </c>
      <c r="D63" s="9">
        <f>IF(B63="","",IF(B63&lt;- $F$7,$B$5,IF(B63&lt;=$F$7,100*($F$5+$F$8*(B63+$F$7)),$B$6)))</f>
        <v/>
      </c>
      <c r="E63" s="10">
        <f>IF(B63="","",IF(B63&lt;- $F$7,$F$9+$F$5*(B63+$F$7),IF(B63&lt;=$F$7,$F$9+$F$5*(B63+$F$7)+0.5*$F$8*(B63+$F$7)^2,$F$10+$F$6*(B63-$F$7))))</f>
        <v/>
      </c>
      <c r="F63" s="10">
        <f>IF(E63="","",$B$12+E63)</f>
        <v/>
      </c>
      <c r="G63" s="10">
        <f>IF(B63="","",$B$11+B63)</f>
        <v/>
      </c>
      <c r="H63" s="8">
        <f>IF(B63="","",IF(ABS(B63)&lt;1E-9,"PVI",IF(ABS(B63+$F$7)&lt;$B$10/2,"PVC",IF(ABS(B63-$F$7)&lt;$B$10/2,"PVT",""))))</f>
        <v/>
      </c>
    </row>
    <row r="64">
      <c r="A64" s="8">
        <f>IF(B64="","",A63+1)</f>
        <v/>
      </c>
      <c r="B64" s="8">
        <f>IF(B63="","",IF(B63+$B$10&lt;=$B$9+1E-9,B63+$B$10,""))</f>
        <v/>
      </c>
      <c r="C64" s="8">
        <f>IF(B64="","",IF(B64&lt;- $F$7,"Left tangent",IF(B64&lt;=$F$7,"Parabolic curve","Right tangent")))</f>
        <v/>
      </c>
      <c r="D64" s="9">
        <f>IF(B64="","",IF(B64&lt;- $F$7,$B$5,IF(B64&lt;=$F$7,100*($F$5+$F$8*(B64+$F$7)),$B$6)))</f>
        <v/>
      </c>
      <c r="E64" s="10">
        <f>IF(B64="","",IF(B64&lt;- $F$7,$F$9+$F$5*(B64+$F$7),IF(B64&lt;=$F$7,$F$9+$F$5*(B64+$F$7)+0.5*$F$8*(B64+$F$7)^2,$F$10+$F$6*(B64-$F$7))))</f>
        <v/>
      </c>
      <c r="F64" s="10">
        <f>IF(E64="","",$B$12+E64)</f>
        <v/>
      </c>
      <c r="G64" s="10">
        <f>IF(B64="","",$B$11+B64)</f>
        <v/>
      </c>
      <c r="H64" s="8">
        <f>IF(B64="","",IF(ABS(B64)&lt;1E-9,"PVI",IF(ABS(B64+$F$7)&lt;$B$10/2,"PVC",IF(ABS(B64-$F$7)&lt;$B$10/2,"PVT",""))))</f>
        <v/>
      </c>
    </row>
    <row r="65">
      <c r="A65" s="8">
        <f>IF(B65="","",A64+1)</f>
        <v/>
      </c>
      <c r="B65" s="8">
        <f>IF(B64="","",IF(B64+$B$10&lt;=$B$9+1E-9,B64+$B$10,""))</f>
        <v/>
      </c>
      <c r="C65" s="8">
        <f>IF(B65="","",IF(B65&lt;- $F$7,"Left tangent",IF(B65&lt;=$F$7,"Parabolic curve","Right tangent")))</f>
        <v/>
      </c>
      <c r="D65" s="9">
        <f>IF(B65="","",IF(B65&lt;- $F$7,$B$5,IF(B65&lt;=$F$7,100*($F$5+$F$8*(B65+$F$7)),$B$6)))</f>
        <v/>
      </c>
      <c r="E65" s="10">
        <f>IF(B65="","",IF(B65&lt;- $F$7,$F$9+$F$5*(B65+$F$7),IF(B65&lt;=$F$7,$F$9+$F$5*(B65+$F$7)+0.5*$F$8*(B65+$F$7)^2,$F$10+$F$6*(B65-$F$7))))</f>
        <v/>
      </c>
      <c r="F65" s="10">
        <f>IF(E65="","",$B$12+E65)</f>
        <v/>
      </c>
      <c r="G65" s="10">
        <f>IF(B65="","",$B$11+B65)</f>
        <v/>
      </c>
      <c r="H65" s="8">
        <f>IF(B65="","",IF(ABS(B65)&lt;1E-9,"PVI",IF(ABS(B65+$F$7)&lt;$B$10/2,"PVC",IF(ABS(B65-$F$7)&lt;$B$10/2,"PVT",""))))</f>
        <v/>
      </c>
    </row>
    <row r="66">
      <c r="A66" s="8">
        <f>IF(B66="","",A65+1)</f>
        <v/>
      </c>
      <c r="B66" s="8">
        <f>IF(B65="","",IF(B65+$B$10&lt;=$B$9+1E-9,B65+$B$10,""))</f>
        <v/>
      </c>
      <c r="C66" s="8">
        <f>IF(B66="","",IF(B66&lt;- $F$7,"Left tangent",IF(B66&lt;=$F$7,"Parabolic curve","Right tangent")))</f>
        <v/>
      </c>
      <c r="D66" s="9">
        <f>IF(B66="","",IF(B66&lt;- $F$7,$B$5,IF(B66&lt;=$F$7,100*($F$5+$F$8*(B66+$F$7)),$B$6)))</f>
        <v/>
      </c>
      <c r="E66" s="10">
        <f>IF(B66="","",IF(B66&lt;- $F$7,$F$9+$F$5*(B66+$F$7),IF(B66&lt;=$F$7,$F$9+$F$5*(B66+$F$7)+0.5*$F$8*(B66+$F$7)^2,$F$10+$F$6*(B66-$F$7))))</f>
        <v/>
      </c>
      <c r="F66" s="10">
        <f>IF(E66="","",$B$12+E66)</f>
        <v/>
      </c>
      <c r="G66" s="10">
        <f>IF(B66="","",$B$11+B66)</f>
        <v/>
      </c>
      <c r="H66" s="8">
        <f>IF(B66="","",IF(ABS(B66)&lt;1E-9,"PVI",IF(ABS(B66+$F$7)&lt;$B$10/2,"PVC",IF(ABS(B66-$F$7)&lt;$B$10/2,"PVT",""))))</f>
        <v/>
      </c>
    </row>
    <row r="67">
      <c r="A67" s="8">
        <f>IF(B67="","",A66+1)</f>
        <v/>
      </c>
      <c r="B67" s="8">
        <f>IF(B66="","",IF(B66+$B$10&lt;=$B$9+1E-9,B66+$B$10,""))</f>
        <v/>
      </c>
      <c r="C67" s="8">
        <f>IF(B67="","",IF(B67&lt;- $F$7,"Left tangent",IF(B67&lt;=$F$7,"Parabolic curve","Right tangent")))</f>
        <v/>
      </c>
      <c r="D67" s="9">
        <f>IF(B67="","",IF(B67&lt;- $F$7,$B$5,IF(B67&lt;=$F$7,100*($F$5+$F$8*(B67+$F$7)),$B$6)))</f>
        <v/>
      </c>
      <c r="E67" s="10">
        <f>IF(B67="","",IF(B67&lt;- $F$7,$F$9+$F$5*(B67+$F$7),IF(B67&lt;=$F$7,$F$9+$F$5*(B67+$F$7)+0.5*$F$8*(B67+$F$7)^2,$F$10+$F$6*(B67-$F$7))))</f>
        <v/>
      </c>
      <c r="F67" s="10">
        <f>IF(E67="","",$B$12+E67)</f>
        <v/>
      </c>
      <c r="G67" s="10">
        <f>IF(B67="","",$B$11+B67)</f>
        <v/>
      </c>
      <c r="H67" s="8">
        <f>IF(B67="","",IF(ABS(B67)&lt;1E-9,"PVI",IF(ABS(B67+$F$7)&lt;$B$10/2,"PVC",IF(ABS(B67-$F$7)&lt;$B$10/2,"PVT",""))))</f>
        <v/>
      </c>
    </row>
    <row r="68">
      <c r="A68" s="8">
        <f>IF(B68="","",A67+1)</f>
        <v/>
      </c>
      <c r="B68" s="8">
        <f>IF(B67="","",IF(B67+$B$10&lt;=$B$9+1E-9,B67+$B$10,""))</f>
        <v/>
      </c>
      <c r="C68" s="8">
        <f>IF(B68="","",IF(B68&lt;- $F$7,"Left tangent",IF(B68&lt;=$F$7,"Parabolic curve","Right tangent")))</f>
        <v/>
      </c>
      <c r="D68" s="9">
        <f>IF(B68="","",IF(B68&lt;- $F$7,$B$5,IF(B68&lt;=$F$7,100*($F$5+$F$8*(B68+$F$7)),$B$6)))</f>
        <v/>
      </c>
      <c r="E68" s="10">
        <f>IF(B68="","",IF(B68&lt;- $F$7,$F$9+$F$5*(B68+$F$7),IF(B68&lt;=$F$7,$F$9+$F$5*(B68+$F$7)+0.5*$F$8*(B68+$F$7)^2,$F$10+$F$6*(B68-$F$7))))</f>
        <v/>
      </c>
      <c r="F68" s="10">
        <f>IF(E68="","",$B$12+E68)</f>
        <v/>
      </c>
      <c r="G68" s="10">
        <f>IF(B68="","",$B$11+B68)</f>
        <v/>
      </c>
      <c r="H68" s="8">
        <f>IF(B68="","",IF(ABS(B68)&lt;1E-9,"PVI",IF(ABS(B68+$F$7)&lt;$B$10/2,"PVC",IF(ABS(B68-$F$7)&lt;$B$10/2,"PVT",""))))</f>
        <v/>
      </c>
    </row>
    <row r="69">
      <c r="A69" s="8">
        <f>IF(B69="","",A68+1)</f>
        <v/>
      </c>
      <c r="B69" s="8">
        <f>IF(B68="","",IF(B68+$B$10&lt;=$B$9+1E-9,B68+$B$10,""))</f>
        <v/>
      </c>
      <c r="C69" s="8">
        <f>IF(B69="","",IF(B69&lt;- $F$7,"Left tangent",IF(B69&lt;=$F$7,"Parabolic curve","Right tangent")))</f>
        <v/>
      </c>
      <c r="D69" s="9">
        <f>IF(B69="","",IF(B69&lt;- $F$7,$B$5,IF(B69&lt;=$F$7,100*($F$5+$F$8*(B69+$F$7)),$B$6)))</f>
        <v/>
      </c>
      <c r="E69" s="10">
        <f>IF(B69="","",IF(B69&lt;- $F$7,$F$9+$F$5*(B69+$F$7),IF(B69&lt;=$F$7,$F$9+$F$5*(B69+$F$7)+0.5*$F$8*(B69+$F$7)^2,$F$10+$F$6*(B69-$F$7))))</f>
        <v/>
      </c>
      <c r="F69" s="10">
        <f>IF(E69="","",$B$12+E69)</f>
        <v/>
      </c>
      <c r="G69" s="10">
        <f>IF(B69="","",$B$11+B69)</f>
        <v/>
      </c>
      <c r="H69" s="8">
        <f>IF(B69="","",IF(ABS(B69)&lt;1E-9,"PVI",IF(ABS(B69+$F$7)&lt;$B$10/2,"PVC",IF(ABS(B69-$F$7)&lt;$B$10/2,"PVT",""))))</f>
        <v/>
      </c>
    </row>
    <row r="70">
      <c r="A70" s="8">
        <f>IF(B70="","",A69+1)</f>
        <v/>
      </c>
      <c r="B70" s="8">
        <f>IF(B69="","",IF(B69+$B$10&lt;=$B$9+1E-9,B69+$B$10,""))</f>
        <v/>
      </c>
      <c r="C70" s="8">
        <f>IF(B70="","",IF(B70&lt;- $F$7,"Left tangent",IF(B70&lt;=$F$7,"Parabolic curve","Right tangent")))</f>
        <v/>
      </c>
      <c r="D70" s="9">
        <f>IF(B70="","",IF(B70&lt;- $F$7,$B$5,IF(B70&lt;=$F$7,100*($F$5+$F$8*(B70+$F$7)),$B$6)))</f>
        <v/>
      </c>
      <c r="E70" s="10">
        <f>IF(B70="","",IF(B70&lt;- $F$7,$F$9+$F$5*(B70+$F$7),IF(B70&lt;=$F$7,$F$9+$F$5*(B70+$F$7)+0.5*$F$8*(B70+$F$7)^2,$F$10+$F$6*(B70-$F$7))))</f>
        <v/>
      </c>
      <c r="F70" s="10">
        <f>IF(E70="","",$B$12+E70)</f>
        <v/>
      </c>
      <c r="G70" s="10">
        <f>IF(B70="","",$B$11+B70)</f>
        <v/>
      </c>
      <c r="H70" s="8">
        <f>IF(B70="","",IF(ABS(B70)&lt;1E-9,"PVI",IF(ABS(B70+$F$7)&lt;$B$10/2,"PVC",IF(ABS(B70-$F$7)&lt;$B$10/2,"PVT",""))))</f>
        <v/>
      </c>
    </row>
    <row r="71">
      <c r="A71" s="8">
        <f>IF(B71="","",A70+1)</f>
        <v/>
      </c>
      <c r="B71" s="8">
        <f>IF(B70="","",IF(B70+$B$10&lt;=$B$9+1E-9,B70+$B$10,""))</f>
        <v/>
      </c>
      <c r="C71" s="8">
        <f>IF(B71="","",IF(B71&lt;- $F$7,"Left tangent",IF(B71&lt;=$F$7,"Parabolic curve","Right tangent")))</f>
        <v/>
      </c>
      <c r="D71" s="9">
        <f>IF(B71="","",IF(B71&lt;- $F$7,$B$5,IF(B71&lt;=$F$7,100*($F$5+$F$8*(B71+$F$7)),$B$6)))</f>
        <v/>
      </c>
      <c r="E71" s="10">
        <f>IF(B71="","",IF(B71&lt;- $F$7,$F$9+$F$5*(B71+$F$7),IF(B71&lt;=$F$7,$F$9+$F$5*(B71+$F$7)+0.5*$F$8*(B71+$F$7)^2,$F$10+$F$6*(B71-$F$7))))</f>
        <v/>
      </c>
      <c r="F71" s="10">
        <f>IF(E71="","",$B$12+E71)</f>
        <v/>
      </c>
      <c r="G71" s="10">
        <f>IF(B71="","",$B$11+B71)</f>
        <v/>
      </c>
      <c r="H71" s="8">
        <f>IF(B71="","",IF(ABS(B71)&lt;1E-9,"PVI",IF(ABS(B71+$F$7)&lt;$B$10/2,"PVC",IF(ABS(B71-$F$7)&lt;$B$10/2,"PVT",""))))</f>
        <v/>
      </c>
    </row>
    <row r="72">
      <c r="A72" s="8">
        <f>IF(B72="","",A71+1)</f>
        <v/>
      </c>
      <c r="B72" s="8">
        <f>IF(B71="","",IF(B71+$B$10&lt;=$B$9+1E-9,B71+$B$10,""))</f>
        <v/>
      </c>
      <c r="C72" s="8">
        <f>IF(B72="","",IF(B72&lt;- $F$7,"Left tangent",IF(B72&lt;=$F$7,"Parabolic curve","Right tangent")))</f>
        <v/>
      </c>
      <c r="D72" s="9">
        <f>IF(B72="","",IF(B72&lt;- $F$7,$B$5,IF(B72&lt;=$F$7,100*($F$5+$F$8*(B72+$F$7)),$B$6)))</f>
        <v/>
      </c>
      <c r="E72" s="10">
        <f>IF(B72="","",IF(B72&lt;- $F$7,$F$9+$F$5*(B72+$F$7),IF(B72&lt;=$F$7,$F$9+$F$5*(B72+$F$7)+0.5*$F$8*(B72+$F$7)^2,$F$10+$F$6*(B72-$F$7))))</f>
        <v/>
      </c>
      <c r="F72" s="10">
        <f>IF(E72="","",$B$12+E72)</f>
        <v/>
      </c>
      <c r="G72" s="10">
        <f>IF(B72="","",$B$11+B72)</f>
        <v/>
      </c>
      <c r="H72" s="8">
        <f>IF(B72="","",IF(ABS(B72)&lt;1E-9,"PVI",IF(ABS(B72+$F$7)&lt;$B$10/2,"PVC",IF(ABS(B72-$F$7)&lt;$B$10/2,"PVT",""))))</f>
        <v/>
      </c>
    </row>
    <row r="73">
      <c r="A73" s="8">
        <f>IF(B73="","",A72+1)</f>
        <v/>
      </c>
      <c r="B73" s="8">
        <f>IF(B72="","",IF(B72+$B$10&lt;=$B$9+1E-9,B72+$B$10,""))</f>
        <v/>
      </c>
      <c r="C73" s="8">
        <f>IF(B73="","",IF(B73&lt;- $F$7,"Left tangent",IF(B73&lt;=$F$7,"Parabolic curve","Right tangent")))</f>
        <v/>
      </c>
      <c r="D73" s="9">
        <f>IF(B73="","",IF(B73&lt;- $F$7,$B$5,IF(B73&lt;=$F$7,100*($F$5+$F$8*(B73+$F$7)),$B$6)))</f>
        <v/>
      </c>
      <c r="E73" s="10">
        <f>IF(B73="","",IF(B73&lt;- $F$7,$F$9+$F$5*(B73+$F$7),IF(B73&lt;=$F$7,$F$9+$F$5*(B73+$F$7)+0.5*$F$8*(B73+$F$7)^2,$F$10+$F$6*(B73-$F$7))))</f>
        <v/>
      </c>
      <c r="F73" s="10">
        <f>IF(E73="","",$B$12+E73)</f>
        <v/>
      </c>
      <c r="G73" s="10">
        <f>IF(B73="","",$B$11+B73)</f>
        <v/>
      </c>
      <c r="H73" s="8">
        <f>IF(B73="","",IF(ABS(B73)&lt;1E-9,"PVI",IF(ABS(B73+$F$7)&lt;$B$10/2,"PVC",IF(ABS(B73-$F$7)&lt;$B$10/2,"PVT",""))))</f>
        <v/>
      </c>
    </row>
    <row r="74">
      <c r="A74" s="8">
        <f>IF(B74="","",A73+1)</f>
        <v/>
      </c>
      <c r="B74" s="8">
        <f>IF(B73="","",IF(B73+$B$10&lt;=$B$9+1E-9,B73+$B$10,""))</f>
        <v/>
      </c>
      <c r="C74" s="8">
        <f>IF(B74="","",IF(B74&lt;- $F$7,"Left tangent",IF(B74&lt;=$F$7,"Parabolic curve","Right tangent")))</f>
        <v/>
      </c>
      <c r="D74" s="9">
        <f>IF(B74="","",IF(B74&lt;- $F$7,$B$5,IF(B74&lt;=$F$7,100*($F$5+$F$8*(B74+$F$7)),$B$6)))</f>
        <v/>
      </c>
      <c r="E74" s="10">
        <f>IF(B74="","",IF(B74&lt;- $F$7,$F$9+$F$5*(B74+$F$7),IF(B74&lt;=$F$7,$F$9+$F$5*(B74+$F$7)+0.5*$F$8*(B74+$F$7)^2,$F$10+$F$6*(B74-$F$7))))</f>
        <v/>
      </c>
      <c r="F74" s="10">
        <f>IF(E74="","",$B$12+E74)</f>
        <v/>
      </c>
      <c r="G74" s="10">
        <f>IF(B74="","",$B$11+B74)</f>
        <v/>
      </c>
      <c r="H74" s="8">
        <f>IF(B74="","",IF(ABS(B74)&lt;1E-9,"PVI",IF(ABS(B74+$F$7)&lt;$B$10/2,"PVC",IF(ABS(B74-$F$7)&lt;$B$10/2,"PVT",""))))</f>
        <v/>
      </c>
    </row>
    <row r="75">
      <c r="A75" s="8">
        <f>IF(B75="","",A74+1)</f>
        <v/>
      </c>
      <c r="B75" s="8">
        <f>IF(B74="","",IF(B74+$B$10&lt;=$B$9+1E-9,B74+$B$10,""))</f>
        <v/>
      </c>
      <c r="C75" s="8">
        <f>IF(B75="","",IF(B75&lt;- $F$7,"Left tangent",IF(B75&lt;=$F$7,"Parabolic curve","Right tangent")))</f>
        <v/>
      </c>
      <c r="D75" s="9">
        <f>IF(B75="","",IF(B75&lt;- $F$7,$B$5,IF(B75&lt;=$F$7,100*($F$5+$F$8*(B75+$F$7)),$B$6)))</f>
        <v/>
      </c>
      <c r="E75" s="10">
        <f>IF(B75="","",IF(B75&lt;- $F$7,$F$9+$F$5*(B75+$F$7),IF(B75&lt;=$F$7,$F$9+$F$5*(B75+$F$7)+0.5*$F$8*(B75+$F$7)^2,$F$10+$F$6*(B75-$F$7))))</f>
        <v/>
      </c>
      <c r="F75" s="10">
        <f>IF(E75="","",$B$12+E75)</f>
        <v/>
      </c>
      <c r="G75" s="10">
        <f>IF(B75="","",$B$11+B75)</f>
        <v/>
      </c>
      <c r="H75" s="8">
        <f>IF(B75="","",IF(ABS(B75)&lt;1E-9,"PVI",IF(ABS(B75+$F$7)&lt;$B$10/2,"PVC",IF(ABS(B75-$F$7)&lt;$B$10/2,"PVT",""))))</f>
        <v/>
      </c>
    </row>
    <row r="76">
      <c r="A76" s="8">
        <f>IF(B76="","",A75+1)</f>
        <v/>
      </c>
      <c r="B76" s="8">
        <f>IF(B75="","",IF(B75+$B$10&lt;=$B$9+1E-9,B75+$B$10,""))</f>
        <v/>
      </c>
      <c r="C76" s="8">
        <f>IF(B76="","",IF(B76&lt;- $F$7,"Left tangent",IF(B76&lt;=$F$7,"Parabolic curve","Right tangent")))</f>
        <v/>
      </c>
      <c r="D76" s="9">
        <f>IF(B76="","",IF(B76&lt;- $F$7,$B$5,IF(B76&lt;=$F$7,100*($F$5+$F$8*(B76+$F$7)),$B$6)))</f>
        <v/>
      </c>
      <c r="E76" s="10">
        <f>IF(B76="","",IF(B76&lt;- $F$7,$F$9+$F$5*(B76+$F$7),IF(B76&lt;=$F$7,$F$9+$F$5*(B76+$F$7)+0.5*$F$8*(B76+$F$7)^2,$F$10+$F$6*(B76-$F$7))))</f>
        <v/>
      </c>
      <c r="F76" s="10">
        <f>IF(E76="","",$B$12+E76)</f>
        <v/>
      </c>
      <c r="G76" s="10">
        <f>IF(B76="","",$B$11+B76)</f>
        <v/>
      </c>
      <c r="H76" s="8">
        <f>IF(B76="","",IF(ABS(B76)&lt;1E-9,"PVI",IF(ABS(B76+$F$7)&lt;$B$10/2,"PVC",IF(ABS(B76-$F$7)&lt;$B$10/2,"PVT",""))))</f>
        <v/>
      </c>
    </row>
    <row r="77">
      <c r="A77" s="8">
        <f>IF(B77="","",A76+1)</f>
        <v/>
      </c>
      <c r="B77" s="8">
        <f>IF(B76="","",IF(B76+$B$10&lt;=$B$9+1E-9,B76+$B$10,""))</f>
        <v/>
      </c>
      <c r="C77" s="8">
        <f>IF(B77="","",IF(B77&lt;- $F$7,"Left tangent",IF(B77&lt;=$F$7,"Parabolic curve","Right tangent")))</f>
        <v/>
      </c>
      <c r="D77" s="9">
        <f>IF(B77="","",IF(B77&lt;- $F$7,$B$5,IF(B77&lt;=$F$7,100*($F$5+$F$8*(B77+$F$7)),$B$6)))</f>
        <v/>
      </c>
      <c r="E77" s="10">
        <f>IF(B77="","",IF(B77&lt;- $F$7,$F$9+$F$5*(B77+$F$7),IF(B77&lt;=$F$7,$F$9+$F$5*(B77+$F$7)+0.5*$F$8*(B77+$F$7)^2,$F$10+$F$6*(B77-$F$7))))</f>
        <v/>
      </c>
      <c r="F77" s="10">
        <f>IF(E77="","",$B$12+E77)</f>
        <v/>
      </c>
      <c r="G77" s="10">
        <f>IF(B77="","",$B$11+B77)</f>
        <v/>
      </c>
      <c r="H77" s="8">
        <f>IF(B77="","",IF(ABS(B77)&lt;1E-9,"PVI",IF(ABS(B77+$F$7)&lt;$B$10/2,"PVC",IF(ABS(B77-$F$7)&lt;$B$10/2,"PVT",""))))</f>
        <v/>
      </c>
    </row>
    <row r="78">
      <c r="A78" s="8">
        <f>IF(B78="","",A77+1)</f>
        <v/>
      </c>
      <c r="B78" s="8">
        <f>IF(B77="","",IF(B77+$B$10&lt;=$B$9+1E-9,B77+$B$10,""))</f>
        <v/>
      </c>
      <c r="C78" s="8">
        <f>IF(B78="","",IF(B78&lt;- $F$7,"Left tangent",IF(B78&lt;=$F$7,"Parabolic curve","Right tangent")))</f>
        <v/>
      </c>
      <c r="D78" s="9">
        <f>IF(B78="","",IF(B78&lt;- $F$7,$B$5,IF(B78&lt;=$F$7,100*($F$5+$F$8*(B78+$F$7)),$B$6)))</f>
        <v/>
      </c>
      <c r="E78" s="10">
        <f>IF(B78="","",IF(B78&lt;- $F$7,$F$9+$F$5*(B78+$F$7),IF(B78&lt;=$F$7,$F$9+$F$5*(B78+$F$7)+0.5*$F$8*(B78+$F$7)^2,$F$10+$F$6*(B78-$F$7))))</f>
        <v/>
      </c>
      <c r="F78" s="10">
        <f>IF(E78="","",$B$12+E78)</f>
        <v/>
      </c>
      <c r="G78" s="10">
        <f>IF(B78="","",$B$11+B78)</f>
        <v/>
      </c>
      <c r="H78" s="8">
        <f>IF(B78="","",IF(ABS(B78)&lt;1E-9,"PVI",IF(ABS(B78+$F$7)&lt;$B$10/2,"PVC",IF(ABS(B78-$F$7)&lt;$B$10/2,"PVT",""))))</f>
        <v/>
      </c>
    </row>
    <row r="79">
      <c r="A79" s="8">
        <f>IF(B79="","",A78+1)</f>
        <v/>
      </c>
      <c r="B79" s="8">
        <f>IF(B78="","",IF(B78+$B$10&lt;=$B$9+1E-9,B78+$B$10,""))</f>
        <v/>
      </c>
      <c r="C79" s="8">
        <f>IF(B79="","",IF(B79&lt;- $F$7,"Left tangent",IF(B79&lt;=$F$7,"Parabolic curve","Right tangent")))</f>
        <v/>
      </c>
      <c r="D79" s="9">
        <f>IF(B79="","",IF(B79&lt;- $F$7,$B$5,IF(B79&lt;=$F$7,100*($F$5+$F$8*(B79+$F$7)),$B$6)))</f>
        <v/>
      </c>
      <c r="E79" s="10">
        <f>IF(B79="","",IF(B79&lt;- $F$7,$F$9+$F$5*(B79+$F$7),IF(B79&lt;=$F$7,$F$9+$F$5*(B79+$F$7)+0.5*$F$8*(B79+$F$7)^2,$F$10+$F$6*(B79-$F$7))))</f>
        <v/>
      </c>
      <c r="F79" s="10">
        <f>IF(E79="","",$B$12+E79)</f>
        <v/>
      </c>
      <c r="G79" s="10">
        <f>IF(B79="","",$B$11+B79)</f>
        <v/>
      </c>
      <c r="H79" s="8">
        <f>IF(B79="","",IF(ABS(B79)&lt;1E-9,"PVI",IF(ABS(B79+$F$7)&lt;$B$10/2,"PVC",IF(ABS(B79-$F$7)&lt;$B$10/2,"PVT",""))))</f>
        <v/>
      </c>
    </row>
    <row r="80">
      <c r="A80" s="8">
        <f>IF(B80="","",A79+1)</f>
        <v/>
      </c>
      <c r="B80" s="8">
        <f>IF(B79="","",IF(B79+$B$10&lt;=$B$9+1E-9,B79+$B$10,""))</f>
        <v/>
      </c>
      <c r="C80" s="8">
        <f>IF(B80="","",IF(B80&lt;- $F$7,"Left tangent",IF(B80&lt;=$F$7,"Parabolic curve","Right tangent")))</f>
        <v/>
      </c>
      <c r="D80" s="9">
        <f>IF(B80="","",IF(B80&lt;- $F$7,$B$5,IF(B80&lt;=$F$7,100*($F$5+$F$8*(B80+$F$7)),$B$6)))</f>
        <v/>
      </c>
      <c r="E80" s="10">
        <f>IF(B80="","",IF(B80&lt;- $F$7,$F$9+$F$5*(B80+$F$7),IF(B80&lt;=$F$7,$F$9+$F$5*(B80+$F$7)+0.5*$F$8*(B80+$F$7)^2,$F$10+$F$6*(B80-$F$7))))</f>
        <v/>
      </c>
      <c r="F80" s="10">
        <f>IF(E80="","",$B$12+E80)</f>
        <v/>
      </c>
      <c r="G80" s="10">
        <f>IF(B80="","",$B$11+B80)</f>
        <v/>
      </c>
      <c r="H80" s="8">
        <f>IF(B80="","",IF(ABS(B80)&lt;1E-9,"PVI",IF(ABS(B80+$F$7)&lt;$B$10/2,"PVC",IF(ABS(B80-$F$7)&lt;$B$10/2,"PVT",""))))</f>
        <v/>
      </c>
    </row>
    <row r="81">
      <c r="A81" s="8">
        <f>IF(B81="","",A80+1)</f>
        <v/>
      </c>
      <c r="B81" s="8">
        <f>IF(B80="","",IF(B80+$B$10&lt;=$B$9+1E-9,B80+$B$10,""))</f>
        <v/>
      </c>
      <c r="C81" s="8">
        <f>IF(B81="","",IF(B81&lt;- $F$7,"Left tangent",IF(B81&lt;=$F$7,"Parabolic curve","Right tangent")))</f>
        <v/>
      </c>
      <c r="D81" s="9">
        <f>IF(B81="","",IF(B81&lt;- $F$7,$B$5,IF(B81&lt;=$F$7,100*($F$5+$F$8*(B81+$F$7)),$B$6)))</f>
        <v/>
      </c>
      <c r="E81" s="10">
        <f>IF(B81="","",IF(B81&lt;- $F$7,$F$9+$F$5*(B81+$F$7),IF(B81&lt;=$F$7,$F$9+$F$5*(B81+$F$7)+0.5*$F$8*(B81+$F$7)^2,$F$10+$F$6*(B81-$F$7))))</f>
        <v/>
      </c>
      <c r="F81" s="10">
        <f>IF(E81="","",$B$12+E81)</f>
        <v/>
      </c>
      <c r="G81" s="10">
        <f>IF(B81="","",$B$11+B81)</f>
        <v/>
      </c>
      <c r="H81" s="8">
        <f>IF(B81="","",IF(ABS(B81)&lt;1E-9,"PVI",IF(ABS(B81+$F$7)&lt;$B$10/2,"PVC",IF(ABS(B81-$F$7)&lt;$B$10/2,"PVT",""))))</f>
        <v/>
      </c>
    </row>
    <row r="82">
      <c r="A82" s="8">
        <f>IF(B82="","",A81+1)</f>
        <v/>
      </c>
      <c r="B82" s="8">
        <f>IF(B81="","",IF(B81+$B$10&lt;=$B$9+1E-9,B81+$B$10,""))</f>
        <v/>
      </c>
      <c r="C82" s="8">
        <f>IF(B82="","",IF(B82&lt;- $F$7,"Left tangent",IF(B82&lt;=$F$7,"Parabolic curve","Right tangent")))</f>
        <v/>
      </c>
      <c r="D82" s="9">
        <f>IF(B82="","",IF(B82&lt;- $F$7,$B$5,IF(B82&lt;=$F$7,100*($F$5+$F$8*(B82+$F$7)),$B$6)))</f>
        <v/>
      </c>
      <c r="E82" s="10">
        <f>IF(B82="","",IF(B82&lt;- $F$7,$F$9+$F$5*(B82+$F$7),IF(B82&lt;=$F$7,$F$9+$F$5*(B82+$F$7)+0.5*$F$8*(B82+$F$7)^2,$F$10+$F$6*(B82-$F$7))))</f>
        <v/>
      </c>
      <c r="F82" s="10">
        <f>IF(E82="","",$B$12+E82)</f>
        <v/>
      </c>
      <c r="G82" s="10">
        <f>IF(B82="","",$B$11+B82)</f>
        <v/>
      </c>
      <c r="H82" s="8">
        <f>IF(B82="","",IF(ABS(B82)&lt;1E-9,"PVI",IF(ABS(B82+$F$7)&lt;$B$10/2,"PVC",IF(ABS(B82-$F$7)&lt;$B$10/2,"PVT",""))))</f>
        <v/>
      </c>
    </row>
    <row r="83">
      <c r="A83" s="8">
        <f>IF(B83="","",A82+1)</f>
        <v/>
      </c>
      <c r="B83" s="8">
        <f>IF(B82="","",IF(B82+$B$10&lt;=$B$9+1E-9,B82+$B$10,""))</f>
        <v/>
      </c>
      <c r="C83" s="8">
        <f>IF(B83="","",IF(B83&lt;- $F$7,"Left tangent",IF(B83&lt;=$F$7,"Parabolic curve","Right tangent")))</f>
        <v/>
      </c>
      <c r="D83" s="9">
        <f>IF(B83="","",IF(B83&lt;- $F$7,$B$5,IF(B83&lt;=$F$7,100*($F$5+$F$8*(B83+$F$7)),$B$6)))</f>
        <v/>
      </c>
      <c r="E83" s="10">
        <f>IF(B83="","",IF(B83&lt;- $F$7,$F$9+$F$5*(B83+$F$7),IF(B83&lt;=$F$7,$F$9+$F$5*(B83+$F$7)+0.5*$F$8*(B83+$F$7)^2,$F$10+$F$6*(B83-$F$7))))</f>
        <v/>
      </c>
      <c r="F83" s="10">
        <f>IF(E83="","",$B$12+E83)</f>
        <v/>
      </c>
      <c r="G83" s="10">
        <f>IF(B83="","",$B$11+B83)</f>
        <v/>
      </c>
      <c r="H83" s="8">
        <f>IF(B83="","",IF(ABS(B83)&lt;1E-9,"PVI",IF(ABS(B83+$F$7)&lt;$B$10/2,"PVC",IF(ABS(B83-$F$7)&lt;$B$10/2,"PVT",""))))</f>
        <v/>
      </c>
    </row>
    <row r="84">
      <c r="A84" s="8">
        <f>IF(B84="","",A83+1)</f>
        <v/>
      </c>
      <c r="B84" s="8">
        <f>IF(B83="","",IF(B83+$B$10&lt;=$B$9+1E-9,B83+$B$10,""))</f>
        <v/>
      </c>
      <c r="C84" s="8">
        <f>IF(B84="","",IF(B84&lt;- $F$7,"Left tangent",IF(B84&lt;=$F$7,"Parabolic curve","Right tangent")))</f>
        <v/>
      </c>
      <c r="D84" s="9">
        <f>IF(B84="","",IF(B84&lt;- $F$7,$B$5,IF(B84&lt;=$F$7,100*($F$5+$F$8*(B84+$F$7)),$B$6)))</f>
        <v/>
      </c>
      <c r="E84" s="10">
        <f>IF(B84="","",IF(B84&lt;- $F$7,$F$9+$F$5*(B84+$F$7),IF(B84&lt;=$F$7,$F$9+$F$5*(B84+$F$7)+0.5*$F$8*(B84+$F$7)^2,$F$10+$F$6*(B84-$F$7))))</f>
        <v/>
      </c>
      <c r="F84" s="10">
        <f>IF(E84="","",$B$12+E84)</f>
        <v/>
      </c>
      <c r="G84" s="10">
        <f>IF(B84="","",$B$11+B84)</f>
        <v/>
      </c>
      <c r="H84" s="8">
        <f>IF(B84="","",IF(ABS(B84)&lt;1E-9,"PVI",IF(ABS(B84+$F$7)&lt;$B$10/2,"PVC",IF(ABS(B84-$F$7)&lt;$B$10/2,"PVT",""))))</f>
        <v/>
      </c>
    </row>
    <row r="85">
      <c r="A85" s="8">
        <f>IF(B85="","",A84+1)</f>
        <v/>
      </c>
      <c r="B85" s="8">
        <f>IF(B84="","",IF(B84+$B$10&lt;=$B$9+1E-9,B84+$B$10,""))</f>
        <v/>
      </c>
      <c r="C85" s="8">
        <f>IF(B85="","",IF(B85&lt;- $F$7,"Left tangent",IF(B85&lt;=$F$7,"Parabolic curve","Right tangent")))</f>
        <v/>
      </c>
      <c r="D85" s="9">
        <f>IF(B85="","",IF(B85&lt;- $F$7,$B$5,IF(B85&lt;=$F$7,100*($F$5+$F$8*(B85+$F$7)),$B$6)))</f>
        <v/>
      </c>
      <c r="E85" s="10">
        <f>IF(B85="","",IF(B85&lt;- $F$7,$F$9+$F$5*(B85+$F$7),IF(B85&lt;=$F$7,$F$9+$F$5*(B85+$F$7)+0.5*$F$8*(B85+$F$7)^2,$F$10+$F$6*(B85-$F$7))))</f>
        <v/>
      </c>
      <c r="F85" s="10">
        <f>IF(E85="","",$B$12+E85)</f>
        <v/>
      </c>
      <c r="G85" s="10">
        <f>IF(B85="","",$B$11+B85)</f>
        <v/>
      </c>
      <c r="H85" s="8">
        <f>IF(B85="","",IF(ABS(B85)&lt;1E-9,"PVI",IF(ABS(B85+$F$7)&lt;$B$10/2,"PVC",IF(ABS(B85-$F$7)&lt;$B$10/2,"PVT",""))))</f>
        <v/>
      </c>
    </row>
    <row r="86">
      <c r="A86" s="8">
        <f>IF(B86="","",A85+1)</f>
        <v/>
      </c>
      <c r="B86" s="8">
        <f>IF(B85="","",IF(B85+$B$10&lt;=$B$9+1E-9,B85+$B$10,""))</f>
        <v/>
      </c>
      <c r="C86" s="8">
        <f>IF(B86="","",IF(B86&lt;- $F$7,"Left tangent",IF(B86&lt;=$F$7,"Parabolic curve","Right tangent")))</f>
        <v/>
      </c>
      <c r="D86" s="9">
        <f>IF(B86="","",IF(B86&lt;- $F$7,$B$5,IF(B86&lt;=$F$7,100*($F$5+$F$8*(B86+$F$7)),$B$6)))</f>
        <v/>
      </c>
      <c r="E86" s="10">
        <f>IF(B86="","",IF(B86&lt;- $F$7,$F$9+$F$5*(B86+$F$7),IF(B86&lt;=$F$7,$F$9+$F$5*(B86+$F$7)+0.5*$F$8*(B86+$F$7)^2,$F$10+$F$6*(B86-$F$7))))</f>
        <v/>
      </c>
      <c r="F86" s="10">
        <f>IF(E86="","",$B$12+E86)</f>
        <v/>
      </c>
      <c r="G86" s="10">
        <f>IF(B86="","",$B$11+B86)</f>
        <v/>
      </c>
      <c r="H86" s="8">
        <f>IF(B86="","",IF(ABS(B86)&lt;1E-9,"PVI",IF(ABS(B86+$F$7)&lt;$B$10/2,"PVC",IF(ABS(B86-$F$7)&lt;$B$10/2,"PVT",""))))</f>
        <v/>
      </c>
    </row>
    <row r="87">
      <c r="A87" s="8">
        <f>IF(B87="","",A86+1)</f>
        <v/>
      </c>
      <c r="B87" s="8">
        <f>IF(B86="","",IF(B86+$B$10&lt;=$B$9+1E-9,B86+$B$10,""))</f>
        <v/>
      </c>
      <c r="C87" s="8">
        <f>IF(B87="","",IF(B87&lt;- $F$7,"Left tangent",IF(B87&lt;=$F$7,"Parabolic curve","Right tangent")))</f>
        <v/>
      </c>
      <c r="D87" s="9">
        <f>IF(B87="","",IF(B87&lt;- $F$7,$B$5,IF(B87&lt;=$F$7,100*($F$5+$F$8*(B87+$F$7)),$B$6)))</f>
        <v/>
      </c>
      <c r="E87" s="10">
        <f>IF(B87="","",IF(B87&lt;- $F$7,$F$9+$F$5*(B87+$F$7),IF(B87&lt;=$F$7,$F$9+$F$5*(B87+$F$7)+0.5*$F$8*(B87+$F$7)^2,$F$10+$F$6*(B87-$F$7))))</f>
        <v/>
      </c>
      <c r="F87" s="10">
        <f>IF(E87="","",$B$12+E87)</f>
        <v/>
      </c>
      <c r="G87" s="10">
        <f>IF(B87="","",$B$11+B87)</f>
        <v/>
      </c>
      <c r="H87" s="8">
        <f>IF(B87="","",IF(ABS(B87)&lt;1E-9,"PVI",IF(ABS(B87+$F$7)&lt;$B$10/2,"PVC",IF(ABS(B87-$F$7)&lt;$B$10/2,"PVT",""))))</f>
        <v/>
      </c>
    </row>
    <row r="88">
      <c r="A88" s="8">
        <f>IF(B88="","",A87+1)</f>
        <v/>
      </c>
      <c r="B88" s="8">
        <f>IF(B87="","",IF(B87+$B$10&lt;=$B$9+1E-9,B87+$B$10,""))</f>
        <v/>
      </c>
      <c r="C88" s="8">
        <f>IF(B88="","",IF(B88&lt;- $F$7,"Left tangent",IF(B88&lt;=$F$7,"Parabolic curve","Right tangent")))</f>
        <v/>
      </c>
      <c r="D88" s="9">
        <f>IF(B88="","",IF(B88&lt;- $F$7,$B$5,IF(B88&lt;=$F$7,100*($F$5+$F$8*(B88+$F$7)),$B$6)))</f>
        <v/>
      </c>
      <c r="E88" s="10">
        <f>IF(B88="","",IF(B88&lt;- $F$7,$F$9+$F$5*(B88+$F$7),IF(B88&lt;=$F$7,$F$9+$F$5*(B88+$F$7)+0.5*$F$8*(B88+$F$7)^2,$F$10+$F$6*(B88-$F$7))))</f>
        <v/>
      </c>
      <c r="F88" s="10">
        <f>IF(E88="","",$B$12+E88)</f>
        <v/>
      </c>
      <c r="G88" s="10">
        <f>IF(B88="","",$B$11+B88)</f>
        <v/>
      </c>
      <c r="H88" s="8">
        <f>IF(B88="","",IF(ABS(B88)&lt;1E-9,"PVI",IF(ABS(B88+$F$7)&lt;$B$10/2,"PVC",IF(ABS(B88-$F$7)&lt;$B$10/2,"PVT",""))))</f>
        <v/>
      </c>
    </row>
    <row r="89">
      <c r="A89" s="8">
        <f>IF(B89="","",A88+1)</f>
        <v/>
      </c>
      <c r="B89" s="8">
        <f>IF(B88="","",IF(B88+$B$10&lt;=$B$9+1E-9,B88+$B$10,""))</f>
        <v/>
      </c>
      <c r="C89" s="8">
        <f>IF(B89="","",IF(B89&lt;- $F$7,"Left tangent",IF(B89&lt;=$F$7,"Parabolic curve","Right tangent")))</f>
        <v/>
      </c>
      <c r="D89" s="9">
        <f>IF(B89="","",IF(B89&lt;- $F$7,$B$5,IF(B89&lt;=$F$7,100*($F$5+$F$8*(B89+$F$7)),$B$6)))</f>
        <v/>
      </c>
      <c r="E89" s="10">
        <f>IF(B89="","",IF(B89&lt;- $F$7,$F$9+$F$5*(B89+$F$7),IF(B89&lt;=$F$7,$F$9+$F$5*(B89+$F$7)+0.5*$F$8*(B89+$F$7)^2,$F$10+$F$6*(B89-$F$7))))</f>
        <v/>
      </c>
      <c r="F89" s="10">
        <f>IF(E89="","",$B$12+E89)</f>
        <v/>
      </c>
      <c r="G89" s="10">
        <f>IF(B89="","",$B$11+B89)</f>
        <v/>
      </c>
      <c r="H89" s="8">
        <f>IF(B89="","",IF(ABS(B89)&lt;1E-9,"PVI",IF(ABS(B89+$F$7)&lt;$B$10/2,"PVC",IF(ABS(B89-$F$7)&lt;$B$10/2,"PVT",""))))</f>
        <v/>
      </c>
    </row>
    <row r="90">
      <c r="A90" s="8">
        <f>IF(B90="","",A89+1)</f>
        <v/>
      </c>
      <c r="B90" s="8">
        <f>IF(B89="","",IF(B89+$B$10&lt;=$B$9+1E-9,B89+$B$10,""))</f>
        <v/>
      </c>
      <c r="C90" s="8">
        <f>IF(B90="","",IF(B90&lt;- $F$7,"Left tangent",IF(B90&lt;=$F$7,"Parabolic curve","Right tangent")))</f>
        <v/>
      </c>
      <c r="D90" s="9">
        <f>IF(B90="","",IF(B90&lt;- $F$7,$B$5,IF(B90&lt;=$F$7,100*($F$5+$F$8*(B90+$F$7)),$B$6)))</f>
        <v/>
      </c>
      <c r="E90" s="10">
        <f>IF(B90="","",IF(B90&lt;- $F$7,$F$9+$F$5*(B90+$F$7),IF(B90&lt;=$F$7,$F$9+$F$5*(B90+$F$7)+0.5*$F$8*(B90+$F$7)^2,$F$10+$F$6*(B90-$F$7))))</f>
        <v/>
      </c>
      <c r="F90" s="10">
        <f>IF(E90="","",$B$12+E90)</f>
        <v/>
      </c>
      <c r="G90" s="10">
        <f>IF(B90="","",$B$11+B90)</f>
        <v/>
      </c>
      <c r="H90" s="8">
        <f>IF(B90="","",IF(ABS(B90)&lt;1E-9,"PVI",IF(ABS(B90+$F$7)&lt;$B$10/2,"PVC",IF(ABS(B90-$F$7)&lt;$B$10/2,"PVT",""))))</f>
        <v/>
      </c>
    </row>
    <row r="91">
      <c r="A91" s="8">
        <f>IF(B91="","",A90+1)</f>
        <v/>
      </c>
      <c r="B91" s="8">
        <f>IF(B90="","",IF(B90+$B$10&lt;=$B$9+1E-9,B90+$B$10,""))</f>
        <v/>
      </c>
      <c r="C91" s="8">
        <f>IF(B91="","",IF(B91&lt;- $F$7,"Left tangent",IF(B91&lt;=$F$7,"Parabolic curve","Right tangent")))</f>
        <v/>
      </c>
      <c r="D91" s="9">
        <f>IF(B91="","",IF(B91&lt;- $F$7,$B$5,IF(B91&lt;=$F$7,100*($F$5+$F$8*(B91+$F$7)),$B$6)))</f>
        <v/>
      </c>
      <c r="E91" s="10">
        <f>IF(B91="","",IF(B91&lt;- $F$7,$F$9+$F$5*(B91+$F$7),IF(B91&lt;=$F$7,$F$9+$F$5*(B91+$F$7)+0.5*$F$8*(B91+$F$7)^2,$F$10+$F$6*(B91-$F$7))))</f>
        <v/>
      </c>
      <c r="F91" s="10">
        <f>IF(E91="","",$B$12+E91)</f>
        <v/>
      </c>
      <c r="G91" s="10">
        <f>IF(B91="","",$B$11+B91)</f>
        <v/>
      </c>
      <c r="H91" s="8">
        <f>IF(B91="","",IF(ABS(B91)&lt;1E-9,"PVI",IF(ABS(B91+$F$7)&lt;$B$10/2,"PVC",IF(ABS(B91-$F$7)&lt;$B$10/2,"PVT",""))))</f>
        <v/>
      </c>
    </row>
    <row r="92">
      <c r="A92" s="8">
        <f>IF(B92="","",A91+1)</f>
        <v/>
      </c>
      <c r="B92" s="8">
        <f>IF(B91="","",IF(B91+$B$10&lt;=$B$9+1E-9,B91+$B$10,""))</f>
        <v/>
      </c>
      <c r="C92" s="8">
        <f>IF(B92="","",IF(B92&lt;- $F$7,"Left tangent",IF(B92&lt;=$F$7,"Parabolic curve","Right tangent")))</f>
        <v/>
      </c>
      <c r="D92" s="9">
        <f>IF(B92="","",IF(B92&lt;- $F$7,$B$5,IF(B92&lt;=$F$7,100*($F$5+$F$8*(B92+$F$7)),$B$6)))</f>
        <v/>
      </c>
      <c r="E92" s="10">
        <f>IF(B92="","",IF(B92&lt;- $F$7,$F$9+$F$5*(B92+$F$7),IF(B92&lt;=$F$7,$F$9+$F$5*(B92+$F$7)+0.5*$F$8*(B92+$F$7)^2,$F$10+$F$6*(B92-$F$7))))</f>
        <v/>
      </c>
      <c r="F92" s="10">
        <f>IF(E92="","",$B$12+E92)</f>
        <v/>
      </c>
      <c r="G92" s="10">
        <f>IF(B92="","",$B$11+B92)</f>
        <v/>
      </c>
      <c r="H92" s="8">
        <f>IF(B92="","",IF(ABS(B92)&lt;1E-9,"PVI",IF(ABS(B92+$F$7)&lt;$B$10/2,"PVC",IF(ABS(B92-$F$7)&lt;$B$10/2,"PVT",""))))</f>
        <v/>
      </c>
    </row>
    <row r="93">
      <c r="A93" s="8">
        <f>IF(B93="","",A92+1)</f>
        <v/>
      </c>
      <c r="B93" s="8">
        <f>IF(B92="","",IF(B92+$B$10&lt;=$B$9+1E-9,B92+$B$10,""))</f>
        <v/>
      </c>
      <c r="C93" s="8">
        <f>IF(B93="","",IF(B93&lt;- $F$7,"Left tangent",IF(B93&lt;=$F$7,"Parabolic curve","Right tangent")))</f>
        <v/>
      </c>
      <c r="D93" s="9">
        <f>IF(B93="","",IF(B93&lt;- $F$7,$B$5,IF(B93&lt;=$F$7,100*($F$5+$F$8*(B93+$F$7)),$B$6)))</f>
        <v/>
      </c>
      <c r="E93" s="10">
        <f>IF(B93="","",IF(B93&lt;- $F$7,$F$9+$F$5*(B93+$F$7),IF(B93&lt;=$F$7,$F$9+$F$5*(B93+$F$7)+0.5*$F$8*(B93+$F$7)^2,$F$10+$F$6*(B93-$F$7))))</f>
        <v/>
      </c>
      <c r="F93" s="10">
        <f>IF(E93="","",$B$12+E93)</f>
        <v/>
      </c>
      <c r="G93" s="10">
        <f>IF(B93="","",$B$11+B93)</f>
        <v/>
      </c>
      <c r="H93" s="8">
        <f>IF(B93="","",IF(ABS(B93)&lt;1E-9,"PVI",IF(ABS(B93+$F$7)&lt;$B$10/2,"PVC",IF(ABS(B93-$F$7)&lt;$B$10/2,"PVT",""))))</f>
        <v/>
      </c>
    </row>
    <row r="94">
      <c r="A94" s="8">
        <f>IF(B94="","",A93+1)</f>
        <v/>
      </c>
      <c r="B94" s="8">
        <f>IF(B93="","",IF(B93+$B$10&lt;=$B$9+1E-9,B93+$B$10,""))</f>
        <v/>
      </c>
      <c r="C94" s="8">
        <f>IF(B94="","",IF(B94&lt;- $F$7,"Left tangent",IF(B94&lt;=$F$7,"Parabolic curve","Right tangent")))</f>
        <v/>
      </c>
      <c r="D94" s="9">
        <f>IF(B94="","",IF(B94&lt;- $F$7,$B$5,IF(B94&lt;=$F$7,100*($F$5+$F$8*(B94+$F$7)),$B$6)))</f>
        <v/>
      </c>
      <c r="E94" s="10">
        <f>IF(B94="","",IF(B94&lt;- $F$7,$F$9+$F$5*(B94+$F$7),IF(B94&lt;=$F$7,$F$9+$F$5*(B94+$F$7)+0.5*$F$8*(B94+$F$7)^2,$F$10+$F$6*(B94-$F$7))))</f>
        <v/>
      </c>
      <c r="F94" s="10">
        <f>IF(E94="","",$B$12+E94)</f>
        <v/>
      </c>
      <c r="G94" s="10">
        <f>IF(B94="","",$B$11+B94)</f>
        <v/>
      </c>
      <c r="H94" s="8">
        <f>IF(B94="","",IF(ABS(B94)&lt;1E-9,"PVI",IF(ABS(B94+$F$7)&lt;$B$10/2,"PVC",IF(ABS(B94-$F$7)&lt;$B$10/2,"PVT",""))))</f>
        <v/>
      </c>
    </row>
    <row r="95">
      <c r="A95" s="8">
        <f>IF(B95="","",A94+1)</f>
        <v/>
      </c>
      <c r="B95" s="8">
        <f>IF(B94="","",IF(B94+$B$10&lt;=$B$9+1E-9,B94+$B$10,""))</f>
        <v/>
      </c>
      <c r="C95" s="8">
        <f>IF(B95="","",IF(B95&lt;- $F$7,"Left tangent",IF(B95&lt;=$F$7,"Parabolic curve","Right tangent")))</f>
        <v/>
      </c>
      <c r="D95" s="9">
        <f>IF(B95="","",IF(B95&lt;- $F$7,$B$5,IF(B95&lt;=$F$7,100*($F$5+$F$8*(B95+$F$7)),$B$6)))</f>
        <v/>
      </c>
      <c r="E95" s="10">
        <f>IF(B95="","",IF(B95&lt;- $F$7,$F$9+$F$5*(B95+$F$7),IF(B95&lt;=$F$7,$F$9+$F$5*(B95+$F$7)+0.5*$F$8*(B95+$F$7)^2,$F$10+$F$6*(B95-$F$7))))</f>
        <v/>
      </c>
      <c r="F95" s="10">
        <f>IF(E95="","",$B$12+E95)</f>
        <v/>
      </c>
      <c r="G95" s="10">
        <f>IF(B95="","",$B$11+B95)</f>
        <v/>
      </c>
      <c r="H95" s="8">
        <f>IF(B95="","",IF(ABS(B95)&lt;1E-9,"PVI",IF(ABS(B95+$F$7)&lt;$B$10/2,"PVC",IF(ABS(B95-$F$7)&lt;$B$10/2,"PVT",""))))</f>
        <v/>
      </c>
    </row>
    <row r="96">
      <c r="A96" s="8">
        <f>IF(B96="","",A95+1)</f>
        <v/>
      </c>
      <c r="B96" s="8">
        <f>IF(B95="","",IF(B95+$B$10&lt;=$B$9+1E-9,B95+$B$10,""))</f>
        <v/>
      </c>
      <c r="C96" s="8">
        <f>IF(B96="","",IF(B96&lt;- $F$7,"Left tangent",IF(B96&lt;=$F$7,"Parabolic curve","Right tangent")))</f>
        <v/>
      </c>
      <c r="D96" s="9">
        <f>IF(B96="","",IF(B96&lt;- $F$7,$B$5,IF(B96&lt;=$F$7,100*($F$5+$F$8*(B96+$F$7)),$B$6)))</f>
        <v/>
      </c>
      <c r="E96" s="10">
        <f>IF(B96="","",IF(B96&lt;- $F$7,$F$9+$F$5*(B96+$F$7),IF(B96&lt;=$F$7,$F$9+$F$5*(B96+$F$7)+0.5*$F$8*(B96+$F$7)^2,$F$10+$F$6*(B96-$F$7))))</f>
        <v/>
      </c>
      <c r="F96" s="10">
        <f>IF(E96="","",$B$12+E96)</f>
        <v/>
      </c>
      <c r="G96" s="10">
        <f>IF(B96="","",$B$11+B96)</f>
        <v/>
      </c>
      <c r="H96" s="8">
        <f>IF(B96="","",IF(ABS(B96)&lt;1E-9,"PVI",IF(ABS(B96+$F$7)&lt;$B$10/2,"PVC",IF(ABS(B96-$F$7)&lt;$B$10/2,"PVT",""))))</f>
        <v/>
      </c>
    </row>
    <row r="97">
      <c r="A97" s="8">
        <f>IF(B97="","",A96+1)</f>
        <v/>
      </c>
      <c r="B97" s="8">
        <f>IF(B96="","",IF(B96+$B$10&lt;=$B$9+1E-9,B96+$B$10,""))</f>
        <v/>
      </c>
      <c r="C97" s="8">
        <f>IF(B97="","",IF(B97&lt;- $F$7,"Left tangent",IF(B97&lt;=$F$7,"Parabolic curve","Right tangent")))</f>
        <v/>
      </c>
      <c r="D97" s="9">
        <f>IF(B97="","",IF(B97&lt;- $F$7,$B$5,IF(B97&lt;=$F$7,100*($F$5+$F$8*(B97+$F$7)),$B$6)))</f>
        <v/>
      </c>
      <c r="E97" s="10">
        <f>IF(B97="","",IF(B97&lt;- $F$7,$F$9+$F$5*(B97+$F$7),IF(B97&lt;=$F$7,$F$9+$F$5*(B97+$F$7)+0.5*$F$8*(B97+$F$7)^2,$F$10+$F$6*(B97-$F$7))))</f>
        <v/>
      </c>
      <c r="F97" s="10">
        <f>IF(E97="","",$B$12+E97)</f>
        <v/>
      </c>
      <c r="G97" s="10">
        <f>IF(B97="","",$B$11+B97)</f>
        <v/>
      </c>
      <c r="H97" s="8">
        <f>IF(B97="","",IF(ABS(B97)&lt;1E-9,"PVI",IF(ABS(B97+$F$7)&lt;$B$10/2,"PVC",IF(ABS(B97-$F$7)&lt;$B$10/2,"PVT",""))))</f>
        <v/>
      </c>
    </row>
    <row r="98">
      <c r="A98" s="8">
        <f>IF(B98="","",A97+1)</f>
        <v/>
      </c>
      <c r="B98" s="8">
        <f>IF(B97="","",IF(B97+$B$10&lt;=$B$9+1E-9,B97+$B$10,""))</f>
        <v/>
      </c>
      <c r="C98" s="8">
        <f>IF(B98="","",IF(B98&lt;- $F$7,"Left tangent",IF(B98&lt;=$F$7,"Parabolic curve","Right tangent")))</f>
        <v/>
      </c>
      <c r="D98" s="9">
        <f>IF(B98="","",IF(B98&lt;- $F$7,$B$5,IF(B98&lt;=$F$7,100*($F$5+$F$8*(B98+$F$7)),$B$6)))</f>
        <v/>
      </c>
      <c r="E98" s="10">
        <f>IF(B98="","",IF(B98&lt;- $F$7,$F$9+$F$5*(B98+$F$7),IF(B98&lt;=$F$7,$F$9+$F$5*(B98+$F$7)+0.5*$F$8*(B98+$F$7)^2,$F$10+$F$6*(B98-$F$7))))</f>
        <v/>
      </c>
      <c r="F98" s="10">
        <f>IF(E98="","",$B$12+E98)</f>
        <v/>
      </c>
      <c r="G98" s="10">
        <f>IF(B98="","",$B$11+B98)</f>
        <v/>
      </c>
      <c r="H98" s="8">
        <f>IF(B98="","",IF(ABS(B98)&lt;1E-9,"PVI",IF(ABS(B98+$F$7)&lt;$B$10/2,"PVC",IF(ABS(B98-$F$7)&lt;$B$10/2,"PVT",""))))</f>
        <v/>
      </c>
    </row>
    <row r="99">
      <c r="A99" s="8">
        <f>IF(B99="","",A98+1)</f>
        <v/>
      </c>
      <c r="B99" s="8">
        <f>IF(B98="","",IF(B98+$B$10&lt;=$B$9+1E-9,B98+$B$10,""))</f>
        <v/>
      </c>
      <c r="C99" s="8">
        <f>IF(B99="","",IF(B99&lt;- $F$7,"Left tangent",IF(B99&lt;=$F$7,"Parabolic curve","Right tangent")))</f>
        <v/>
      </c>
      <c r="D99" s="9">
        <f>IF(B99="","",IF(B99&lt;- $F$7,$B$5,IF(B99&lt;=$F$7,100*($F$5+$F$8*(B99+$F$7)),$B$6)))</f>
        <v/>
      </c>
      <c r="E99" s="10">
        <f>IF(B99="","",IF(B99&lt;- $F$7,$F$9+$F$5*(B99+$F$7),IF(B99&lt;=$F$7,$F$9+$F$5*(B99+$F$7)+0.5*$F$8*(B99+$F$7)^2,$F$10+$F$6*(B99-$F$7))))</f>
        <v/>
      </c>
      <c r="F99" s="10">
        <f>IF(E99="","",$B$12+E99)</f>
        <v/>
      </c>
      <c r="G99" s="10">
        <f>IF(B99="","",$B$11+B99)</f>
        <v/>
      </c>
      <c r="H99" s="8">
        <f>IF(B99="","",IF(ABS(B99)&lt;1E-9,"PVI",IF(ABS(B99+$F$7)&lt;$B$10/2,"PVC",IF(ABS(B99-$F$7)&lt;$B$10/2,"PVT",""))))</f>
        <v/>
      </c>
    </row>
    <row r="100">
      <c r="A100" s="8">
        <f>IF(B100="","",A99+1)</f>
        <v/>
      </c>
      <c r="B100" s="8">
        <f>IF(B99="","",IF(B99+$B$10&lt;=$B$9+1E-9,B99+$B$10,""))</f>
        <v/>
      </c>
      <c r="C100" s="8">
        <f>IF(B100="","",IF(B100&lt;- $F$7,"Left tangent",IF(B100&lt;=$F$7,"Parabolic curve","Right tangent")))</f>
        <v/>
      </c>
      <c r="D100" s="9">
        <f>IF(B100="","",IF(B100&lt;- $F$7,$B$5,IF(B100&lt;=$F$7,100*($F$5+$F$8*(B100+$F$7)),$B$6)))</f>
        <v/>
      </c>
      <c r="E100" s="10">
        <f>IF(B100="","",IF(B100&lt;- $F$7,$F$9+$F$5*(B100+$F$7),IF(B100&lt;=$F$7,$F$9+$F$5*(B100+$F$7)+0.5*$F$8*(B100+$F$7)^2,$F$10+$F$6*(B100-$F$7))))</f>
        <v/>
      </c>
      <c r="F100" s="10">
        <f>IF(E100="","",$B$12+E100)</f>
        <v/>
      </c>
      <c r="G100" s="10">
        <f>IF(B100="","",$B$11+B100)</f>
        <v/>
      </c>
      <c r="H100" s="8">
        <f>IF(B100="","",IF(ABS(B100)&lt;1E-9,"PVI",IF(ABS(B100+$F$7)&lt;$B$10/2,"PVC",IF(ABS(B100-$F$7)&lt;$B$10/2,"PVT",""))))</f>
        <v/>
      </c>
    </row>
    <row r="101">
      <c r="A101" s="8">
        <f>IF(B101="","",A100+1)</f>
        <v/>
      </c>
      <c r="B101" s="8">
        <f>IF(B100="","",IF(B100+$B$10&lt;=$B$9+1E-9,B100+$B$10,""))</f>
        <v/>
      </c>
      <c r="C101" s="8">
        <f>IF(B101="","",IF(B101&lt;- $F$7,"Left tangent",IF(B101&lt;=$F$7,"Parabolic curve","Right tangent")))</f>
        <v/>
      </c>
      <c r="D101" s="9">
        <f>IF(B101="","",IF(B101&lt;- $F$7,$B$5,IF(B101&lt;=$F$7,100*($F$5+$F$8*(B101+$F$7)),$B$6)))</f>
        <v/>
      </c>
      <c r="E101" s="10">
        <f>IF(B101="","",IF(B101&lt;- $F$7,$F$9+$F$5*(B101+$F$7),IF(B101&lt;=$F$7,$F$9+$F$5*(B101+$F$7)+0.5*$F$8*(B101+$F$7)^2,$F$10+$F$6*(B101-$F$7))))</f>
        <v/>
      </c>
      <c r="F101" s="10">
        <f>IF(E101="","",$B$12+E101)</f>
        <v/>
      </c>
      <c r="G101" s="10">
        <f>IF(B101="","",$B$11+B101)</f>
        <v/>
      </c>
      <c r="H101" s="8">
        <f>IF(B101="","",IF(ABS(B101)&lt;1E-9,"PVI",IF(ABS(B101+$F$7)&lt;$B$10/2,"PVC",IF(ABS(B101-$F$7)&lt;$B$10/2,"PVT",""))))</f>
        <v/>
      </c>
    </row>
    <row r="102">
      <c r="A102" s="8">
        <f>IF(B102="","",A101+1)</f>
        <v/>
      </c>
      <c r="B102" s="8">
        <f>IF(B101="","",IF(B101+$B$10&lt;=$B$9+1E-9,B101+$B$10,""))</f>
        <v/>
      </c>
      <c r="C102" s="8">
        <f>IF(B102="","",IF(B102&lt;- $F$7,"Left tangent",IF(B102&lt;=$F$7,"Parabolic curve","Right tangent")))</f>
        <v/>
      </c>
      <c r="D102" s="9">
        <f>IF(B102="","",IF(B102&lt;- $F$7,$B$5,IF(B102&lt;=$F$7,100*($F$5+$F$8*(B102+$F$7)),$B$6)))</f>
        <v/>
      </c>
      <c r="E102" s="10">
        <f>IF(B102="","",IF(B102&lt;- $F$7,$F$9+$F$5*(B102+$F$7),IF(B102&lt;=$F$7,$F$9+$F$5*(B102+$F$7)+0.5*$F$8*(B102+$F$7)^2,$F$10+$F$6*(B102-$F$7))))</f>
        <v/>
      </c>
      <c r="F102" s="10">
        <f>IF(E102="","",$B$12+E102)</f>
        <v/>
      </c>
      <c r="G102" s="10">
        <f>IF(B102="","",$B$11+B102)</f>
        <v/>
      </c>
      <c r="H102" s="8">
        <f>IF(B102="","",IF(ABS(B102)&lt;1E-9,"PVI",IF(ABS(B102+$F$7)&lt;$B$10/2,"PVC",IF(ABS(B102-$F$7)&lt;$B$10/2,"PVT",""))))</f>
        <v/>
      </c>
    </row>
    <row r="103">
      <c r="A103" s="8">
        <f>IF(B103="","",A102+1)</f>
        <v/>
      </c>
      <c r="B103" s="8">
        <f>IF(B102="","",IF(B102+$B$10&lt;=$B$9+1E-9,B102+$B$10,""))</f>
        <v/>
      </c>
      <c r="C103" s="8">
        <f>IF(B103="","",IF(B103&lt;- $F$7,"Left tangent",IF(B103&lt;=$F$7,"Parabolic curve","Right tangent")))</f>
        <v/>
      </c>
      <c r="D103" s="9">
        <f>IF(B103="","",IF(B103&lt;- $F$7,$B$5,IF(B103&lt;=$F$7,100*($F$5+$F$8*(B103+$F$7)),$B$6)))</f>
        <v/>
      </c>
      <c r="E103" s="10">
        <f>IF(B103="","",IF(B103&lt;- $F$7,$F$9+$F$5*(B103+$F$7),IF(B103&lt;=$F$7,$F$9+$F$5*(B103+$F$7)+0.5*$F$8*(B103+$F$7)^2,$F$10+$F$6*(B103-$F$7))))</f>
        <v/>
      </c>
      <c r="F103" s="10">
        <f>IF(E103="","",$B$12+E103)</f>
        <v/>
      </c>
      <c r="G103" s="10">
        <f>IF(B103="","",$B$11+B103)</f>
        <v/>
      </c>
      <c r="H103" s="8">
        <f>IF(B103="","",IF(ABS(B103)&lt;1E-9,"PVI",IF(ABS(B103+$F$7)&lt;$B$10/2,"PVC",IF(ABS(B103-$F$7)&lt;$B$10/2,"PVT",""))))</f>
        <v/>
      </c>
    </row>
    <row r="104">
      <c r="A104" s="8">
        <f>IF(B104="","",A103+1)</f>
        <v/>
      </c>
      <c r="B104" s="8">
        <f>IF(B103="","",IF(B103+$B$10&lt;=$B$9+1E-9,B103+$B$10,""))</f>
        <v/>
      </c>
      <c r="C104" s="8">
        <f>IF(B104="","",IF(B104&lt;- $F$7,"Left tangent",IF(B104&lt;=$F$7,"Parabolic curve","Right tangent")))</f>
        <v/>
      </c>
      <c r="D104" s="9">
        <f>IF(B104="","",IF(B104&lt;- $F$7,$B$5,IF(B104&lt;=$F$7,100*($F$5+$F$8*(B104+$F$7)),$B$6)))</f>
        <v/>
      </c>
      <c r="E104" s="10">
        <f>IF(B104="","",IF(B104&lt;- $F$7,$F$9+$F$5*(B104+$F$7),IF(B104&lt;=$F$7,$F$9+$F$5*(B104+$F$7)+0.5*$F$8*(B104+$F$7)^2,$F$10+$F$6*(B104-$F$7))))</f>
        <v/>
      </c>
      <c r="F104" s="10">
        <f>IF(E104="","",$B$12+E104)</f>
        <v/>
      </c>
      <c r="G104" s="10">
        <f>IF(B104="","",$B$11+B104)</f>
        <v/>
      </c>
      <c r="H104" s="8">
        <f>IF(B104="","",IF(ABS(B104)&lt;1E-9,"PVI",IF(ABS(B104+$F$7)&lt;$B$10/2,"PVC",IF(ABS(B104-$F$7)&lt;$B$10/2,"PVT",""))))</f>
        <v/>
      </c>
    </row>
    <row r="105">
      <c r="A105" s="8">
        <f>IF(B105="","",A104+1)</f>
        <v/>
      </c>
      <c r="B105" s="8">
        <f>IF(B104="","",IF(B104+$B$10&lt;=$B$9+1E-9,B104+$B$10,""))</f>
        <v/>
      </c>
      <c r="C105" s="8">
        <f>IF(B105="","",IF(B105&lt;- $F$7,"Left tangent",IF(B105&lt;=$F$7,"Parabolic curve","Right tangent")))</f>
        <v/>
      </c>
      <c r="D105" s="9">
        <f>IF(B105="","",IF(B105&lt;- $F$7,$B$5,IF(B105&lt;=$F$7,100*($F$5+$F$8*(B105+$F$7)),$B$6)))</f>
        <v/>
      </c>
      <c r="E105" s="10">
        <f>IF(B105="","",IF(B105&lt;- $F$7,$F$9+$F$5*(B105+$F$7),IF(B105&lt;=$F$7,$F$9+$F$5*(B105+$F$7)+0.5*$F$8*(B105+$F$7)^2,$F$10+$F$6*(B105-$F$7))))</f>
        <v/>
      </c>
      <c r="F105" s="10">
        <f>IF(E105="","",$B$12+E105)</f>
        <v/>
      </c>
      <c r="G105" s="10">
        <f>IF(B105="","",$B$11+B105)</f>
        <v/>
      </c>
      <c r="H105" s="8">
        <f>IF(B105="","",IF(ABS(B105)&lt;1E-9,"PVI",IF(ABS(B105+$F$7)&lt;$B$10/2,"PVC",IF(ABS(B105-$F$7)&lt;$B$10/2,"PVT",""))))</f>
        <v/>
      </c>
    </row>
    <row r="106">
      <c r="A106" s="8">
        <f>IF(B106="","",A105+1)</f>
        <v/>
      </c>
      <c r="B106" s="8">
        <f>IF(B105="","",IF(B105+$B$10&lt;=$B$9+1E-9,B105+$B$10,""))</f>
        <v/>
      </c>
      <c r="C106" s="8">
        <f>IF(B106="","",IF(B106&lt;- $F$7,"Left tangent",IF(B106&lt;=$F$7,"Parabolic curve","Right tangent")))</f>
        <v/>
      </c>
      <c r="D106" s="9">
        <f>IF(B106="","",IF(B106&lt;- $F$7,$B$5,IF(B106&lt;=$F$7,100*($F$5+$F$8*(B106+$F$7)),$B$6)))</f>
        <v/>
      </c>
      <c r="E106" s="10">
        <f>IF(B106="","",IF(B106&lt;- $F$7,$F$9+$F$5*(B106+$F$7),IF(B106&lt;=$F$7,$F$9+$F$5*(B106+$F$7)+0.5*$F$8*(B106+$F$7)^2,$F$10+$F$6*(B106-$F$7))))</f>
        <v/>
      </c>
      <c r="F106" s="10">
        <f>IF(E106="","",$B$12+E106)</f>
        <v/>
      </c>
      <c r="G106" s="10">
        <f>IF(B106="","",$B$11+B106)</f>
        <v/>
      </c>
      <c r="H106" s="8">
        <f>IF(B106="","",IF(ABS(B106)&lt;1E-9,"PVI",IF(ABS(B106+$F$7)&lt;$B$10/2,"PVC",IF(ABS(B106-$F$7)&lt;$B$10/2,"PVT",""))))</f>
        <v/>
      </c>
    </row>
    <row r="107">
      <c r="A107" s="8">
        <f>IF(B107="","",A106+1)</f>
        <v/>
      </c>
      <c r="B107" s="8">
        <f>IF(B106="","",IF(B106+$B$10&lt;=$B$9+1E-9,B106+$B$10,""))</f>
        <v/>
      </c>
      <c r="C107" s="8">
        <f>IF(B107="","",IF(B107&lt;- $F$7,"Left tangent",IF(B107&lt;=$F$7,"Parabolic curve","Right tangent")))</f>
        <v/>
      </c>
      <c r="D107" s="9">
        <f>IF(B107="","",IF(B107&lt;- $F$7,$B$5,IF(B107&lt;=$F$7,100*($F$5+$F$8*(B107+$F$7)),$B$6)))</f>
        <v/>
      </c>
      <c r="E107" s="10">
        <f>IF(B107="","",IF(B107&lt;- $F$7,$F$9+$F$5*(B107+$F$7),IF(B107&lt;=$F$7,$F$9+$F$5*(B107+$F$7)+0.5*$F$8*(B107+$F$7)^2,$F$10+$F$6*(B107-$F$7))))</f>
        <v/>
      </c>
      <c r="F107" s="10">
        <f>IF(E107="","",$B$12+E107)</f>
        <v/>
      </c>
      <c r="G107" s="10">
        <f>IF(B107="","",$B$11+B107)</f>
        <v/>
      </c>
      <c r="H107" s="8">
        <f>IF(B107="","",IF(ABS(B107)&lt;1E-9,"PVI",IF(ABS(B107+$F$7)&lt;$B$10/2,"PVC",IF(ABS(B107-$F$7)&lt;$B$10/2,"PVT",""))))</f>
        <v/>
      </c>
    </row>
    <row r="108">
      <c r="A108" s="8">
        <f>IF(B108="","",A107+1)</f>
        <v/>
      </c>
      <c r="B108" s="8">
        <f>IF(B107="","",IF(B107+$B$10&lt;=$B$9+1E-9,B107+$B$10,""))</f>
        <v/>
      </c>
      <c r="C108" s="8">
        <f>IF(B108="","",IF(B108&lt;- $F$7,"Left tangent",IF(B108&lt;=$F$7,"Parabolic curve","Right tangent")))</f>
        <v/>
      </c>
      <c r="D108" s="9">
        <f>IF(B108="","",IF(B108&lt;- $F$7,$B$5,IF(B108&lt;=$F$7,100*($F$5+$F$8*(B108+$F$7)),$B$6)))</f>
        <v/>
      </c>
      <c r="E108" s="10">
        <f>IF(B108="","",IF(B108&lt;- $F$7,$F$9+$F$5*(B108+$F$7),IF(B108&lt;=$F$7,$F$9+$F$5*(B108+$F$7)+0.5*$F$8*(B108+$F$7)^2,$F$10+$F$6*(B108-$F$7))))</f>
        <v/>
      </c>
      <c r="F108" s="10">
        <f>IF(E108="","",$B$12+E108)</f>
        <v/>
      </c>
      <c r="G108" s="10">
        <f>IF(B108="","",$B$11+B108)</f>
        <v/>
      </c>
      <c r="H108" s="8">
        <f>IF(B108="","",IF(ABS(B108)&lt;1E-9,"PVI",IF(ABS(B108+$F$7)&lt;$B$10/2,"PVC",IF(ABS(B108-$F$7)&lt;$B$10/2,"PVT",""))))</f>
        <v/>
      </c>
    </row>
    <row r="109">
      <c r="A109" s="8">
        <f>IF(B109="","",A108+1)</f>
        <v/>
      </c>
      <c r="B109" s="8">
        <f>IF(B108="","",IF(B108+$B$10&lt;=$B$9+1E-9,B108+$B$10,""))</f>
        <v/>
      </c>
      <c r="C109" s="8">
        <f>IF(B109="","",IF(B109&lt;- $F$7,"Left tangent",IF(B109&lt;=$F$7,"Parabolic curve","Right tangent")))</f>
        <v/>
      </c>
      <c r="D109" s="9">
        <f>IF(B109="","",IF(B109&lt;- $F$7,$B$5,IF(B109&lt;=$F$7,100*($F$5+$F$8*(B109+$F$7)),$B$6)))</f>
        <v/>
      </c>
      <c r="E109" s="10">
        <f>IF(B109="","",IF(B109&lt;- $F$7,$F$9+$F$5*(B109+$F$7),IF(B109&lt;=$F$7,$F$9+$F$5*(B109+$F$7)+0.5*$F$8*(B109+$F$7)^2,$F$10+$F$6*(B109-$F$7))))</f>
        <v/>
      </c>
      <c r="F109" s="10">
        <f>IF(E109="","",$B$12+E109)</f>
        <v/>
      </c>
      <c r="G109" s="10">
        <f>IF(B109="","",$B$11+B109)</f>
        <v/>
      </c>
      <c r="H109" s="8">
        <f>IF(B109="","",IF(ABS(B109)&lt;1E-9,"PVI",IF(ABS(B109+$F$7)&lt;$B$10/2,"PVC",IF(ABS(B109-$F$7)&lt;$B$10/2,"PVT",""))))</f>
        <v/>
      </c>
    </row>
    <row r="110">
      <c r="A110" s="8">
        <f>IF(B110="","",A109+1)</f>
        <v/>
      </c>
      <c r="B110" s="8">
        <f>IF(B109="","",IF(B109+$B$10&lt;=$B$9+1E-9,B109+$B$10,""))</f>
        <v/>
      </c>
      <c r="C110" s="8">
        <f>IF(B110="","",IF(B110&lt;- $F$7,"Left tangent",IF(B110&lt;=$F$7,"Parabolic curve","Right tangent")))</f>
        <v/>
      </c>
      <c r="D110" s="9">
        <f>IF(B110="","",IF(B110&lt;- $F$7,$B$5,IF(B110&lt;=$F$7,100*($F$5+$F$8*(B110+$F$7)),$B$6)))</f>
        <v/>
      </c>
      <c r="E110" s="10">
        <f>IF(B110="","",IF(B110&lt;- $F$7,$F$9+$F$5*(B110+$F$7),IF(B110&lt;=$F$7,$F$9+$F$5*(B110+$F$7)+0.5*$F$8*(B110+$F$7)^2,$F$10+$F$6*(B110-$F$7))))</f>
        <v/>
      </c>
      <c r="F110" s="10">
        <f>IF(E110="","",$B$12+E110)</f>
        <v/>
      </c>
      <c r="G110" s="10">
        <f>IF(B110="","",$B$11+B110)</f>
        <v/>
      </c>
      <c r="H110" s="8">
        <f>IF(B110="","",IF(ABS(B110)&lt;1E-9,"PVI",IF(ABS(B110+$F$7)&lt;$B$10/2,"PVC",IF(ABS(B110-$F$7)&lt;$B$10/2,"PVT",""))))</f>
        <v/>
      </c>
    </row>
    <row r="111">
      <c r="A111" s="8">
        <f>IF(B111="","",A110+1)</f>
        <v/>
      </c>
      <c r="B111" s="8">
        <f>IF(B110="","",IF(B110+$B$10&lt;=$B$9+1E-9,B110+$B$10,""))</f>
        <v/>
      </c>
      <c r="C111" s="8">
        <f>IF(B111="","",IF(B111&lt;- $F$7,"Left tangent",IF(B111&lt;=$F$7,"Parabolic curve","Right tangent")))</f>
        <v/>
      </c>
      <c r="D111" s="9">
        <f>IF(B111="","",IF(B111&lt;- $F$7,$B$5,IF(B111&lt;=$F$7,100*($F$5+$F$8*(B111+$F$7)),$B$6)))</f>
        <v/>
      </c>
      <c r="E111" s="10">
        <f>IF(B111="","",IF(B111&lt;- $F$7,$F$9+$F$5*(B111+$F$7),IF(B111&lt;=$F$7,$F$9+$F$5*(B111+$F$7)+0.5*$F$8*(B111+$F$7)^2,$F$10+$F$6*(B111-$F$7))))</f>
        <v/>
      </c>
      <c r="F111" s="10">
        <f>IF(E111="","",$B$12+E111)</f>
        <v/>
      </c>
      <c r="G111" s="10">
        <f>IF(B111="","",$B$11+B111)</f>
        <v/>
      </c>
      <c r="H111" s="8">
        <f>IF(B111="","",IF(ABS(B111)&lt;1E-9,"PVI",IF(ABS(B111+$F$7)&lt;$B$10/2,"PVC",IF(ABS(B111-$F$7)&lt;$B$10/2,"PVT",""))))</f>
        <v/>
      </c>
    </row>
    <row r="112">
      <c r="A112" s="8">
        <f>IF(B112="","",A111+1)</f>
        <v/>
      </c>
      <c r="B112" s="8">
        <f>IF(B111="","",IF(B111+$B$10&lt;=$B$9+1E-9,B111+$B$10,""))</f>
        <v/>
      </c>
      <c r="C112" s="8">
        <f>IF(B112="","",IF(B112&lt;- $F$7,"Left tangent",IF(B112&lt;=$F$7,"Parabolic curve","Right tangent")))</f>
        <v/>
      </c>
      <c r="D112" s="9">
        <f>IF(B112="","",IF(B112&lt;- $F$7,$B$5,IF(B112&lt;=$F$7,100*($F$5+$F$8*(B112+$F$7)),$B$6)))</f>
        <v/>
      </c>
      <c r="E112" s="10">
        <f>IF(B112="","",IF(B112&lt;- $F$7,$F$9+$F$5*(B112+$F$7),IF(B112&lt;=$F$7,$F$9+$F$5*(B112+$F$7)+0.5*$F$8*(B112+$F$7)^2,$F$10+$F$6*(B112-$F$7))))</f>
        <v/>
      </c>
      <c r="F112" s="10">
        <f>IF(E112="","",$B$12+E112)</f>
        <v/>
      </c>
      <c r="G112" s="10">
        <f>IF(B112="","",$B$11+B112)</f>
        <v/>
      </c>
      <c r="H112" s="8">
        <f>IF(B112="","",IF(ABS(B112)&lt;1E-9,"PVI",IF(ABS(B112+$F$7)&lt;$B$10/2,"PVC",IF(ABS(B112-$F$7)&lt;$B$10/2,"PVT",""))))</f>
        <v/>
      </c>
    </row>
    <row r="113">
      <c r="A113" s="8">
        <f>IF(B113="","",A112+1)</f>
        <v/>
      </c>
      <c r="B113" s="8">
        <f>IF(B112="","",IF(B112+$B$10&lt;=$B$9+1E-9,B112+$B$10,""))</f>
        <v/>
      </c>
      <c r="C113" s="8">
        <f>IF(B113="","",IF(B113&lt;- $F$7,"Left tangent",IF(B113&lt;=$F$7,"Parabolic curve","Right tangent")))</f>
        <v/>
      </c>
      <c r="D113" s="9">
        <f>IF(B113="","",IF(B113&lt;- $F$7,$B$5,IF(B113&lt;=$F$7,100*($F$5+$F$8*(B113+$F$7)),$B$6)))</f>
        <v/>
      </c>
      <c r="E113" s="10">
        <f>IF(B113="","",IF(B113&lt;- $F$7,$F$9+$F$5*(B113+$F$7),IF(B113&lt;=$F$7,$F$9+$F$5*(B113+$F$7)+0.5*$F$8*(B113+$F$7)^2,$F$10+$F$6*(B113-$F$7))))</f>
        <v/>
      </c>
      <c r="F113" s="10">
        <f>IF(E113="","",$B$12+E113)</f>
        <v/>
      </c>
      <c r="G113" s="10">
        <f>IF(B113="","",$B$11+B113)</f>
        <v/>
      </c>
      <c r="H113" s="8">
        <f>IF(B113="","",IF(ABS(B113)&lt;1E-9,"PVI",IF(ABS(B113+$F$7)&lt;$B$10/2,"PVC",IF(ABS(B113-$F$7)&lt;$B$10/2,"PVT",""))))</f>
        <v/>
      </c>
    </row>
    <row r="114">
      <c r="A114" s="8">
        <f>IF(B114="","",A113+1)</f>
        <v/>
      </c>
      <c r="B114" s="8">
        <f>IF(B113="","",IF(B113+$B$10&lt;=$B$9+1E-9,B113+$B$10,""))</f>
        <v/>
      </c>
      <c r="C114" s="8">
        <f>IF(B114="","",IF(B114&lt;- $F$7,"Left tangent",IF(B114&lt;=$F$7,"Parabolic curve","Right tangent")))</f>
        <v/>
      </c>
      <c r="D114" s="9">
        <f>IF(B114="","",IF(B114&lt;- $F$7,$B$5,IF(B114&lt;=$F$7,100*($F$5+$F$8*(B114+$F$7)),$B$6)))</f>
        <v/>
      </c>
      <c r="E114" s="10">
        <f>IF(B114="","",IF(B114&lt;- $F$7,$F$9+$F$5*(B114+$F$7),IF(B114&lt;=$F$7,$F$9+$F$5*(B114+$F$7)+0.5*$F$8*(B114+$F$7)^2,$F$10+$F$6*(B114-$F$7))))</f>
        <v/>
      </c>
      <c r="F114" s="10">
        <f>IF(E114="","",$B$12+E114)</f>
        <v/>
      </c>
      <c r="G114" s="10">
        <f>IF(B114="","",$B$11+B114)</f>
        <v/>
      </c>
      <c r="H114" s="8">
        <f>IF(B114="","",IF(ABS(B114)&lt;1E-9,"PVI",IF(ABS(B114+$F$7)&lt;$B$10/2,"PVC",IF(ABS(B114-$F$7)&lt;$B$10/2,"PVT",""))))</f>
        <v/>
      </c>
    </row>
    <row r="115">
      <c r="A115" s="8">
        <f>IF(B115="","",A114+1)</f>
        <v/>
      </c>
      <c r="B115" s="8">
        <f>IF(B114="","",IF(B114+$B$10&lt;=$B$9+1E-9,B114+$B$10,""))</f>
        <v/>
      </c>
      <c r="C115" s="8">
        <f>IF(B115="","",IF(B115&lt;- $F$7,"Left tangent",IF(B115&lt;=$F$7,"Parabolic curve","Right tangent")))</f>
        <v/>
      </c>
      <c r="D115" s="9">
        <f>IF(B115="","",IF(B115&lt;- $F$7,$B$5,IF(B115&lt;=$F$7,100*($F$5+$F$8*(B115+$F$7)),$B$6)))</f>
        <v/>
      </c>
      <c r="E115" s="10">
        <f>IF(B115="","",IF(B115&lt;- $F$7,$F$9+$F$5*(B115+$F$7),IF(B115&lt;=$F$7,$F$9+$F$5*(B115+$F$7)+0.5*$F$8*(B115+$F$7)^2,$F$10+$F$6*(B115-$F$7))))</f>
        <v/>
      </c>
      <c r="F115" s="10">
        <f>IF(E115="","",$B$12+E115)</f>
        <v/>
      </c>
      <c r="G115" s="10">
        <f>IF(B115="","",$B$11+B115)</f>
        <v/>
      </c>
      <c r="H115" s="8">
        <f>IF(B115="","",IF(ABS(B115)&lt;1E-9,"PVI",IF(ABS(B115+$F$7)&lt;$B$10/2,"PVC",IF(ABS(B115-$F$7)&lt;$B$10/2,"PVT",""))))</f>
        <v/>
      </c>
    </row>
    <row r="116">
      <c r="A116" s="8">
        <f>IF(B116="","",A115+1)</f>
        <v/>
      </c>
      <c r="B116" s="8">
        <f>IF(B115="","",IF(B115+$B$10&lt;=$B$9+1E-9,B115+$B$10,""))</f>
        <v/>
      </c>
      <c r="C116" s="8">
        <f>IF(B116="","",IF(B116&lt;- $F$7,"Left tangent",IF(B116&lt;=$F$7,"Parabolic curve","Right tangent")))</f>
        <v/>
      </c>
      <c r="D116" s="9">
        <f>IF(B116="","",IF(B116&lt;- $F$7,$B$5,IF(B116&lt;=$F$7,100*($F$5+$F$8*(B116+$F$7)),$B$6)))</f>
        <v/>
      </c>
      <c r="E116" s="10">
        <f>IF(B116="","",IF(B116&lt;- $F$7,$F$9+$F$5*(B116+$F$7),IF(B116&lt;=$F$7,$F$9+$F$5*(B116+$F$7)+0.5*$F$8*(B116+$F$7)^2,$F$10+$F$6*(B116-$F$7))))</f>
        <v/>
      </c>
      <c r="F116" s="10">
        <f>IF(E116="","",$B$12+E116)</f>
        <v/>
      </c>
      <c r="G116" s="10">
        <f>IF(B116="","",$B$11+B116)</f>
        <v/>
      </c>
      <c r="H116" s="8">
        <f>IF(B116="","",IF(ABS(B116)&lt;1E-9,"PVI",IF(ABS(B116+$F$7)&lt;$B$10/2,"PVC",IF(ABS(B116-$F$7)&lt;$B$10/2,"PVT",""))))</f>
        <v/>
      </c>
    </row>
    <row r="117">
      <c r="A117" s="8">
        <f>IF(B117="","",A116+1)</f>
        <v/>
      </c>
      <c r="B117" s="8">
        <f>IF(B116="","",IF(B116+$B$10&lt;=$B$9+1E-9,B116+$B$10,""))</f>
        <v/>
      </c>
      <c r="C117" s="8">
        <f>IF(B117="","",IF(B117&lt;- $F$7,"Left tangent",IF(B117&lt;=$F$7,"Parabolic curve","Right tangent")))</f>
        <v/>
      </c>
      <c r="D117" s="9">
        <f>IF(B117="","",IF(B117&lt;- $F$7,$B$5,IF(B117&lt;=$F$7,100*($F$5+$F$8*(B117+$F$7)),$B$6)))</f>
        <v/>
      </c>
      <c r="E117" s="10">
        <f>IF(B117="","",IF(B117&lt;- $F$7,$F$9+$F$5*(B117+$F$7),IF(B117&lt;=$F$7,$F$9+$F$5*(B117+$F$7)+0.5*$F$8*(B117+$F$7)^2,$F$10+$F$6*(B117-$F$7))))</f>
        <v/>
      </c>
      <c r="F117" s="10">
        <f>IF(E117="","",$B$12+E117)</f>
        <v/>
      </c>
      <c r="G117" s="10">
        <f>IF(B117="","",$B$11+B117)</f>
        <v/>
      </c>
      <c r="H117" s="8">
        <f>IF(B117="","",IF(ABS(B117)&lt;1E-9,"PVI",IF(ABS(B117+$F$7)&lt;$B$10/2,"PVC",IF(ABS(B117-$F$7)&lt;$B$10/2,"PVT",""))))</f>
        <v/>
      </c>
    </row>
    <row r="118">
      <c r="A118" s="8">
        <f>IF(B118="","",A117+1)</f>
        <v/>
      </c>
      <c r="B118" s="8">
        <f>IF(B117="","",IF(B117+$B$10&lt;=$B$9+1E-9,B117+$B$10,""))</f>
        <v/>
      </c>
      <c r="C118" s="8">
        <f>IF(B118="","",IF(B118&lt;- $F$7,"Left tangent",IF(B118&lt;=$F$7,"Parabolic curve","Right tangent")))</f>
        <v/>
      </c>
      <c r="D118" s="9">
        <f>IF(B118="","",IF(B118&lt;- $F$7,$B$5,IF(B118&lt;=$F$7,100*($F$5+$F$8*(B118+$F$7)),$B$6)))</f>
        <v/>
      </c>
      <c r="E118" s="10">
        <f>IF(B118="","",IF(B118&lt;- $F$7,$F$9+$F$5*(B118+$F$7),IF(B118&lt;=$F$7,$F$9+$F$5*(B118+$F$7)+0.5*$F$8*(B118+$F$7)^2,$F$10+$F$6*(B118-$F$7))))</f>
        <v/>
      </c>
      <c r="F118" s="10">
        <f>IF(E118="","",$B$12+E118)</f>
        <v/>
      </c>
      <c r="G118" s="10">
        <f>IF(B118="","",$B$11+B118)</f>
        <v/>
      </c>
      <c r="H118" s="8">
        <f>IF(B118="","",IF(ABS(B118)&lt;1E-9,"PVI",IF(ABS(B118+$F$7)&lt;$B$10/2,"PVC",IF(ABS(B118-$F$7)&lt;$B$10/2,"PVT",""))))</f>
        <v/>
      </c>
    </row>
    <row r="119">
      <c r="A119" s="8">
        <f>IF(B119="","",A118+1)</f>
        <v/>
      </c>
      <c r="B119" s="8">
        <f>IF(B118="","",IF(B118+$B$10&lt;=$B$9+1E-9,B118+$B$10,""))</f>
        <v/>
      </c>
      <c r="C119" s="8">
        <f>IF(B119="","",IF(B119&lt;- $F$7,"Left tangent",IF(B119&lt;=$F$7,"Parabolic curve","Right tangent")))</f>
        <v/>
      </c>
      <c r="D119" s="9">
        <f>IF(B119="","",IF(B119&lt;- $F$7,$B$5,IF(B119&lt;=$F$7,100*($F$5+$F$8*(B119+$F$7)),$B$6)))</f>
        <v/>
      </c>
      <c r="E119" s="10">
        <f>IF(B119="","",IF(B119&lt;- $F$7,$F$9+$F$5*(B119+$F$7),IF(B119&lt;=$F$7,$F$9+$F$5*(B119+$F$7)+0.5*$F$8*(B119+$F$7)^2,$F$10+$F$6*(B119-$F$7))))</f>
        <v/>
      </c>
      <c r="F119" s="10">
        <f>IF(E119="","",$B$12+E119)</f>
        <v/>
      </c>
      <c r="G119" s="10">
        <f>IF(B119="","",$B$11+B119)</f>
        <v/>
      </c>
      <c r="H119" s="8">
        <f>IF(B119="","",IF(ABS(B119)&lt;1E-9,"PVI",IF(ABS(B119+$F$7)&lt;$B$10/2,"PVC",IF(ABS(B119-$F$7)&lt;$B$10/2,"PVT",""))))</f>
        <v/>
      </c>
    </row>
    <row r="120">
      <c r="A120" s="8">
        <f>IF(B120="","",A119+1)</f>
        <v/>
      </c>
      <c r="B120" s="8">
        <f>IF(B119="","",IF(B119+$B$10&lt;=$B$9+1E-9,B119+$B$10,""))</f>
        <v/>
      </c>
      <c r="C120" s="8">
        <f>IF(B120="","",IF(B120&lt;- $F$7,"Left tangent",IF(B120&lt;=$F$7,"Parabolic curve","Right tangent")))</f>
        <v/>
      </c>
      <c r="D120" s="9">
        <f>IF(B120="","",IF(B120&lt;- $F$7,$B$5,IF(B120&lt;=$F$7,100*($F$5+$F$8*(B120+$F$7)),$B$6)))</f>
        <v/>
      </c>
      <c r="E120" s="10">
        <f>IF(B120="","",IF(B120&lt;- $F$7,$F$9+$F$5*(B120+$F$7),IF(B120&lt;=$F$7,$F$9+$F$5*(B120+$F$7)+0.5*$F$8*(B120+$F$7)^2,$F$10+$F$6*(B120-$F$7))))</f>
        <v/>
      </c>
      <c r="F120" s="10">
        <f>IF(E120="","",$B$12+E120)</f>
        <v/>
      </c>
      <c r="G120" s="10">
        <f>IF(B120="","",$B$11+B120)</f>
        <v/>
      </c>
      <c r="H120" s="8">
        <f>IF(B120="","",IF(ABS(B120)&lt;1E-9,"PVI",IF(ABS(B120+$F$7)&lt;$B$10/2,"PVC",IF(ABS(B120-$F$7)&lt;$B$10/2,"PVT",""))))</f>
        <v/>
      </c>
    </row>
    <row r="121">
      <c r="A121" s="8">
        <f>IF(B121="","",A120+1)</f>
        <v/>
      </c>
      <c r="B121" s="8">
        <f>IF(B120="","",IF(B120+$B$10&lt;=$B$9+1E-9,B120+$B$10,""))</f>
        <v/>
      </c>
      <c r="C121" s="8">
        <f>IF(B121="","",IF(B121&lt;- $F$7,"Left tangent",IF(B121&lt;=$F$7,"Parabolic curve","Right tangent")))</f>
        <v/>
      </c>
      <c r="D121" s="9">
        <f>IF(B121="","",IF(B121&lt;- $F$7,$B$5,IF(B121&lt;=$F$7,100*($F$5+$F$8*(B121+$F$7)),$B$6)))</f>
        <v/>
      </c>
      <c r="E121" s="10">
        <f>IF(B121="","",IF(B121&lt;- $F$7,$F$9+$F$5*(B121+$F$7),IF(B121&lt;=$F$7,$F$9+$F$5*(B121+$F$7)+0.5*$F$8*(B121+$F$7)^2,$F$10+$F$6*(B121-$F$7))))</f>
        <v/>
      </c>
      <c r="F121" s="10">
        <f>IF(E121="","",$B$12+E121)</f>
        <v/>
      </c>
      <c r="G121" s="10">
        <f>IF(B121="","",$B$11+B121)</f>
        <v/>
      </c>
      <c r="H121" s="8">
        <f>IF(B121="","",IF(ABS(B121)&lt;1E-9,"PVI",IF(ABS(B121+$F$7)&lt;$B$10/2,"PVC",IF(ABS(B121-$F$7)&lt;$B$10/2,"PVT",""))))</f>
        <v/>
      </c>
    </row>
    <row r="122">
      <c r="A122" s="8">
        <f>IF(B122="","",A121+1)</f>
        <v/>
      </c>
      <c r="B122" s="8">
        <f>IF(B121="","",IF(B121+$B$10&lt;=$B$9+1E-9,B121+$B$10,""))</f>
        <v/>
      </c>
      <c r="C122" s="8">
        <f>IF(B122="","",IF(B122&lt;- $F$7,"Left tangent",IF(B122&lt;=$F$7,"Parabolic curve","Right tangent")))</f>
        <v/>
      </c>
      <c r="D122" s="9">
        <f>IF(B122="","",IF(B122&lt;- $F$7,$B$5,IF(B122&lt;=$F$7,100*($F$5+$F$8*(B122+$F$7)),$B$6)))</f>
        <v/>
      </c>
      <c r="E122" s="10">
        <f>IF(B122="","",IF(B122&lt;- $F$7,$F$9+$F$5*(B122+$F$7),IF(B122&lt;=$F$7,$F$9+$F$5*(B122+$F$7)+0.5*$F$8*(B122+$F$7)^2,$F$10+$F$6*(B122-$F$7))))</f>
        <v/>
      </c>
      <c r="F122" s="10">
        <f>IF(E122="","",$B$12+E122)</f>
        <v/>
      </c>
      <c r="G122" s="10">
        <f>IF(B122="","",$B$11+B122)</f>
        <v/>
      </c>
      <c r="H122" s="8">
        <f>IF(B122="","",IF(ABS(B122)&lt;1E-9,"PVI",IF(ABS(B122+$F$7)&lt;$B$10/2,"PVC",IF(ABS(B122-$F$7)&lt;$B$10/2,"PVT",""))))</f>
        <v/>
      </c>
    </row>
    <row r="123">
      <c r="A123" s="8">
        <f>IF(B123="","",A122+1)</f>
        <v/>
      </c>
      <c r="B123" s="8">
        <f>IF(B122="","",IF(B122+$B$10&lt;=$B$9+1E-9,B122+$B$10,""))</f>
        <v/>
      </c>
      <c r="C123" s="8">
        <f>IF(B123="","",IF(B123&lt;- $F$7,"Left tangent",IF(B123&lt;=$F$7,"Parabolic curve","Right tangent")))</f>
        <v/>
      </c>
      <c r="D123" s="9">
        <f>IF(B123="","",IF(B123&lt;- $F$7,$B$5,IF(B123&lt;=$F$7,100*($F$5+$F$8*(B123+$F$7)),$B$6)))</f>
        <v/>
      </c>
      <c r="E123" s="10">
        <f>IF(B123="","",IF(B123&lt;- $F$7,$F$9+$F$5*(B123+$F$7),IF(B123&lt;=$F$7,$F$9+$F$5*(B123+$F$7)+0.5*$F$8*(B123+$F$7)^2,$F$10+$F$6*(B123-$F$7))))</f>
        <v/>
      </c>
      <c r="F123" s="10">
        <f>IF(E123="","",$B$12+E123)</f>
        <v/>
      </c>
      <c r="G123" s="10">
        <f>IF(B123="","",$B$11+B123)</f>
        <v/>
      </c>
      <c r="H123" s="8">
        <f>IF(B123="","",IF(ABS(B123)&lt;1E-9,"PVI",IF(ABS(B123+$F$7)&lt;$B$10/2,"PVC",IF(ABS(B123-$F$7)&lt;$B$10/2,"PVT",""))))</f>
        <v/>
      </c>
    </row>
    <row r="124">
      <c r="A124" s="8">
        <f>IF(B124="","",A123+1)</f>
        <v/>
      </c>
      <c r="B124" s="8">
        <f>IF(B123="","",IF(B123+$B$10&lt;=$B$9+1E-9,B123+$B$10,""))</f>
        <v/>
      </c>
      <c r="C124" s="8">
        <f>IF(B124="","",IF(B124&lt;- $F$7,"Left tangent",IF(B124&lt;=$F$7,"Parabolic curve","Right tangent")))</f>
        <v/>
      </c>
      <c r="D124" s="9">
        <f>IF(B124="","",IF(B124&lt;- $F$7,$B$5,IF(B124&lt;=$F$7,100*($F$5+$F$8*(B124+$F$7)),$B$6)))</f>
        <v/>
      </c>
      <c r="E124" s="10">
        <f>IF(B124="","",IF(B124&lt;- $F$7,$F$9+$F$5*(B124+$F$7),IF(B124&lt;=$F$7,$F$9+$F$5*(B124+$F$7)+0.5*$F$8*(B124+$F$7)^2,$F$10+$F$6*(B124-$F$7))))</f>
        <v/>
      </c>
      <c r="F124" s="10">
        <f>IF(E124="","",$B$12+E124)</f>
        <v/>
      </c>
      <c r="G124" s="10">
        <f>IF(B124="","",$B$11+B124)</f>
        <v/>
      </c>
      <c r="H124" s="8">
        <f>IF(B124="","",IF(ABS(B124)&lt;1E-9,"PVI",IF(ABS(B124+$F$7)&lt;$B$10/2,"PVC",IF(ABS(B124-$F$7)&lt;$B$10/2,"PVT",""))))</f>
        <v/>
      </c>
    </row>
    <row r="125">
      <c r="A125" s="8">
        <f>IF(B125="","",A124+1)</f>
        <v/>
      </c>
      <c r="B125" s="8">
        <f>IF(B124="","",IF(B124+$B$10&lt;=$B$9+1E-9,B124+$B$10,""))</f>
        <v/>
      </c>
      <c r="C125" s="8">
        <f>IF(B125="","",IF(B125&lt;- $F$7,"Left tangent",IF(B125&lt;=$F$7,"Parabolic curve","Right tangent")))</f>
        <v/>
      </c>
      <c r="D125" s="9">
        <f>IF(B125="","",IF(B125&lt;- $F$7,$B$5,IF(B125&lt;=$F$7,100*($F$5+$F$8*(B125+$F$7)),$B$6)))</f>
        <v/>
      </c>
      <c r="E125" s="10">
        <f>IF(B125="","",IF(B125&lt;- $F$7,$F$9+$F$5*(B125+$F$7),IF(B125&lt;=$F$7,$F$9+$F$5*(B125+$F$7)+0.5*$F$8*(B125+$F$7)^2,$F$10+$F$6*(B125-$F$7))))</f>
        <v/>
      </c>
      <c r="F125" s="10">
        <f>IF(E125="","",$B$12+E125)</f>
        <v/>
      </c>
      <c r="G125" s="10">
        <f>IF(B125="","",$B$11+B125)</f>
        <v/>
      </c>
      <c r="H125" s="8">
        <f>IF(B125="","",IF(ABS(B125)&lt;1E-9,"PVI",IF(ABS(B125+$F$7)&lt;$B$10/2,"PVC",IF(ABS(B125-$F$7)&lt;$B$10/2,"PVT",""))))</f>
        <v/>
      </c>
    </row>
    <row r="126">
      <c r="A126" s="8">
        <f>IF(B126="","",A125+1)</f>
        <v/>
      </c>
      <c r="B126" s="8">
        <f>IF(B125="","",IF(B125+$B$10&lt;=$B$9+1E-9,B125+$B$10,""))</f>
        <v/>
      </c>
      <c r="C126" s="8">
        <f>IF(B126="","",IF(B126&lt;- $F$7,"Left tangent",IF(B126&lt;=$F$7,"Parabolic curve","Right tangent")))</f>
        <v/>
      </c>
      <c r="D126" s="9">
        <f>IF(B126="","",IF(B126&lt;- $F$7,$B$5,IF(B126&lt;=$F$7,100*($F$5+$F$8*(B126+$F$7)),$B$6)))</f>
        <v/>
      </c>
      <c r="E126" s="10">
        <f>IF(B126="","",IF(B126&lt;- $F$7,$F$9+$F$5*(B126+$F$7),IF(B126&lt;=$F$7,$F$9+$F$5*(B126+$F$7)+0.5*$F$8*(B126+$F$7)^2,$F$10+$F$6*(B126-$F$7))))</f>
        <v/>
      </c>
      <c r="F126" s="10">
        <f>IF(E126="","",$B$12+E126)</f>
        <v/>
      </c>
      <c r="G126" s="10">
        <f>IF(B126="","",$B$11+B126)</f>
        <v/>
      </c>
      <c r="H126" s="8">
        <f>IF(B126="","",IF(ABS(B126)&lt;1E-9,"PVI",IF(ABS(B126+$F$7)&lt;$B$10/2,"PVC",IF(ABS(B126-$F$7)&lt;$B$10/2,"PVT",""))))</f>
        <v/>
      </c>
    </row>
    <row r="127">
      <c r="A127" s="8">
        <f>IF(B127="","",A126+1)</f>
        <v/>
      </c>
      <c r="B127" s="8">
        <f>IF(B126="","",IF(B126+$B$10&lt;=$B$9+1E-9,B126+$B$10,""))</f>
        <v/>
      </c>
      <c r="C127" s="8">
        <f>IF(B127="","",IF(B127&lt;- $F$7,"Left tangent",IF(B127&lt;=$F$7,"Parabolic curve","Right tangent")))</f>
        <v/>
      </c>
      <c r="D127" s="9">
        <f>IF(B127="","",IF(B127&lt;- $F$7,$B$5,IF(B127&lt;=$F$7,100*($F$5+$F$8*(B127+$F$7)),$B$6)))</f>
        <v/>
      </c>
      <c r="E127" s="10">
        <f>IF(B127="","",IF(B127&lt;- $F$7,$F$9+$F$5*(B127+$F$7),IF(B127&lt;=$F$7,$F$9+$F$5*(B127+$F$7)+0.5*$F$8*(B127+$F$7)^2,$F$10+$F$6*(B127-$F$7))))</f>
        <v/>
      </c>
      <c r="F127" s="10">
        <f>IF(E127="","",$B$12+E127)</f>
        <v/>
      </c>
      <c r="G127" s="10">
        <f>IF(B127="","",$B$11+B127)</f>
        <v/>
      </c>
      <c r="H127" s="8">
        <f>IF(B127="","",IF(ABS(B127)&lt;1E-9,"PVI",IF(ABS(B127+$F$7)&lt;$B$10/2,"PVC",IF(ABS(B127-$F$7)&lt;$B$10/2,"PVT",""))))</f>
        <v/>
      </c>
    </row>
    <row r="128">
      <c r="A128" s="8">
        <f>IF(B128="","",A127+1)</f>
        <v/>
      </c>
      <c r="B128" s="8">
        <f>IF(B127="","",IF(B127+$B$10&lt;=$B$9+1E-9,B127+$B$10,""))</f>
        <v/>
      </c>
      <c r="C128" s="8">
        <f>IF(B128="","",IF(B128&lt;- $F$7,"Left tangent",IF(B128&lt;=$F$7,"Parabolic curve","Right tangent")))</f>
        <v/>
      </c>
      <c r="D128" s="9">
        <f>IF(B128="","",IF(B128&lt;- $F$7,$B$5,IF(B128&lt;=$F$7,100*($F$5+$F$8*(B128+$F$7)),$B$6)))</f>
        <v/>
      </c>
      <c r="E128" s="10">
        <f>IF(B128="","",IF(B128&lt;- $F$7,$F$9+$F$5*(B128+$F$7),IF(B128&lt;=$F$7,$F$9+$F$5*(B128+$F$7)+0.5*$F$8*(B128+$F$7)^2,$F$10+$F$6*(B128-$F$7))))</f>
        <v/>
      </c>
      <c r="F128" s="10">
        <f>IF(E128="","",$B$12+E128)</f>
        <v/>
      </c>
      <c r="G128" s="10">
        <f>IF(B128="","",$B$11+B128)</f>
        <v/>
      </c>
      <c r="H128" s="8">
        <f>IF(B128="","",IF(ABS(B128)&lt;1E-9,"PVI",IF(ABS(B128+$F$7)&lt;$B$10/2,"PVC",IF(ABS(B128-$F$7)&lt;$B$10/2,"PVT",""))))</f>
        <v/>
      </c>
    </row>
    <row r="129">
      <c r="A129" s="8">
        <f>IF(B129="","",A128+1)</f>
        <v/>
      </c>
      <c r="B129" s="8">
        <f>IF(B128="","",IF(B128+$B$10&lt;=$B$9+1E-9,B128+$B$10,""))</f>
        <v/>
      </c>
      <c r="C129" s="8">
        <f>IF(B129="","",IF(B129&lt;- $F$7,"Left tangent",IF(B129&lt;=$F$7,"Parabolic curve","Right tangent")))</f>
        <v/>
      </c>
      <c r="D129" s="9">
        <f>IF(B129="","",IF(B129&lt;- $F$7,$B$5,IF(B129&lt;=$F$7,100*($F$5+$F$8*(B129+$F$7)),$B$6)))</f>
        <v/>
      </c>
      <c r="E129" s="10">
        <f>IF(B129="","",IF(B129&lt;- $F$7,$F$9+$F$5*(B129+$F$7),IF(B129&lt;=$F$7,$F$9+$F$5*(B129+$F$7)+0.5*$F$8*(B129+$F$7)^2,$F$10+$F$6*(B129-$F$7))))</f>
        <v/>
      </c>
      <c r="F129" s="10">
        <f>IF(E129="","",$B$12+E129)</f>
        <v/>
      </c>
      <c r="G129" s="10">
        <f>IF(B129="","",$B$11+B129)</f>
        <v/>
      </c>
      <c r="H129" s="8">
        <f>IF(B129="","",IF(ABS(B129)&lt;1E-9,"PVI",IF(ABS(B129+$F$7)&lt;$B$10/2,"PVC",IF(ABS(B129-$F$7)&lt;$B$10/2,"PVT",""))))</f>
        <v/>
      </c>
    </row>
    <row r="130">
      <c r="A130" s="8">
        <f>IF(B130="","",A129+1)</f>
        <v/>
      </c>
      <c r="B130" s="8">
        <f>IF(B129="","",IF(B129+$B$10&lt;=$B$9+1E-9,B129+$B$10,""))</f>
        <v/>
      </c>
      <c r="C130" s="8">
        <f>IF(B130="","",IF(B130&lt;- $F$7,"Left tangent",IF(B130&lt;=$F$7,"Parabolic curve","Right tangent")))</f>
        <v/>
      </c>
      <c r="D130" s="9">
        <f>IF(B130="","",IF(B130&lt;- $F$7,$B$5,IF(B130&lt;=$F$7,100*($F$5+$F$8*(B130+$F$7)),$B$6)))</f>
        <v/>
      </c>
      <c r="E130" s="10">
        <f>IF(B130="","",IF(B130&lt;- $F$7,$F$9+$F$5*(B130+$F$7),IF(B130&lt;=$F$7,$F$9+$F$5*(B130+$F$7)+0.5*$F$8*(B130+$F$7)^2,$F$10+$F$6*(B130-$F$7))))</f>
        <v/>
      </c>
      <c r="F130" s="10">
        <f>IF(E130="","",$B$12+E130)</f>
        <v/>
      </c>
      <c r="G130" s="10">
        <f>IF(B130="","",$B$11+B130)</f>
        <v/>
      </c>
      <c r="H130" s="8">
        <f>IF(B130="","",IF(ABS(B130)&lt;1E-9,"PVI",IF(ABS(B130+$F$7)&lt;$B$10/2,"PVC",IF(ABS(B130-$F$7)&lt;$B$10/2,"PVT",""))))</f>
        <v/>
      </c>
    </row>
    <row r="131">
      <c r="A131" s="8">
        <f>IF(B131="","",A130+1)</f>
        <v/>
      </c>
      <c r="B131" s="8">
        <f>IF(B130="","",IF(B130+$B$10&lt;=$B$9+1E-9,B130+$B$10,""))</f>
        <v/>
      </c>
      <c r="C131" s="8">
        <f>IF(B131="","",IF(B131&lt;- $F$7,"Left tangent",IF(B131&lt;=$F$7,"Parabolic curve","Right tangent")))</f>
        <v/>
      </c>
      <c r="D131" s="9">
        <f>IF(B131="","",IF(B131&lt;- $F$7,$B$5,IF(B131&lt;=$F$7,100*($F$5+$F$8*(B131+$F$7)),$B$6)))</f>
        <v/>
      </c>
      <c r="E131" s="10">
        <f>IF(B131="","",IF(B131&lt;- $F$7,$F$9+$F$5*(B131+$F$7),IF(B131&lt;=$F$7,$F$9+$F$5*(B131+$F$7)+0.5*$F$8*(B131+$F$7)^2,$F$10+$F$6*(B131-$F$7))))</f>
        <v/>
      </c>
      <c r="F131" s="10">
        <f>IF(E131="","",$B$12+E131)</f>
        <v/>
      </c>
      <c r="G131" s="10">
        <f>IF(B131="","",$B$11+B131)</f>
        <v/>
      </c>
      <c r="H131" s="8">
        <f>IF(B131="","",IF(ABS(B131)&lt;1E-9,"PVI",IF(ABS(B131+$F$7)&lt;$B$10/2,"PVC",IF(ABS(B131-$F$7)&lt;$B$10/2,"PVT",""))))</f>
        <v/>
      </c>
    </row>
    <row r="132">
      <c r="A132" s="8">
        <f>IF(B132="","",A131+1)</f>
        <v/>
      </c>
      <c r="B132" s="8">
        <f>IF(B131="","",IF(B131+$B$10&lt;=$B$9+1E-9,B131+$B$10,""))</f>
        <v/>
      </c>
      <c r="C132" s="8">
        <f>IF(B132="","",IF(B132&lt;- $F$7,"Left tangent",IF(B132&lt;=$F$7,"Parabolic curve","Right tangent")))</f>
        <v/>
      </c>
      <c r="D132" s="9">
        <f>IF(B132="","",IF(B132&lt;- $F$7,$B$5,IF(B132&lt;=$F$7,100*($F$5+$F$8*(B132+$F$7)),$B$6)))</f>
        <v/>
      </c>
      <c r="E132" s="10">
        <f>IF(B132="","",IF(B132&lt;- $F$7,$F$9+$F$5*(B132+$F$7),IF(B132&lt;=$F$7,$F$9+$F$5*(B132+$F$7)+0.5*$F$8*(B132+$F$7)^2,$F$10+$F$6*(B132-$F$7))))</f>
        <v/>
      </c>
      <c r="F132" s="10">
        <f>IF(E132="","",$B$12+E132)</f>
        <v/>
      </c>
      <c r="G132" s="10">
        <f>IF(B132="","",$B$11+B132)</f>
        <v/>
      </c>
      <c r="H132" s="8">
        <f>IF(B132="","",IF(ABS(B132)&lt;1E-9,"PVI",IF(ABS(B132+$F$7)&lt;$B$10/2,"PVC",IF(ABS(B132-$F$7)&lt;$B$10/2,"PVT",""))))</f>
        <v/>
      </c>
    </row>
    <row r="133">
      <c r="A133" s="8">
        <f>IF(B133="","",A132+1)</f>
        <v/>
      </c>
      <c r="B133" s="8">
        <f>IF(B132="","",IF(B132+$B$10&lt;=$B$9+1E-9,B132+$B$10,""))</f>
        <v/>
      </c>
      <c r="C133" s="8">
        <f>IF(B133="","",IF(B133&lt;- $F$7,"Left tangent",IF(B133&lt;=$F$7,"Parabolic curve","Right tangent")))</f>
        <v/>
      </c>
      <c r="D133" s="9">
        <f>IF(B133="","",IF(B133&lt;- $F$7,$B$5,IF(B133&lt;=$F$7,100*($F$5+$F$8*(B133+$F$7)),$B$6)))</f>
        <v/>
      </c>
      <c r="E133" s="10">
        <f>IF(B133="","",IF(B133&lt;- $F$7,$F$9+$F$5*(B133+$F$7),IF(B133&lt;=$F$7,$F$9+$F$5*(B133+$F$7)+0.5*$F$8*(B133+$F$7)^2,$F$10+$F$6*(B133-$F$7))))</f>
        <v/>
      </c>
      <c r="F133" s="10">
        <f>IF(E133="","",$B$12+E133)</f>
        <v/>
      </c>
      <c r="G133" s="10">
        <f>IF(B133="","",$B$11+B133)</f>
        <v/>
      </c>
      <c r="H133" s="8">
        <f>IF(B133="","",IF(ABS(B133)&lt;1E-9,"PVI",IF(ABS(B133+$F$7)&lt;$B$10/2,"PVC",IF(ABS(B133-$F$7)&lt;$B$10/2,"PVT",""))))</f>
        <v/>
      </c>
    </row>
    <row r="134">
      <c r="A134" s="8">
        <f>IF(B134="","",A133+1)</f>
        <v/>
      </c>
      <c r="B134" s="8">
        <f>IF(B133="","",IF(B133+$B$10&lt;=$B$9+1E-9,B133+$B$10,""))</f>
        <v/>
      </c>
      <c r="C134" s="8">
        <f>IF(B134="","",IF(B134&lt;- $F$7,"Left tangent",IF(B134&lt;=$F$7,"Parabolic curve","Right tangent")))</f>
        <v/>
      </c>
      <c r="D134" s="9">
        <f>IF(B134="","",IF(B134&lt;- $F$7,$B$5,IF(B134&lt;=$F$7,100*($F$5+$F$8*(B134+$F$7)),$B$6)))</f>
        <v/>
      </c>
      <c r="E134" s="10">
        <f>IF(B134="","",IF(B134&lt;- $F$7,$F$9+$F$5*(B134+$F$7),IF(B134&lt;=$F$7,$F$9+$F$5*(B134+$F$7)+0.5*$F$8*(B134+$F$7)^2,$F$10+$F$6*(B134-$F$7))))</f>
        <v/>
      </c>
      <c r="F134" s="10">
        <f>IF(E134="","",$B$12+E134)</f>
        <v/>
      </c>
      <c r="G134" s="10">
        <f>IF(B134="","",$B$11+B134)</f>
        <v/>
      </c>
      <c r="H134" s="8">
        <f>IF(B134="","",IF(ABS(B134)&lt;1E-9,"PVI",IF(ABS(B134+$F$7)&lt;$B$10/2,"PVC",IF(ABS(B134-$F$7)&lt;$B$10/2,"PVT",""))))</f>
        <v/>
      </c>
    </row>
    <row r="135">
      <c r="A135" s="8">
        <f>IF(B135="","",A134+1)</f>
        <v/>
      </c>
      <c r="B135" s="8">
        <f>IF(B134="","",IF(B134+$B$10&lt;=$B$9+1E-9,B134+$B$10,""))</f>
        <v/>
      </c>
      <c r="C135" s="8">
        <f>IF(B135="","",IF(B135&lt;- $F$7,"Left tangent",IF(B135&lt;=$F$7,"Parabolic curve","Right tangent")))</f>
        <v/>
      </c>
      <c r="D135" s="9">
        <f>IF(B135="","",IF(B135&lt;- $F$7,$B$5,IF(B135&lt;=$F$7,100*($F$5+$F$8*(B135+$F$7)),$B$6)))</f>
        <v/>
      </c>
      <c r="E135" s="10">
        <f>IF(B135="","",IF(B135&lt;- $F$7,$F$9+$F$5*(B135+$F$7),IF(B135&lt;=$F$7,$F$9+$F$5*(B135+$F$7)+0.5*$F$8*(B135+$F$7)^2,$F$10+$F$6*(B135-$F$7))))</f>
        <v/>
      </c>
      <c r="F135" s="10">
        <f>IF(E135="","",$B$12+E135)</f>
        <v/>
      </c>
      <c r="G135" s="10">
        <f>IF(B135="","",$B$11+B135)</f>
        <v/>
      </c>
      <c r="H135" s="8">
        <f>IF(B135="","",IF(ABS(B135)&lt;1E-9,"PVI",IF(ABS(B135+$F$7)&lt;$B$10/2,"PVC",IF(ABS(B135-$F$7)&lt;$B$10/2,"PVT",""))))</f>
        <v/>
      </c>
    </row>
    <row r="136">
      <c r="A136" s="8">
        <f>IF(B136="","",A135+1)</f>
        <v/>
      </c>
      <c r="B136" s="8">
        <f>IF(B135="","",IF(B135+$B$10&lt;=$B$9+1E-9,B135+$B$10,""))</f>
        <v/>
      </c>
      <c r="C136" s="8">
        <f>IF(B136="","",IF(B136&lt;- $F$7,"Left tangent",IF(B136&lt;=$F$7,"Parabolic curve","Right tangent")))</f>
        <v/>
      </c>
      <c r="D136" s="9">
        <f>IF(B136="","",IF(B136&lt;- $F$7,$B$5,IF(B136&lt;=$F$7,100*($F$5+$F$8*(B136+$F$7)),$B$6)))</f>
        <v/>
      </c>
      <c r="E136" s="10">
        <f>IF(B136="","",IF(B136&lt;- $F$7,$F$9+$F$5*(B136+$F$7),IF(B136&lt;=$F$7,$F$9+$F$5*(B136+$F$7)+0.5*$F$8*(B136+$F$7)^2,$F$10+$F$6*(B136-$F$7))))</f>
        <v/>
      </c>
      <c r="F136" s="10">
        <f>IF(E136="","",$B$12+E136)</f>
        <v/>
      </c>
      <c r="G136" s="10">
        <f>IF(B136="","",$B$11+B136)</f>
        <v/>
      </c>
      <c r="H136" s="8">
        <f>IF(B136="","",IF(ABS(B136)&lt;1E-9,"PVI",IF(ABS(B136+$F$7)&lt;$B$10/2,"PVC",IF(ABS(B136-$F$7)&lt;$B$10/2,"PVT",""))))</f>
        <v/>
      </c>
    </row>
    <row r="137">
      <c r="A137" s="8">
        <f>IF(B137="","",A136+1)</f>
        <v/>
      </c>
      <c r="B137" s="8">
        <f>IF(B136="","",IF(B136+$B$10&lt;=$B$9+1E-9,B136+$B$10,""))</f>
        <v/>
      </c>
      <c r="C137" s="8">
        <f>IF(B137="","",IF(B137&lt;- $F$7,"Left tangent",IF(B137&lt;=$F$7,"Parabolic curve","Right tangent")))</f>
        <v/>
      </c>
      <c r="D137" s="9">
        <f>IF(B137="","",IF(B137&lt;- $F$7,$B$5,IF(B137&lt;=$F$7,100*($F$5+$F$8*(B137+$F$7)),$B$6)))</f>
        <v/>
      </c>
      <c r="E137" s="10">
        <f>IF(B137="","",IF(B137&lt;- $F$7,$F$9+$F$5*(B137+$F$7),IF(B137&lt;=$F$7,$F$9+$F$5*(B137+$F$7)+0.5*$F$8*(B137+$F$7)^2,$F$10+$F$6*(B137-$F$7))))</f>
        <v/>
      </c>
      <c r="F137" s="10">
        <f>IF(E137="","",$B$12+E137)</f>
        <v/>
      </c>
      <c r="G137" s="10">
        <f>IF(B137="","",$B$11+B137)</f>
        <v/>
      </c>
      <c r="H137" s="8">
        <f>IF(B137="","",IF(ABS(B137)&lt;1E-9,"PVI",IF(ABS(B137+$F$7)&lt;$B$10/2,"PVC",IF(ABS(B137-$F$7)&lt;$B$10/2,"PVT",""))))</f>
        <v/>
      </c>
    </row>
    <row r="138">
      <c r="A138" s="8">
        <f>IF(B138="","",A137+1)</f>
        <v/>
      </c>
      <c r="B138" s="8">
        <f>IF(B137="","",IF(B137+$B$10&lt;=$B$9+1E-9,B137+$B$10,""))</f>
        <v/>
      </c>
      <c r="C138" s="8">
        <f>IF(B138="","",IF(B138&lt;- $F$7,"Left tangent",IF(B138&lt;=$F$7,"Parabolic curve","Right tangent")))</f>
        <v/>
      </c>
      <c r="D138" s="9">
        <f>IF(B138="","",IF(B138&lt;- $F$7,$B$5,IF(B138&lt;=$F$7,100*($F$5+$F$8*(B138+$F$7)),$B$6)))</f>
        <v/>
      </c>
      <c r="E138" s="10">
        <f>IF(B138="","",IF(B138&lt;- $F$7,$F$9+$F$5*(B138+$F$7),IF(B138&lt;=$F$7,$F$9+$F$5*(B138+$F$7)+0.5*$F$8*(B138+$F$7)^2,$F$10+$F$6*(B138-$F$7))))</f>
        <v/>
      </c>
      <c r="F138" s="10">
        <f>IF(E138="","",$B$12+E138)</f>
        <v/>
      </c>
      <c r="G138" s="10">
        <f>IF(B138="","",$B$11+B138)</f>
        <v/>
      </c>
      <c r="H138" s="8">
        <f>IF(B138="","",IF(ABS(B138)&lt;1E-9,"PVI",IF(ABS(B138+$F$7)&lt;$B$10/2,"PVC",IF(ABS(B138-$F$7)&lt;$B$10/2,"PVT",""))))</f>
        <v/>
      </c>
    </row>
    <row r="139">
      <c r="A139" s="8">
        <f>IF(B139="","",A138+1)</f>
        <v/>
      </c>
      <c r="B139" s="8">
        <f>IF(B138="","",IF(B138+$B$10&lt;=$B$9+1E-9,B138+$B$10,""))</f>
        <v/>
      </c>
      <c r="C139" s="8">
        <f>IF(B139="","",IF(B139&lt;- $F$7,"Left tangent",IF(B139&lt;=$F$7,"Parabolic curve","Right tangent")))</f>
        <v/>
      </c>
      <c r="D139" s="9">
        <f>IF(B139="","",IF(B139&lt;- $F$7,$B$5,IF(B139&lt;=$F$7,100*($F$5+$F$8*(B139+$F$7)),$B$6)))</f>
        <v/>
      </c>
      <c r="E139" s="10">
        <f>IF(B139="","",IF(B139&lt;- $F$7,$F$9+$F$5*(B139+$F$7),IF(B139&lt;=$F$7,$F$9+$F$5*(B139+$F$7)+0.5*$F$8*(B139+$F$7)^2,$F$10+$F$6*(B139-$F$7))))</f>
        <v/>
      </c>
      <c r="F139" s="10">
        <f>IF(E139="","",$B$12+E139)</f>
        <v/>
      </c>
      <c r="G139" s="10">
        <f>IF(B139="","",$B$11+B139)</f>
        <v/>
      </c>
      <c r="H139" s="8">
        <f>IF(B139="","",IF(ABS(B139)&lt;1E-9,"PVI",IF(ABS(B139+$F$7)&lt;$B$10/2,"PVC",IF(ABS(B139-$F$7)&lt;$B$10/2,"PVT",""))))</f>
        <v/>
      </c>
    </row>
    <row r="140">
      <c r="A140" s="8">
        <f>IF(B140="","",A139+1)</f>
        <v/>
      </c>
      <c r="B140" s="8">
        <f>IF(B139="","",IF(B139+$B$10&lt;=$B$9+1E-9,B139+$B$10,""))</f>
        <v/>
      </c>
      <c r="C140" s="8">
        <f>IF(B140="","",IF(B140&lt;- $F$7,"Left tangent",IF(B140&lt;=$F$7,"Parabolic curve","Right tangent")))</f>
        <v/>
      </c>
      <c r="D140" s="9">
        <f>IF(B140="","",IF(B140&lt;- $F$7,$B$5,IF(B140&lt;=$F$7,100*($F$5+$F$8*(B140+$F$7)),$B$6)))</f>
        <v/>
      </c>
      <c r="E140" s="10">
        <f>IF(B140="","",IF(B140&lt;- $F$7,$F$9+$F$5*(B140+$F$7),IF(B140&lt;=$F$7,$F$9+$F$5*(B140+$F$7)+0.5*$F$8*(B140+$F$7)^2,$F$10+$F$6*(B140-$F$7))))</f>
        <v/>
      </c>
      <c r="F140" s="10">
        <f>IF(E140="","",$B$12+E140)</f>
        <v/>
      </c>
      <c r="G140" s="10">
        <f>IF(B140="","",$B$11+B140)</f>
        <v/>
      </c>
      <c r="H140" s="8">
        <f>IF(B140="","",IF(ABS(B140)&lt;1E-9,"PVI",IF(ABS(B140+$F$7)&lt;$B$10/2,"PVC",IF(ABS(B140-$F$7)&lt;$B$10/2,"PVT",""))))</f>
        <v/>
      </c>
    </row>
    <row r="141">
      <c r="A141" s="8">
        <f>IF(B141="","",A140+1)</f>
        <v/>
      </c>
      <c r="B141" s="8">
        <f>IF(B140="","",IF(B140+$B$10&lt;=$B$9+1E-9,B140+$B$10,""))</f>
        <v/>
      </c>
      <c r="C141" s="8">
        <f>IF(B141="","",IF(B141&lt;- $F$7,"Left tangent",IF(B141&lt;=$F$7,"Parabolic curve","Right tangent")))</f>
        <v/>
      </c>
      <c r="D141" s="9">
        <f>IF(B141="","",IF(B141&lt;- $F$7,$B$5,IF(B141&lt;=$F$7,100*($F$5+$F$8*(B141+$F$7)),$B$6)))</f>
        <v/>
      </c>
      <c r="E141" s="10">
        <f>IF(B141="","",IF(B141&lt;- $F$7,$F$9+$F$5*(B141+$F$7),IF(B141&lt;=$F$7,$F$9+$F$5*(B141+$F$7)+0.5*$F$8*(B141+$F$7)^2,$F$10+$F$6*(B141-$F$7))))</f>
        <v/>
      </c>
      <c r="F141" s="10">
        <f>IF(E141="","",$B$12+E141)</f>
        <v/>
      </c>
      <c r="G141" s="10">
        <f>IF(B141="","",$B$11+B141)</f>
        <v/>
      </c>
      <c r="H141" s="8">
        <f>IF(B141="","",IF(ABS(B141)&lt;1E-9,"PVI",IF(ABS(B141+$F$7)&lt;$B$10/2,"PVC",IF(ABS(B141-$F$7)&lt;$B$10/2,"PVT",""))))</f>
        <v/>
      </c>
    </row>
    <row r="142">
      <c r="A142" s="8">
        <f>IF(B142="","",A141+1)</f>
        <v/>
      </c>
      <c r="B142" s="8">
        <f>IF(B141="","",IF(B141+$B$10&lt;=$B$9+1E-9,B141+$B$10,""))</f>
        <v/>
      </c>
      <c r="C142" s="8">
        <f>IF(B142="","",IF(B142&lt;- $F$7,"Left tangent",IF(B142&lt;=$F$7,"Parabolic curve","Right tangent")))</f>
        <v/>
      </c>
      <c r="D142" s="9">
        <f>IF(B142="","",IF(B142&lt;- $F$7,$B$5,IF(B142&lt;=$F$7,100*($F$5+$F$8*(B142+$F$7)),$B$6)))</f>
        <v/>
      </c>
      <c r="E142" s="10">
        <f>IF(B142="","",IF(B142&lt;- $F$7,$F$9+$F$5*(B142+$F$7),IF(B142&lt;=$F$7,$F$9+$F$5*(B142+$F$7)+0.5*$F$8*(B142+$F$7)^2,$F$10+$F$6*(B142-$F$7))))</f>
        <v/>
      </c>
      <c r="F142" s="10">
        <f>IF(E142="","",$B$12+E142)</f>
        <v/>
      </c>
      <c r="G142" s="10">
        <f>IF(B142="","",$B$11+B142)</f>
        <v/>
      </c>
      <c r="H142" s="8">
        <f>IF(B142="","",IF(ABS(B142)&lt;1E-9,"PVI",IF(ABS(B142+$F$7)&lt;$B$10/2,"PVC",IF(ABS(B142-$F$7)&lt;$B$10/2,"PVT",""))))</f>
        <v/>
      </c>
    </row>
    <row r="143">
      <c r="A143" s="8">
        <f>IF(B143="","",A142+1)</f>
        <v/>
      </c>
      <c r="B143" s="8">
        <f>IF(B142="","",IF(B142+$B$10&lt;=$B$9+1E-9,B142+$B$10,""))</f>
        <v/>
      </c>
      <c r="C143" s="8">
        <f>IF(B143="","",IF(B143&lt;- $F$7,"Left tangent",IF(B143&lt;=$F$7,"Parabolic curve","Right tangent")))</f>
        <v/>
      </c>
      <c r="D143" s="9">
        <f>IF(B143="","",IF(B143&lt;- $F$7,$B$5,IF(B143&lt;=$F$7,100*($F$5+$F$8*(B143+$F$7)),$B$6)))</f>
        <v/>
      </c>
      <c r="E143" s="10">
        <f>IF(B143="","",IF(B143&lt;- $F$7,$F$9+$F$5*(B143+$F$7),IF(B143&lt;=$F$7,$F$9+$F$5*(B143+$F$7)+0.5*$F$8*(B143+$F$7)^2,$F$10+$F$6*(B143-$F$7))))</f>
        <v/>
      </c>
      <c r="F143" s="10">
        <f>IF(E143="","",$B$12+E143)</f>
        <v/>
      </c>
      <c r="G143" s="10">
        <f>IF(B143="","",$B$11+B143)</f>
        <v/>
      </c>
      <c r="H143" s="8">
        <f>IF(B143="","",IF(ABS(B143)&lt;1E-9,"PVI",IF(ABS(B143+$F$7)&lt;$B$10/2,"PVC",IF(ABS(B143-$F$7)&lt;$B$10/2,"PVT",""))))</f>
        <v/>
      </c>
    </row>
    <row r="144">
      <c r="A144" s="8">
        <f>IF(B144="","",A143+1)</f>
        <v/>
      </c>
      <c r="B144" s="8">
        <f>IF(B143="","",IF(B143+$B$10&lt;=$B$9+1E-9,B143+$B$10,""))</f>
        <v/>
      </c>
      <c r="C144" s="8">
        <f>IF(B144="","",IF(B144&lt;- $F$7,"Left tangent",IF(B144&lt;=$F$7,"Parabolic curve","Right tangent")))</f>
        <v/>
      </c>
      <c r="D144" s="9">
        <f>IF(B144="","",IF(B144&lt;- $F$7,$B$5,IF(B144&lt;=$F$7,100*($F$5+$F$8*(B144+$F$7)),$B$6)))</f>
        <v/>
      </c>
      <c r="E144" s="10">
        <f>IF(B144="","",IF(B144&lt;- $F$7,$F$9+$F$5*(B144+$F$7),IF(B144&lt;=$F$7,$F$9+$F$5*(B144+$F$7)+0.5*$F$8*(B144+$F$7)^2,$F$10+$F$6*(B144-$F$7))))</f>
        <v/>
      </c>
      <c r="F144" s="10">
        <f>IF(E144="","",$B$12+E144)</f>
        <v/>
      </c>
      <c r="G144" s="10">
        <f>IF(B144="","",$B$11+B144)</f>
        <v/>
      </c>
      <c r="H144" s="8">
        <f>IF(B144="","",IF(ABS(B144)&lt;1E-9,"PVI",IF(ABS(B144+$F$7)&lt;$B$10/2,"PVC",IF(ABS(B144-$F$7)&lt;$B$10/2,"PVT",""))))</f>
        <v/>
      </c>
    </row>
    <row r="145">
      <c r="A145" s="8">
        <f>IF(B145="","",A144+1)</f>
        <v/>
      </c>
      <c r="B145" s="8">
        <f>IF(B144="","",IF(B144+$B$10&lt;=$B$9+1E-9,B144+$B$10,""))</f>
        <v/>
      </c>
      <c r="C145" s="8">
        <f>IF(B145="","",IF(B145&lt;- $F$7,"Left tangent",IF(B145&lt;=$F$7,"Parabolic curve","Right tangent")))</f>
        <v/>
      </c>
      <c r="D145" s="9">
        <f>IF(B145="","",IF(B145&lt;- $F$7,$B$5,IF(B145&lt;=$F$7,100*($F$5+$F$8*(B145+$F$7)),$B$6)))</f>
        <v/>
      </c>
      <c r="E145" s="10">
        <f>IF(B145="","",IF(B145&lt;- $F$7,$F$9+$F$5*(B145+$F$7),IF(B145&lt;=$F$7,$F$9+$F$5*(B145+$F$7)+0.5*$F$8*(B145+$F$7)^2,$F$10+$F$6*(B145-$F$7))))</f>
        <v/>
      </c>
      <c r="F145" s="10">
        <f>IF(E145="","",$B$12+E145)</f>
        <v/>
      </c>
      <c r="G145" s="10">
        <f>IF(B145="","",$B$11+B145)</f>
        <v/>
      </c>
      <c r="H145" s="8">
        <f>IF(B145="","",IF(ABS(B145)&lt;1E-9,"PVI",IF(ABS(B145+$F$7)&lt;$B$10/2,"PVC",IF(ABS(B145-$F$7)&lt;$B$10/2,"PVT",""))))</f>
        <v/>
      </c>
    </row>
    <row r="146">
      <c r="A146" s="8">
        <f>IF(B146="","",A145+1)</f>
        <v/>
      </c>
      <c r="B146" s="8">
        <f>IF(B145="","",IF(B145+$B$10&lt;=$B$9+1E-9,B145+$B$10,""))</f>
        <v/>
      </c>
      <c r="C146" s="8">
        <f>IF(B146="","",IF(B146&lt;- $F$7,"Left tangent",IF(B146&lt;=$F$7,"Parabolic curve","Right tangent")))</f>
        <v/>
      </c>
      <c r="D146" s="9">
        <f>IF(B146="","",IF(B146&lt;- $F$7,$B$5,IF(B146&lt;=$F$7,100*($F$5+$F$8*(B146+$F$7)),$B$6)))</f>
        <v/>
      </c>
      <c r="E146" s="10">
        <f>IF(B146="","",IF(B146&lt;- $F$7,$F$9+$F$5*(B146+$F$7),IF(B146&lt;=$F$7,$F$9+$F$5*(B146+$F$7)+0.5*$F$8*(B146+$F$7)^2,$F$10+$F$6*(B146-$F$7))))</f>
        <v/>
      </c>
      <c r="F146" s="10">
        <f>IF(E146="","",$B$12+E146)</f>
        <v/>
      </c>
      <c r="G146" s="10">
        <f>IF(B146="","",$B$11+B146)</f>
        <v/>
      </c>
      <c r="H146" s="8">
        <f>IF(B146="","",IF(ABS(B146)&lt;1E-9,"PVI",IF(ABS(B146+$F$7)&lt;$B$10/2,"PVC",IF(ABS(B146-$F$7)&lt;$B$10/2,"PVT",""))))</f>
        <v/>
      </c>
    </row>
    <row r="147">
      <c r="A147" s="8">
        <f>IF(B147="","",A146+1)</f>
        <v/>
      </c>
      <c r="B147" s="8">
        <f>IF(B146="","",IF(B146+$B$10&lt;=$B$9+1E-9,B146+$B$10,""))</f>
        <v/>
      </c>
      <c r="C147" s="8">
        <f>IF(B147="","",IF(B147&lt;- $F$7,"Left tangent",IF(B147&lt;=$F$7,"Parabolic curve","Right tangent")))</f>
        <v/>
      </c>
      <c r="D147" s="9">
        <f>IF(B147="","",IF(B147&lt;- $F$7,$B$5,IF(B147&lt;=$F$7,100*($F$5+$F$8*(B147+$F$7)),$B$6)))</f>
        <v/>
      </c>
      <c r="E147" s="10">
        <f>IF(B147="","",IF(B147&lt;- $F$7,$F$9+$F$5*(B147+$F$7),IF(B147&lt;=$F$7,$F$9+$F$5*(B147+$F$7)+0.5*$F$8*(B147+$F$7)^2,$F$10+$F$6*(B147-$F$7))))</f>
        <v/>
      </c>
      <c r="F147" s="10">
        <f>IF(E147="","",$B$12+E147)</f>
        <v/>
      </c>
      <c r="G147" s="10">
        <f>IF(B147="","",$B$11+B147)</f>
        <v/>
      </c>
      <c r="H147" s="8">
        <f>IF(B147="","",IF(ABS(B147)&lt;1E-9,"PVI",IF(ABS(B147+$F$7)&lt;$B$10/2,"PVC",IF(ABS(B147-$F$7)&lt;$B$10/2,"PVT",""))))</f>
        <v/>
      </c>
    </row>
    <row r="148">
      <c r="A148" s="8">
        <f>IF(B148="","",A147+1)</f>
        <v/>
      </c>
      <c r="B148" s="8">
        <f>IF(B147="","",IF(B147+$B$10&lt;=$B$9+1E-9,B147+$B$10,""))</f>
        <v/>
      </c>
      <c r="C148" s="8">
        <f>IF(B148="","",IF(B148&lt;- $F$7,"Left tangent",IF(B148&lt;=$F$7,"Parabolic curve","Right tangent")))</f>
        <v/>
      </c>
      <c r="D148" s="9">
        <f>IF(B148="","",IF(B148&lt;- $F$7,$B$5,IF(B148&lt;=$F$7,100*($F$5+$F$8*(B148+$F$7)),$B$6)))</f>
        <v/>
      </c>
      <c r="E148" s="10">
        <f>IF(B148="","",IF(B148&lt;- $F$7,$F$9+$F$5*(B148+$F$7),IF(B148&lt;=$F$7,$F$9+$F$5*(B148+$F$7)+0.5*$F$8*(B148+$F$7)^2,$F$10+$F$6*(B148-$F$7))))</f>
        <v/>
      </c>
      <c r="F148" s="10">
        <f>IF(E148="","",$B$12+E148)</f>
        <v/>
      </c>
      <c r="G148" s="10">
        <f>IF(B148="","",$B$11+B148)</f>
        <v/>
      </c>
      <c r="H148" s="8">
        <f>IF(B148="","",IF(ABS(B148)&lt;1E-9,"PVI",IF(ABS(B148+$F$7)&lt;$B$10/2,"PVC",IF(ABS(B148-$F$7)&lt;$B$10/2,"PVT",""))))</f>
        <v/>
      </c>
    </row>
    <row r="149">
      <c r="A149" s="8">
        <f>IF(B149="","",A148+1)</f>
        <v/>
      </c>
      <c r="B149" s="8">
        <f>IF(B148="","",IF(B148+$B$10&lt;=$B$9+1E-9,B148+$B$10,""))</f>
        <v/>
      </c>
      <c r="C149" s="8">
        <f>IF(B149="","",IF(B149&lt;- $F$7,"Left tangent",IF(B149&lt;=$F$7,"Parabolic curve","Right tangent")))</f>
        <v/>
      </c>
      <c r="D149" s="9">
        <f>IF(B149="","",IF(B149&lt;- $F$7,$B$5,IF(B149&lt;=$F$7,100*($F$5+$F$8*(B149+$F$7)),$B$6)))</f>
        <v/>
      </c>
      <c r="E149" s="10">
        <f>IF(B149="","",IF(B149&lt;- $F$7,$F$9+$F$5*(B149+$F$7),IF(B149&lt;=$F$7,$F$9+$F$5*(B149+$F$7)+0.5*$F$8*(B149+$F$7)^2,$F$10+$F$6*(B149-$F$7))))</f>
        <v/>
      </c>
      <c r="F149" s="10">
        <f>IF(E149="","",$B$12+E149)</f>
        <v/>
      </c>
      <c r="G149" s="10">
        <f>IF(B149="","",$B$11+B149)</f>
        <v/>
      </c>
      <c r="H149" s="8">
        <f>IF(B149="","",IF(ABS(B149)&lt;1E-9,"PVI",IF(ABS(B149+$F$7)&lt;$B$10/2,"PVC",IF(ABS(B149-$F$7)&lt;$B$10/2,"PVT",""))))</f>
        <v/>
      </c>
    </row>
    <row r="150">
      <c r="A150" s="8">
        <f>IF(B150="","",A149+1)</f>
        <v/>
      </c>
      <c r="B150" s="8">
        <f>IF(B149="","",IF(B149+$B$10&lt;=$B$9+1E-9,B149+$B$10,""))</f>
        <v/>
      </c>
      <c r="C150" s="8">
        <f>IF(B150="","",IF(B150&lt;- $F$7,"Left tangent",IF(B150&lt;=$F$7,"Parabolic curve","Right tangent")))</f>
        <v/>
      </c>
      <c r="D150" s="9">
        <f>IF(B150="","",IF(B150&lt;- $F$7,$B$5,IF(B150&lt;=$F$7,100*($F$5+$F$8*(B150+$F$7)),$B$6)))</f>
        <v/>
      </c>
      <c r="E150" s="10">
        <f>IF(B150="","",IF(B150&lt;- $F$7,$F$9+$F$5*(B150+$F$7),IF(B150&lt;=$F$7,$F$9+$F$5*(B150+$F$7)+0.5*$F$8*(B150+$F$7)^2,$F$10+$F$6*(B150-$F$7))))</f>
        <v/>
      </c>
      <c r="F150" s="10">
        <f>IF(E150="","",$B$12+E150)</f>
        <v/>
      </c>
      <c r="G150" s="10">
        <f>IF(B150="","",$B$11+B150)</f>
        <v/>
      </c>
      <c r="H150" s="8">
        <f>IF(B150="","",IF(ABS(B150)&lt;1E-9,"PVI",IF(ABS(B150+$F$7)&lt;$B$10/2,"PVC",IF(ABS(B150-$F$7)&lt;$B$10/2,"PVT",""))))</f>
        <v/>
      </c>
    </row>
    <row r="151">
      <c r="A151" s="8">
        <f>IF(B151="","",A150+1)</f>
        <v/>
      </c>
      <c r="B151" s="8">
        <f>IF(B150="","",IF(B150+$B$10&lt;=$B$9+1E-9,B150+$B$10,""))</f>
        <v/>
      </c>
      <c r="C151" s="8">
        <f>IF(B151="","",IF(B151&lt;- $F$7,"Left tangent",IF(B151&lt;=$F$7,"Parabolic curve","Right tangent")))</f>
        <v/>
      </c>
      <c r="D151" s="9">
        <f>IF(B151="","",IF(B151&lt;- $F$7,$B$5,IF(B151&lt;=$F$7,100*($F$5+$F$8*(B151+$F$7)),$B$6)))</f>
        <v/>
      </c>
      <c r="E151" s="10">
        <f>IF(B151="","",IF(B151&lt;- $F$7,$F$9+$F$5*(B151+$F$7),IF(B151&lt;=$F$7,$F$9+$F$5*(B151+$F$7)+0.5*$F$8*(B151+$F$7)^2,$F$10+$F$6*(B151-$F$7))))</f>
        <v/>
      </c>
      <c r="F151" s="10">
        <f>IF(E151="","",$B$12+E151)</f>
        <v/>
      </c>
      <c r="G151" s="10">
        <f>IF(B151="","",$B$11+B151)</f>
        <v/>
      </c>
      <c r="H151" s="8">
        <f>IF(B151="","",IF(ABS(B151)&lt;1E-9,"PVI",IF(ABS(B151+$F$7)&lt;$B$10/2,"PVC",IF(ABS(B151-$F$7)&lt;$B$10/2,"PVT",""))))</f>
        <v/>
      </c>
    </row>
    <row r="152">
      <c r="A152" s="8">
        <f>IF(B152="","",A151+1)</f>
        <v/>
      </c>
      <c r="B152" s="8">
        <f>IF(B151="","",IF(B151+$B$10&lt;=$B$9+1E-9,B151+$B$10,""))</f>
        <v/>
      </c>
      <c r="C152" s="8">
        <f>IF(B152="","",IF(B152&lt;- $F$7,"Left tangent",IF(B152&lt;=$F$7,"Parabolic curve","Right tangent")))</f>
        <v/>
      </c>
      <c r="D152" s="9">
        <f>IF(B152="","",IF(B152&lt;- $F$7,$B$5,IF(B152&lt;=$F$7,100*($F$5+$F$8*(B152+$F$7)),$B$6)))</f>
        <v/>
      </c>
      <c r="E152" s="10">
        <f>IF(B152="","",IF(B152&lt;- $F$7,$F$9+$F$5*(B152+$F$7),IF(B152&lt;=$F$7,$F$9+$F$5*(B152+$F$7)+0.5*$F$8*(B152+$F$7)^2,$F$10+$F$6*(B152-$F$7))))</f>
        <v/>
      </c>
      <c r="F152" s="10">
        <f>IF(E152="","",$B$12+E152)</f>
        <v/>
      </c>
      <c r="G152" s="10">
        <f>IF(B152="","",$B$11+B152)</f>
        <v/>
      </c>
      <c r="H152" s="8">
        <f>IF(B152="","",IF(ABS(B152)&lt;1E-9,"PVI",IF(ABS(B152+$F$7)&lt;$B$10/2,"PVC",IF(ABS(B152-$F$7)&lt;$B$10/2,"PVT",""))))</f>
        <v/>
      </c>
    </row>
    <row r="153">
      <c r="A153" s="8">
        <f>IF(B153="","",A152+1)</f>
        <v/>
      </c>
      <c r="B153" s="8">
        <f>IF(B152="","",IF(B152+$B$10&lt;=$B$9+1E-9,B152+$B$10,""))</f>
        <v/>
      </c>
      <c r="C153" s="8">
        <f>IF(B153="","",IF(B153&lt;- $F$7,"Left tangent",IF(B153&lt;=$F$7,"Parabolic curve","Right tangent")))</f>
        <v/>
      </c>
      <c r="D153" s="9">
        <f>IF(B153="","",IF(B153&lt;- $F$7,$B$5,IF(B153&lt;=$F$7,100*($F$5+$F$8*(B153+$F$7)),$B$6)))</f>
        <v/>
      </c>
      <c r="E153" s="10">
        <f>IF(B153="","",IF(B153&lt;- $F$7,$F$9+$F$5*(B153+$F$7),IF(B153&lt;=$F$7,$F$9+$F$5*(B153+$F$7)+0.5*$F$8*(B153+$F$7)^2,$F$10+$F$6*(B153-$F$7))))</f>
        <v/>
      </c>
      <c r="F153" s="10">
        <f>IF(E153="","",$B$12+E153)</f>
        <v/>
      </c>
      <c r="G153" s="10">
        <f>IF(B153="","",$B$11+B153)</f>
        <v/>
      </c>
      <c r="H153" s="8">
        <f>IF(B153="","",IF(ABS(B153)&lt;1E-9,"PVI",IF(ABS(B153+$F$7)&lt;$B$10/2,"PVC",IF(ABS(B153-$F$7)&lt;$B$10/2,"PVT",""))))</f>
        <v/>
      </c>
    </row>
    <row r="154">
      <c r="A154" s="8">
        <f>IF(B154="","",A153+1)</f>
        <v/>
      </c>
      <c r="B154" s="8">
        <f>IF(B153="","",IF(B153+$B$10&lt;=$B$9+1E-9,B153+$B$10,""))</f>
        <v/>
      </c>
      <c r="C154" s="8">
        <f>IF(B154="","",IF(B154&lt;- $F$7,"Left tangent",IF(B154&lt;=$F$7,"Parabolic curve","Right tangent")))</f>
        <v/>
      </c>
      <c r="D154" s="9">
        <f>IF(B154="","",IF(B154&lt;- $F$7,$B$5,IF(B154&lt;=$F$7,100*($F$5+$F$8*(B154+$F$7)),$B$6)))</f>
        <v/>
      </c>
      <c r="E154" s="10">
        <f>IF(B154="","",IF(B154&lt;- $F$7,$F$9+$F$5*(B154+$F$7),IF(B154&lt;=$F$7,$F$9+$F$5*(B154+$F$7)+0.5*$F$8*(B154+$F$7)^2,$F$10+$F$6*(B154-$F$7))))</f>
        <v/>
      </c>
      <c r="F154" s="10">
        <f>IF(E154="","",$B$12+E154)</f>
        <v/>
      </c>
      <c r="G154" s="10">
        <f>IF(B154="","",$B$11+B154)</f>
        <v/>
      </c>
      <c r="H154" s="8">
        <f>IF(B154="","",IF(ABS(B154)&lt;1E-9,"PVI",IF(ABS(B154+$F$7)&lt;$B$10/2,"PVC",IF(ABS(B154-$F$7)&lt;$B$10/2,"PVT",""))))</f>
        <v/>
      </c>
    </row>
    <row r="155">
      <c r="A155" s="8">
        <f>IF(B155="","",A154+1)</f>
        <v/>
      </c>
      <c r="B155" s="8">
        <f>IF(B154="","",IF(B154+$B$10&lt;=$B$9+1E-9,B154+$B$10,""))</f>
        <v/>
      </c>
      <c r="C155" s="8">
        <f>IF(B155="","",IF(B155&lt;- $F$7,"Left tangent",IF(B155&lt;=$F$7,"Parabolic curve","Right tangent")))</f>
        <v/>
      </c>
      <c r="D155" s="9">
        <f>IF(B155="","",IF(B155&lt;- $F$7,$B$5,IF(B155&lt;=$F$7,100*($F$5+$F$8*(B155+$F$7)),$B$6)))</f>
        <v/>
      </c>
      <c r="E155" s="10">
        <f>IF(B155="","",IF(B155&lt;- $F$7,$F$9+$F$5*(B155+$F$7),IF(B155&lt;=$F$7,$F$9+$F$5*(B155+$F$7)+0.5*$F$8*(B155+$F$7)^2,$F$10+$F$6*(B155-$F$7))))</f>
        <v/>
      </c>
      <c r="F155" s="10">
        <f>IF(E155="","",$B$12+E155)</f>
        <v/>
      </c>
      <c r="G155" s="10">
        <f>IF(B155="","",$B$11+B155)</f>
        <v/>
      </c>
      <c r="H155" s="8">
        <f>IF(B155="","",IF(ABS(B155)&lt;1E-9,"PVI",IF(ABS(B155+$F$7)&lt;$B$10/2,"PVC",IF(ABS(B155-$F$7)&lt;$B$10/2,"PVT",""))))</f>
        <v/>
      </c>
    </row>
    <row r="156">
      <c r="A156" s="8">
        <f>IF(B156="","",A155+1)</f>
        <v/>
      </c>
      <c r="B156" s="8">
        <f>IF(B155="","",IF(B155+$B$10&lt;=$B$9+1E-9,B155+$B$10,""))</f>
        <v/>
      </c>
      <c r="C156" s="8">
        <f>IF(B156="","",IF(B156&lt;- $F$7,"Left tangent",IF(B156&lt;=$F$7,"Parabolic curve","Right tangent")))</f>
        <v/>
      </c>
      <c r="D156" s="9">
        <f>IF(B156="","",IF(B156&lt;- $F$7,$B$5,IF(B156&lt;=$F$7,100*($F$5+$F$8*(B156+$F$7)),$B$6)))</f>
        <v/>
      </c>
      <c r="E156" s="10">
        <f>IF(B156="","",IF(B156&lt;- $F$7,$F$9+$F$5*(B156+$F$7),IF(B156&lt;=$F$7,$F$9+$F$5*(B156+$F$7)+0.5*$F$8*(B156+$F$7)^2,$F$10+$F$6*(B156-$F$7))))</f>
        <v/>
      </c>
      <c r="F156" s="10">
        <f>IF(E156="","",$B$12+E156)</f>
        <v/>
      </c>
      <c r="G156" s="10">
        <f>IF(B156="","",$B$11+B156)</f>
        <v/>
      </c>
      <c r="H156" s="8">
        <f>IF(B156="","",IF(ABS(B156)&lt;1E-9,"PVI",IF(ABS(B156+$F$7)&lt;$B$10/2,"PVC",IF(ABS(B156-$F$7)&lt;$B$10/2,"PVT",""))))</f>
        <v/>
      </c>
    </row>
    <row r="157">
      <c r="A157" s="8">
        <f>IF(B157="","",A156+1)</f>
        <v/>
      </c>
      <c r="B157" s="8">
        <f>IF(B156="","",IF(B156+$B$10&lt;=$B$9+1E-9,B156+$B$10,""))</f>
        <v/>
      </c>
      <c r="C157" s="8">
        <f>IF(B157="","",IF(B157&lt;- $F$7,"Left tangent",IF(B157&lt;=$F$7,"Parabolic curve","Right tangent")))</f>
        <v/>
      </c>
      <c r="D157" s="9">
        <f>IF(B157="","",IF(B157&lt;- $F$7,$B$5,IF(B157&lt;=$F$7,100*($F$5+$F$8*(B157+$F$7)),$B$6)))</f>
        <v/>
      </c>
      <c r="E157" s="10">
        <f>IF(B157="","",IF(B157&lt;- $F$7,$F$9+$F$5*(B157+$F$7),IF(B157&lt;=$F$7,$F$9+$F$5*(B157+$F$7)+0.5*$F$8*(B157+$F$7)^2,$F$10+$F$6*(B157-$F$7))))</f>
        <v/>
      </c>
      <c r="F157" s="10">
        <f>IF(E157="","",$B$12+E157)</f>
        <v/>
      </c>
      <c r="G157" s="10">
        <f>IF(B157="","",$B$11+B157)</f>
        <v/>
      </c>
      <c r="H157" s="8">
        <f>IF(B157="","",IF(ABS(B157)&lt;1E-9,"PVI",IF(ABS(B157+$F$7)&lt;$B$10/2,"PVC",IF(ABS(B157-$F$7)&lt;$B$10/2,"PVT",""))))</f>
        <v/>
      </c>
    </row>
    <row r="158">
      <c r="A158" s="8">
        <f>IF(B158="","",A157+1)</f>
        <v/>
      </c>
      <c r="B158" s="8">
        <f>IF(B157="","",IF(B157+$B$10&lt;=$B$9+1E-9,B157+$B$10,""))</f>
        <v/>
      </c>
      <c r="C158" s="8">
        <f>IF(B158="","",IF(B158&lt;- $F$7,"Left tangent",IF(B158&lt;=$F$7,"Parabolic curve","Right tangent")))</f>
        <v/>
      </c>
      <c r="D158" s="9">
        <f>IF(B158="","",IF(B158&lt;- $F$7,$B$5,IF(B158&lt;=$F$7,100*($F$5+$F$8*(B158+$F$7)),$B$6)))</f>
        <v/>
      </c>
      <c r="E158" s="10">
        <f>IF(B158="","",IF(B158&lt;- $F$7,$F$9+$F$5*(B158+$F$7),IF(B158&lt;=$F$7,$F$9+$F$5*(B158+$F$7)+0.5*$F$8*(B158+$F$7)^2,$F$10+$F$6*(B158-$F$7))))</f>
        <v/>
      </c>
      <c r="F158" s="10">
        <f>IF(E158="","",$B$12+E158)</f>
        <v/>
      </c>
      <c r="G158" s="10">
        <f>IF(B158="","",$B$11+B158)</f>
        <v/>
      </c>
      <c r="H158" s="8">
        <f>IF(B158="","",IF(ABS(B158)&lt;1E-9,"PVI",IF(ABS(B158+$F$7)&lt;$B$10/2,"PVC",IF(ABS(B158-$F$7)&lt;$B$10/2,"PVT",""))))</f>
        <v/>
      </c>
    </row>
    <row r="159">
      <c r="A159" s="8">
        <f>IF(B159="","",A158+1)</f>
        <v/>
      </c>
      <c r="B159" s="8">
        <f>IF(B158="","",IF(B158+$B$10&lt;=$B$9+1E-9,B158+$B$10,""))</f>
        <v/>
      </c>
      <c r="C159" s="8">
        <f>IF(B159="","",IF(B159&lt;- $F$7,"Left tangent",IF(B159&lt;=$F$7,"Parabolic curve","Right tangent")))</f>
        <v/>
      </c>
      <c r="D159" s="9">
        <f>IF(B159="","",IF(B159&lt;- $F$7,$B$5,IF(B159&lt;=$F$7,100*($F$5+$F$8*(B159+$F$7)),$B$6)))</f>
        <v/>
      </c>
      <c r="E159" s="10">
        <f>IF(B159="","",IF(B159&lt;- $F$7,$F$9+$F$5*(B159+$F$7),IF(B159&lt;=$F$7,$F$9+$F$5*(B159+$F$7)+0.5*$F$8*(B159+$F$7)^2,$F$10+$F$6*(B159-$F$7))))</f>
        <v/>
      </c>
      <c r="F159" s="10">
        <f>IF(E159="","",$B$12+E159)</f>
        <v/>
      </c>
      <c r="G159" s="10">
        <f>IF(B159="","",$B$11+B159)</f>
        <v/>
      </c>
      <c r="H159" s="8">
        <f>IF(B159="","",IF(ABS(B159)&lt;1E-9,"PVI",IF(ABS(B159+$F$7)&lt;$B$10/2,"PVC",IF(ABS(B159-$F$7)&lt;$B$10/2,"PVT",""))))</f>
        <v/>
      </c>
    </row>
    <row r="160">
      <c r="A160" s="8">
        <f>IF(B160="","",A159+1)</f>
        <v/>
      </c>
      <c r="B160" s="8">
        <f>IF(B159="","",IF(B159+$B$10&lt;=$B$9+1E-9,B159+$B$10,""))</f>
        <v/>
      </c>
      <c r="C160" s="8">
        <f>IF(B160="","",IF(B160&lt;- $F$7,"Left tangent",IF(B160&lt;=$F$7,"Parabolic curve","Right tangent")))</f>
        <v/>
      </c>
      <c r="D160" s="9">
        <f>IF(B160="","",IF(B160&lt;- $F$7,$B$5,IF(B160&lt;=$F$7,100*($F$5+$F$8*(B160+$F$7)),$B$6)))</f>
        <v/>
      </c>
      <c r="E160" s="10">
        <f>IF(B160="","",IF(B160&lt;- $F$7,$F$9+$F$5*(B160+$F$7),IF(B160&lt;=$F$7,$F$9+$F$5*(B160+$F$7)+0.5*$F$8*(B160+$F$7)^2,$F$10+$F$6*(B160-$F$7))))</f>
        <v/>
      </c>
      <c r="F160" s="10">
        <f>IF(E160="","",$B$12+E160)</f>
        <v/>
      </c>
      <c r="G160" s="10">
        <f>IF(B160="","",$B$11+B160)</f>
        <v/>
      </c>
      <c r="H160" s="8">
        <f>IF(B160="","",IF(ABS(B160)&lt;1E-9,"PVI",IF(ABS(B160+$F$7)&lt;$B$10/2,"PVC",IF(ABS(B160-$F$7)&lt;$B$10/2,"PVT",""))))</f>
        <v/>
      </c>
    </row>
    <row r="161">
      <c r="A161" s="8">
        <f>IF(B161="","",A160+1)</f>
        <v/>
      </c>
      <c r="B161" s="8">
        <f>IF(B160="","",IF(B160+$B$10&lt;=$B$9+1E-9,B160+$B$10,""))</f>
        <v/>
      </c>
      <c r="C161" s="8">
        <f>IF(B161="","",IF(B161&lt;- $F$7,"Left tangent",IF(B161&lt;=$F$7,"Parabolic curve","Right tangent")))</f>
        <v/>
      </c>
      <c r="D161" s="9">
        <f>IF(B161="","",IF(B161&lt;- $F$7,$B$5,IF(B161&lt;=$F$7,100*($F$5+$F$8*(B161+$F$7)),$B$6)))</f>
        <v/>
      </c>
      <c r="E161" s="10">
        <f>IF(B161="","",IF(B161&lt;- $F$7,$F$9+$F$5*(B161+$F$7),IF(B161&lt;=$F$7,$F$9+$F$5*(B161+$F$7)+0.5*$F$8*(B161+$F$7)^2,$F$10+$F$6*(B161-$F$7))))</f>
        <v/>
      </c>
      <c r="F161" s="10">
        <f>IF(E161="","",$B$12+E161)</f>
        <v/>
      </c>
      <c r="G161" s="10">
        <f>IF(B161="","",$B$11+B161)</f>
        <v/>
      </c>
      <c r="H161" s="8">
        <f>IF(B161="","",IF(ABS(B161)&lt;1E-9,"PVI",IF(ABS(B161+$F$7)&lt;$B$10/2,"PVC",IF(ABS(B161-$F$7)&lt;$B$10/2,"PVT",""))))</f>
        <v/>
      </c>
    </row>
    <row r="162">
      <c r="A162" s="8">
        <f>IF(B162="","",A161+1)</f>
        <v/>
      </c>
      <c r="B162" s="8">
        <f>IF(B161="","",IF(B161+$B$10&lt;=$B$9+1E-9,B161+$B$10,""))</f>
        <v/>
      </c>
      <c r="C162" s="8">
        <f>IF(B162="","",IF(B162&lt;- $F$7,"Left tangent",IF(B162&lt;=$F$7,"Parabolic curve","Right tangent")))</f>
        <v/>
      </c>
      <c r="D162" s="9">
        <f>IF(B162="","",IF(B162&lt;- $F$7,$B$5,IF(B162&lt;=$F$7,100*($F$5+$F$8*(B162+$F$7)),$B$6)))</f>
        <v/>
      </c>
      <c r="E162" s="10">
        <f>IF(B162="","",IF(B162&lt;- $F$7,$F$9+$F$5*(B162+$F$7),IF(B162&lt;=$F$7,$F$9+$F$5*(B162+$F$7)+0.5*$F$8*(B162+$F$7)^2,$F$10+$F$6*(B162-$F$7))))</f>
        <v/>
      </c>
      <c r="F162" s="10">
        <f>IF(E162="","",$B$12+E162)</f>
        <v/>
      </c>
      <c r="G162" s="10">
        <f>IF(B162="","",$B$11+B162)</f>
        <v/>
      </c>
      <c r="H162" s="8">
        <f>IF(B162="","",IF(ABS(B162)&lt;1E-9,"PVI",IF(ABS(B162+$F$7)&lt;$B$10/2,"PVC",IF(ABS(B162-$F$7)&lt;$B$10/2,"PVT",""))))</f>
        <v/>
      </c>
    </row>
    <row r="163">
      <c r="A163" s="8">
        <f>IF(B163="","",A162+1)</f>
        <v/>
      </c>
      <c r="B163" s="8">
        <f>IF(B162="","",IF(B162+$B$10&lt;=$B$9+1E-9,B162+$B$10,""))</f>
        <v/>
      </c>
      <c r="C163" s="8">
        <f>IF(B163="","",IF(B163&lt;- $F$7,"Left tangent",IF(B163&lt;=$F$7,"Parabolic curve","Right tangent")))</f>
        <v/>
      </c>
      <c r="D163" s="9">
        <f>IF(B163="","",IF(B163&lt;- $F$7,$B$5,IF(B163&lt;=$F$7,100*($F$5+$F$8*(B163+$F$7)),$B$6)))</f>
        <v/>
      </c>
      <c r="E163" s="10">
        <f>IF(B163="","",IF(B163&lt;- $F$7,$F$9+$F$5*(B163+$F$7),IF(B163&lt;=$F$7,$F$9+$F$5*(B163+$F$7)+0.5*$F$8*(B163+$F$7)^2,$F$10+$F$6*(B163-$F$7))))</f>
        <v/>
      </c>
      <c r="F163" s="10">
        <f>IF(E163="","",$B$12+E163)</f>
        <v/>
      </c>
      <c r="G163" s="10">
        <f>IF(B163="","",$B$11+B163)</f>
        <v/>
      </c>
      <c r="H163" s="8">
        <f>IF(B163="","",IF(ABS(B163)&lt;1E-9,"PVI",IF(ABS(B163+$F$7)&lt;$B$10/2,"PVC",IF(ABS(B163-$F$7)&lt;$B$10/2,"PVT",""))))</f>
        <v/>
      </c>
    </row>
    <row r="164">
      <c r="A164" s="8">
        <f>IF(B164="","",A163+1)</f>
        <v/>
      </c>
      <c r="B164" s="8">
        <f>IF(B163="","",IF(B163+$B$10&lt;=$B$9+1E-9,B163+$B$10,""))</f>
        <v/>
      </c>
      <c r="C164" s="8">
        <f>IF(B164="","",IF(B164&lt;- $F$7,"Left tangent",IF(B164&lt;=$F$7,"Parabolic curve","Right tangent")))</f>
        <v/>
      </c>
      <c r="D164" s="9">
        <f>IF(B164="","",IF(B164&lt;- $F$7,$B$5,IF(B164&lt;=$F$7,100*($F$5+$F$8*(B164+$F$7)),$B$6)))</f>
        <v/>
      </c>
      <c r="E164" s="10">
        <f>IF(B164="","",IF(B164&lt;- $F$7,$F$9+$F$5*(B164+$F$7),IF(B164&lt;=$F$7,$F$9+$F$5*(B164+$F$7)+0.5*$F$8*(B164+$F$7)^2,$F$10+$F$6*(B164-$F$7))))</f>
        <v/>
      </c>
      <c r="F164" s="10">
        <f>IF(E164="","",$B$12+E164)</f>
        <v/>
      </c>
      <c r="G164" s="10">
        <f>IF(B164="","",$B$11+B164)</f>
        <v/>
      </c>
      <c r="H164" s="8">
        <f>IF(B164="","",IF(ABS(B164)&lt;1E-9,"PVI",IF(ABS(B164+$F$7)&lt;$B$10/2,"PVC",IF(ABS(B164-$F$7)&lt;$B$10/2,"PVT",""))))</f>
        <v/>
      </c>
    </row>
    <row r="165">
      <c r="A165" s="8">
        <f>IF(B165="","",A164+1)</f>
        <v/>
      </c>
      <c r="B165" s="8">
        <f>IF(B164="","",IF(B164+$B$10&lt;=$B$9+1E-9,B164+$B$10,""))</f>
        <v/>
      </c>
      <c r="C165" s="8">
        <f>IF(B165="","",IF(B165&lt;- $F$7,"Left tangent",IF(B165&lt;=$F$7,"Parabolic curve","Right tangent")))</f>
        <v/>
      </c>
      <c r="D165" s="9">
        <f>IF(B165="","",IF(B165&lt;- $F$7,$B$5,IF(B165&lt;=$F$7,100*($F$5+$F$8*(B165+$F$7)),$B$6)))</f>
        <v/>
      </c>
      <c r="E165" s="10">
        <f>IF(B165="","",IF(B165&lt;- $F$7,$F$9+$F$5*(B165+$F$7),IF(B165&lt;=$F$7,$F$9+$F$5*(B165+$F$7)+0.5*$F$8*(B165+$F$7)^2,$F$10+$F$6*(B165-$F$7))))</f>
        <v/>
      </c>
      <c r="F165" s="10">
        <f>IF(E165="","",$B$12+E165)</f>
        <v/>
      </c>
      <c r="G165" s="10">
        <f>IF(B165="","",$B$11+B165)</f>
        <v/>
      </c>
      <c r="H165" s="8">
        <f>IF(B165="","",IF(ABS(B165)&lt;1E-9,"PVI",IF(ABS(B165+$F$7)&lt;$B$10/2,"PVC",IF(ABS(B165-$F$7)&lt;$B$10/2,"PVT",""))))</f>
        <v/>
      </c>
    </row>
    <row r="166">
      <c r="A166" s="8">
        <f>IF(B166="","",A165+1)</f>
        <v/>
      </c>
      <c r="B166" s="8">
        <f>IF(B165="","",IF(B165+$B$10&lt;=$B$9+1E-9,B165+$B$10,""))</f>
        <v/>
      </c>
      <c r="C166" s="8">
        <f>IF(B166="","",IF(B166&lt;- $F$7,"Left tangent",IF(B166&lt;=$F$7,"Parabolic curve","Right tangent")))</f>
        <v/>
      </c>
      <c r="D166" s="9">
        <f>IF(B166="","",IF(B166&lt;- $F$7,$B$5,IF(B166&lt;=$F$7,100*($F$5+$F$8*(B166+$F$7)),$B$6)))</f>
        <v/>
      </c>
      <c r="E166" s="10">
        <f>IF(B166="","",IF(B166&lt;- $F$7,$F$9+$F$5*(B166+$F$7),IF(B166&lt;=$F$7,$F$9+$F$5*(B166+$F$7)+0.5*$F$8*(B166+$F$7)^2,$F$10+$F$6*(B166-$F$7))))</f>
        <v/>
      </c>
      <c r="F166" s="10">
        <f>IF(E166="","",$B$12+E166)</f>
        <v/>
      </c>
      <c r="G166" s="10">
        <f>IF(B166="","",$B$11+B166)</f>
        <v/>
      </c>
      <c r="H166" s="8">
        <f>IF(B166="","",IF(ABS(B166)&lt;1E-9,"PVI",IF(ABS(B166+$F$7)&lt;$B$10/2,"PVC",IF(ABS(B166-$F$7)&lt;$B$10/2,"PVT",""))))</f>
        <v/>
      </c>
    </row>
    <row r="167">
      <c r="A167" s="8">
        <f>IF(B167="","",A166+1)</f>
        <v/>
      </c>
      <c r="B167" s="8">
        <f>IF(B166="","",IF(B166+$B$10&lt;=$B$9+1E-9,B166+$B$10,""))</f>
        <v/>
      </c>
      <c r="C167" s="8">
        <f>IF(B167="","",IF(B167&lt;- $F$7,"Left tangent",IF(B167&lt;=$F$7,"Parabolic curve","Right tangent")))</f>
        <v/>
      </c>
      <c r="D167" s="9">
        <f>IF(B167="","",IF(B167&lt;- $F$7,$B$5,IF(B167&lt;=$F$7,100*($F$5+$F$8*(B167+$F$7)),$B$6)))</f>
        <v/>
      </c>
      <c r="E167" s="10">
        <f>IF(B167="","",IF(B167&lt;- $F$7,$F$9+$F$5*(B167+$F$7),IF(B167&lt;=$F$7,$F$9+$F$5*(B167+$F$7)+0.5*$F$8*(B167+$F$7)^2,$F$10+$F$6*(B167-$F$7))))</f>
        <v/>
      </c>
      <c r="F167" s="10">
        <f>IF(E167="","",$B$12+E167)</f>
        <v/>
      </c>
      <c r="G167" s="10">
        <f>IF(B167="","",$B$11+B167)</f>
        <v/>
      </c>
      <c r="H167" s="8">
        <f>IF(B167="","",IF(ABS(B167)&lt;1E-9,"PVI",IF(ABS(B167+$F$7)&lt;$B$10/2,"PVC",IF(ABS(B167-$F$7)&lt;$B$10/2,"PVT",""))))</f>
        <v/>
      </c>
    </row>
    <row r="168">
      <c r="A168" s="8">
        <f>IF(B168="","",A167+1)</f>
        <v/>
      </c>
      <c r="B168" s="8">
        <f>IF(B167="","",IF(B167+$B$10&lt;=$B$9+1E-9,B167+$B$10,""))</f>
        <v/>
      </c>
      <c r="C168" s="8">
        <f>IF(B168="","",IF(B168&lt;- $F$7,"Left tangent",IF(B168&lt;=$F$7,"Parabolic curve","Right tangent")))</f>
        <v/>
      </c>
      <c r="D168" s="9">
        <f>IF(B168="","",IF(B168&lt;- $F$7,$B$5,IF(B168&lt;=$F$7,100*($F$5+$F$8*(B168+$F$7)),$B$6)))</f>
        <v/>
      </c>
      <c r="E168" s="10">
        <f>IF(B168="","",IF(B168&lt;- $F$7,$F$9+$F$5*(B168+$F$7),IF(B168&lt;=$F$7,$F$9+$F$5*(B168+$F$7)+0.5*$F$8*(B168+$F$7)^2,$F$10+$F$6*(B168-$F$7))))</f>
        <v/>
      </c>
      <c r="F168" s="10">
        <f>IF(E168="","",$B$12+E168)</f>
        <v/>
      </c>
      <c r="G168" s="10">
        <f>IF(B168="","",$B$11+B168)</f>
        <v/>
      </c>
      <c r="H168" s="8">
        <f>IF(B168="","",IF(ABS(B168)&lt;1E-9,"PVI",IF(ABS(B168+$F$7)&lt;$B$10/2,"PVC",IF(ABS(B168-$F$7)&lt;$B$10/2,"PVT",""))))</f>
        <v/>
      </c>
    </row>
    <row r="169">
      <c r="A169" s="8">
        <f>IF(B169="","",A168+1)</f>
        <v/>
      </c>
      <c r="B169" s="8">
        <f>IF(B168="","",IF(B168+$B$10&lt;=$B$9+1E-9,B168+$B$10,""))</f>
        <v/>
      </c>
      <c r="C169" s="8">
        <f>IF(B169="","",IF(B169&lt;- $F$7,"Left tangent",IF(B169&lt;=$F$7,"Parabolic curve","Right tangent")))</f>
        <v/>
      </c>
      <c r="D169" s="9">
        <f>IF(B169="","",IF(B169&lt;- $F$7,$B$5,IF(B169&lt;=$F$7,100*($F$5+$F$8*(B169+$F$7)),$B$6)))</f>
        <v/>
      </c>
      <c r="E169" s="10">
        <f>IF(B169="","",IF(B169&lt;- $F$7,$F$9+$F$5*(B169+$F$7),IF(B169&lt;=$F$7,$F$9+$F$5*(B169+$F$7)+0.5*$F$8*(B169+$F$7)^2,$F$10+$F$6*(B169-$F$7))))</f>
        <v/>
      </c>
      <c r="F169" s="10">
        <f>IF(E169="","",$B$12+E169)</f>
        <v/>
      </c>
      <c r="G169" s="10">
        <f>IF(B169="","",$B$11+B169)</f>
        <v/>
      </c>
      <c r="H169" s="8">
        <f>IF(B169="","",IF(ABS(B169)&lt;1E-9,"PVI",IF(ABS(B169+$F$7)&lt;$B$10/2,"PVC",IF(ABS(B169-$F$7)&lt;$B$10/2,"PVT",""))))</f>
        <v/>
      </c>
    </row>
    <row r="170">
      <c r="A170" s="8">
        <f>IF(B170="","",A169+1)</f>
        <v/>
      </c>
      <c r="B170" s="8">
        <f>IF(B169="","",IF(B169+$B$10&lt;=$B$9+1E-9,B169+$B$10,""))</f>
        <v/>
      </c>
      <c r="C170" s="8">
        <f>IF(B170="","",IF(B170&lt;- $F$7,"Left tangent",IF(B170&lt;=$F$7,"Parabolic curve","Right tangent")))</f>
        <v/>
      </c>
      <c r="D170" s="9">
        <f>IF(B170="","",IF(B170&lt;- $F$7,$B$5,IF(B170&lt;=$F$7,100*($F$5+$F$8*(B170+$F$7)),$B$6)))</f>
        <v/>
      </c>
      <c r="E170" s="10">
        <f>IF(B170="","",IF(B170&lt;- $F$7,$F$9+$F$5*(B170+$F$7),IF(B170&lt;=$F$7,$F$9+$F$5*(B170+$F$7)+0.5*$F$8*(B170+$F$7)^2,$F$10+$F$6*(B170-$F$7))))</f>
        <v/>
      </c>
      <c r="F170" s="10">
        <f>IF(E170="","",$B$12+E170)</f>
        <v/>
      </c>
      <c r="G170" s="10">
        <f>IF(B170="","",$B$11+B170)</f>
        <v/>
      </c>
      <c r="H170" s="8">
        <f>IF(B170="","",IF(ABS(B170)&lt;1E-9,"PVI",IF(ABS(B170+$F$7)&lt;$B$10/2,"PVC",IF(ABS(B170-$F$7)&lt;$B$10/2,"PVT",""))))</f>
        <v/>
      </c>
    </row>
    <row r="171">
      <c r="A171" s="8">
        <f>IF(B171="","",A170+1)</f>
        <v/>
      </c>
      <c r="B171" s="8">
        <f>IF(B170="","",IF(B170+$B$10&lt;=$B$9+1E-9,B170+$B$10,""))</f>
        <v/>
      </c>
      <c r="C171" s="8">
        <f>IF(B171="","",IF(B171&lt;- $F$7,"Left tangent",IF(B171&lt;=$F$7,"Parabolic curve","Right tangent")))</f>
        <v/>
      </c>
      <c r="D171" s="9">
        <f>IF(B171="","",IF(B171&lt;- $F$7,$B$5,IF(B171&lt;=$F$7,100*($F$5+$F$8*(B171+$F$7)),$B$6)))</f>
        <v/>
      </c>
      <c r="E171" s="10">
        <f>IF(B171="","",IF(B171&lt;- $F$7,$F$9+$F$5*(B171+$F$7),IF(B171&lt;=$F$7,$F$9+$F$5*(B171+$F$7)+0.5*$F$8*(B171+$F$7)^2,$F$10+$F$6*(B171-$F$7))))</f>
        <v/>
      </c>
      <c r="F171" s="10">
        <f>IF(E171="","",$B$12+E171)</f>
        <v/>
      </c>
      <c r="G171" s="10">
        <f>IF(B171="","",$B$11+B171)</f>
        <v/>
      </c>
      <c r="H171" s="8">
        <f>IF(B171="","",IF(ABS(B171)&lt;1E-9,"PVI",IF(ABS(B171+$F$7)&lt;$B$10/2,"PVC",IF(ABS(B171-$F$7)&lt;$B$10/2,"PVT",""))))</f>
        <v/>
      </c>
    </row>
    <row r="172">
      <c r="A172" s="8">
        <f>IF(B172="","",A171+1)</f>
        <v/>
      </c>
      <c r="B172" s="8">
        <f>IF(B171="","",IF(B171+$B$10&lt;=$B$9+1E-9,B171+$B$10,""))</f>
        <v/>
      </c>
      <c r="C172" s="8">
        <f>IF(B172="","",IF(B172&lt;- $F$7,"Left tangent",IF(B172&lt;=$F$7,"Parabolic curve","Right tangent")))</f>
        <v/>
      </c>
      <c r="D172" s="9">
        <f>IF(B172="","",IF(B172&lt;- $F$7,$B$5,IF(B172&lt;=$F$7,100*($F$5+$F$8*(B172+$F$7)),$B$6)))</f>
        <v/>
      </c>
      <c r="E172" s="10">
        <f>IF(B172="","",IF(B172&lt;- $F$7,$F$9+$F$5*(B172+$F$7),IF(B172&lt;=$F$7,$F$9+$F$5*(B172+$F$7)+0.5*$F$8*(B172+$F$7)^2,$F$10+$F$6*(B172-$F$7))))</f>
        <v/>
      </c>
      <c r="F172" s="10">
        <f>IF(E172="","",$B$12+E172)</f>
        <v/>
      </c>
      <c r="G172" s="10">
        <f>IF(B172="","",$B$11+B172)</f>
        <v/>
      </c>
      <c r="H172" s="8">
        <f>IF(B172="","",IF(ABS(B172)&lt;1E-9,"PVI",IF(ABS(B172+$F$7)&lt;$B$10/2,"PVC",IF(ABS(B172-$F$7)&lt;$B$10/2,"PVT",""))))</f>
        <v/>
      </c>
    </row>
    <row r="173">
      <c r="A173" s="8">
        <f>IF(B173="","",A172+1)</f>
        <v/>
      </c>
      <c r="B173" s="8">
        <f>IF(B172="","",IF(B172+$B$10&lt;=$B$9+1E-9,B172+$B$10,""))</f>
        <v/>
      </c>
      <c r="C173" s="8">
        <f>IF(B173="","",IF(B173&lt;- $F$7,"Left tangent",IF(B173&lt;=$F$7,"Parabolic curve","Right tangent")))</f>
        <v/>
      </c>
      <c r="D173" s="9">
        <f>IF(B173="","",IF(B173&lt;- $F$7,$B$5,IF(B173&lt;=$F$7,100*($F$5+$F$8*(B173+$F$7)),$B$6)))</f>
        <v/>
      </c>
      <c r="E173" s="10">
        <f>IF(B173="","",IF(B173&lt;- $F$7,$F$9+$F$5*(B173+$F$7),IF(B173&lt;=$F$7,$F$9+$F$5*(B173+$F$7)+0.5*$F$8*(B173+$F$7)^2,$F$10+$F$6*(B173-$F$7))))</f>
        <v/>
      </c>
      <c r="F173" s="10">
        <f>IF(E173="","",$B$12+E173)</f>
        <v/>
      </c>
      <c r="G173" s="10">
        <f>IF(B173="","",$B$11+B173)</f>
        <v/>
      </c>
      <c r="H173" s="8">
        <f>IF(B173="","",IF(ABS(B173)&lt;1E-9,"PVI",IF(ABS(B173+$F$7)&lt;$B$10/2,"PVC",IF(ABS(B173-$F$7)&lt;$B$10/2,"PVT",""))))</f>
        <v/>
      </c>
    </row>
    <row r="174">
      <c r="A174" s="8">
        <f>IF(B174="","",A173+1)</f>
        <v/>
      </c>
      <c r="B174" s="8">
        <f>IF(B173="","",IF(B173+$B$10&lt;=$B$9+1E-9,B173+$B$10,""))</f>
        <v/>
      </c>
      <c r="C174" s="8">
        <f>IF(B174="","",IF(B174&lt;- $F$7,"Left tangent",IF(B174&lt;=$F$7,"Parabolic curve","Right tangent")))</f>
        <v/>
      </c>
      <c r="D174" s="9">
        <f>IF(B174="","",IF(B174&lt;- $F$7,$B$5,IF(B174&lt;=$F$7,100*($F$5+$F$8*(B174+$F$7)),$B$6)))</f>
        <v/>
      </c>
      <c r="E174" s="10">
        <f>IF(B174="","",IF(B174&lt;- $F$7,$F$9+$F$5*(B174+$F$7),IF(B174&lt;=$F$7,$F$9+$F$5*(B174+$F$7)+0.5*$F$8*(B174+$F$7)^2,$F$10+$F$6*(B174-$F$7))))</f>
        <v/>
      </c>
      <c r="F174" s="10">
        <f>IF(E174="","",$B$12+E174)</f>
        <v/>
      </c>
      <c r="G174" s="10">
        <f>IF(B174="","",$B$11+B174)</f>
        <v/>
      </c>
      <c r="H174" s="8">
        <f>IF(B174="","",IF(ABS(B174)&lt;1E-9,"PVI",IF(ABS(B174+$F$7)&lt;$B$10/2,"PVC",IF(ABS(B174-$F$7)&lt;$B$10/2,"PVT",""))))</f>
        <v/>
      </c>
    </row>
    <row r="175">
      <c r="A175" s="8">
        <f>IF(B175="","",A174+1)</f>
        <v/>
      </c>
      <c r="B175" s="8">
        <f>IF(B174="","",IF(B174+$B$10&lt;=$B$9+1E-9,B174+$B$10,""))</f>
        <v/>
      </c>
      <c r="C175" s="8">
        <f>IF(B175="","",IF(B175&lt;- $F$7,"Left tangent",IF(B175&lt;=$F$7,"Parabolic curve","Right tangent")))</f>
        <v/>
      </c>
      <c r="D175" s="9">
        <f>IF(B175="","",IF(B175&lt;- $F$7,$B$5,IF(B175&lt;=$F$7,100*($F$5+$F$8*(B175+$F$7)),$B$6)))</f>
        <v/>
      </c>
      <c r="E175" s="10">
        <f>IF(B175="","",IF(B175&lt;- $F$7,$F$9+$F$5*(B175+$F$7),IF(B175&lt;=$F$7,$F$9+$F$5*(B175+$F$7)+0.5*$F$8*(B175+$F$7)^2,$F$10+$F$6*(B175-$F$7))))</f>
        <v/>
      </c>
      <c r="F175" s="10">
        <f>IF(E175="","",$B$12+E175)</f>
        <v/>
      </c>
      <c r="G175" s="10">
        <f>IF(B175="","",$B$11+B175)</f>
        <v/>
      </c>
      <c r="H175" s="8">
        <f>IF(B175="","",IF(ABS(B175)&lt;1E-9,"PVI",IF(ABS(B175+$F$7)&lt;$B$10/2,"PVC",IF(ABS(B175-$F$7)&lt;$B$10/2,"PVT",""))))</f>
        <v/>
      </c>
    </row>
    <row r="176">
      <c r="A176" s="8">
        <f>IF(B176="","",A175+1)</f>
        <v/>
      </c>
      <c r="B176" s="8">
        <f>IF(B175="","",IF(B175+$B$10&lt;=$B$9+1E-9,B175+$B$10,""))</f>
        <v/>
      </c>
      <c r="C176" s="8">
        <f>IF(B176="","",IF(B176&lt;- $F$7,"Left tangent",IF(B176&lt;=$F$7,"Parabolic curve","Right tangent")))</f>
        <v/>
      </c>
      <c r="D176" s="9">
        <f>IF(B176="","",IF(B176&lt;- $F$7,$B$5,IF(B176&lt;=$F$7,100*($F$5+$F$8*(B176+$F$7)),$B$6)))</f>
        <v/>
      </c>
      <c r="E176" s="10">
        <f>IF(B176="","",IF(B176&lt;- $F$7,$F$9+$F$5*(B176+$F$7),IF(B176&lt;=$F$7,$F$9+$F$5*(B176+$F$7)+0.5*$F$8*(B176+$F$7)^2,$F$10+$F$6*(B176-$F$7))))</f>
        <v/>
      </c>
      <c r="F176" s="10">
        <f>IF(E176="","",$B$12+E176)</f>
        <v/>
      </c>
      <c r="G176" s="10">
        <f>IF(B176="","",$B$11+B176)</f>
        <v/>
      </c>
      <c r="H176" s="8">
        <f>IF(B176="","",IF(ABS(B176)&lt;1E-9,"PVI",IF(ABS(B176+$F$7)&lt;$B$10/2,"PVC",IF(ABS(B176-$F$7)&lt;$B$10/2,"PVT",""))))</f>
        <v/>
      </c>
    </row>
    <row r="177">
      <c r="A177" s="8">
        <f>IF(B177="","",A176+1)</f>
        <v/>
      </c>
      <c r="B177" s="8">
        <f>IF(B176="","",IF(B176+$B$10&lt;=$B$9+1E-9,B176+$B$10,""))</f>
        <v/>
      </c>
      <c r="C177" s="8">
        <f>IF(B177="","",IF(B177&lt;- $F$7,"Left tangent",IF(B177&lt;=$F$7,"Parabolic curve","Right tangent")))</f>
        <v/>
      </c>
      <c r="D177" s="9">
        <f>IF(B177="","",IF(B177&lt;- $F$7,$B$5,IF(B177&lt;=$F$7,100*($F$5+$F$8*(B177+$F$7)),$B$6)))</f>
        <v/>
      </c>
      <c r="E177" s="10">
        <f>IF(B177="","",IF(B177&lt;- $F$7,$F$9+$F$5*(B177+$F$7),IF(B177&lt;=$F$7,$F$9+$F$5*(B177+$F$7)+0.5*$F$8*(B177+$F$7)^2,$F$10+$F$6*(B177-$F$7))))</f>
        <v/>
      </c>
      <c r="F177" s="10">
        <f>IF(E177="","",$B$12+E177)</f>
        <v/>
      </c>
      <c r="G177" s="10">
        <f>IF(B177="","",$B$11+B177)</f>
        <v/>
      </c>
      <c r="H177" s="8">
        <f>IF(B177="","",IF(ABS(B177)&lt;1E-9,"PVI",IF(ABS(B177+$F$7)&lt;$B$10/2,"PVC",IF(ABS(B177-$F$7)&lt;$B$10/2,"PVT",""))))</f>
        <v/>
      </c>
    </row>
    <row r="178">
      <c r="A178" s="8">
        <f>IF(B178="","",A177+1)</f>
        <v/>
      </c>
      <c r="B178" s="8">
        <f>IF(B177="","",IF(B177+$B$10&lt;=$B$9+1E-9,B177+$B$10,""))</f>
        <v/>
      </c>
      <c r="C178" s="8">
        <f>IF(B178="","",IF(B178&lt;- $F$7,"Left tangent",IF(B178&lt;=$F$7,"Parabolic curve","Right tangent")))</f>
        <v/>
      </c>
      <c r="D178" s="9">
        <f>IF(B178="","",IF(B178&lt;- $F$7,$B$5,IF(B178&lt;=$F$7,100*($F$5+$F$8*(B178+$F$7)),$B$6)))</f>
        <v/>
      </c>
      <c r="E178" s="10">
        <f>IF(B178="","",IF(B178&lt;- $F$7,$F$9+$F$5*(B178+$F$7),IF(B178&lt;=$F$7,$F$9+$F$5*(B178+$F$7)+0.5*$F$8*(B178+$F$7)^2,$F$10+$F$6*(B178-$F$7))))</f>
        <v/>
      </c>
      <c r="F178" s="10">
        <f>IF(E178="","",$B$12+E178)</f>
        <v/>
      </c>
      <c r="G178" s="10">
        <f>IF(B178="","",$B$11+B178)</f>
        <v/>
      </c>
      <c r="H178" s="8">
        <f>IF(B178="","",IF(ABS(B178)&lt;1E-9,"PVI",IF(ABS(B178+$F$7)&lt;$B$10/2,"PVC",IF(ABS(B178-$F$7)&lt;$B$10/2,"PVT",""))))</f>
        <v/>
      </c>
    </row>
    <row r="179">
      <c r="A179" s="8">
        <f>IF(B179="","",A178+1)</f>
        <v/>
      </c>
      <c r="B179" s="8">
        <f>IF(B178="","",IF(B178+$B$10&lt;=$B$9+1E-9,B178+$B$10,""))</f>
        <v/>
      </c>
      <c r="C179" s="8">
        <f>IF(B179="","",IF(B179&lt;- $F$7,"Left tangent",IF(B179&lt;=$F$7,"Parabolic curve","Right tangent")))</f>
        <v/>
      </c>
      <c r="D179" s="9">
        <f>IF(B179="","",IF(B179&lt;- $F$7,$B$5,IF(B179&lt;=$F$7,100*($F$5+$F$8*(B179+$F$7)),$B$6)))</f>
        <v/>
      </c>
      <c r="E179" s="10">
        <f>IF(B179="","",IF(B179&lt;- $F$7,$F$9+$F$5*(B179+$F$7),IF(B179&lt;=$F$7,$F$9+$F$5*(B179+$F$7)+0.5*$F$8*(B179+$F$7)^2,$F$10+$F$6*(B179-$F$7))))</f>
        <v/>
      </c>
      <c r="F179" s="10">
        <f>IF(E179="","",$B$12+E179)</f>
        <v/>
      </c>
      <c r="G179" s="10">
        <f>IF(B179="","",$B$11+B179)</f>
        <v/>
      </c>
      <c r="H179" s="8">
        <f>IF(B179="","",IF(ABS(B179)&lt;1E-9,"PVI",IF(ABS(B179+$F$7)&lt;$B$10/2,"PVC",IF(ABS(B179-$F$7)&lt;$B$10/2,"PVT",""))))</f>
        <v/>
      </c>
    </row>
    <row r="180">
      <c r="A180" s="8">
        <f>IF(B180="","",A179+1)</f>
        <v/>
      </c>
      <c r="B180" s="8">
        <f>IF(B179="","",IF(B179+$B$10&lt;=$B$9+1E-9,B179+$B$10,""))</f>
        <v/>
      </c>
      <c r="C180" s="8">
        <f>IF(B180="","",IF(B180&lt;- $F$7,"Left tangent",IF(B180&lt;=$F$7,"Parabolic curve","Right tangent")))</f>
        <v/>
      </c>
      <c r="D180" s="9">
        <f>IF(B180="","",IF(B180&lt;- $F$7,$B$5,IF(B180&lt;=$F$7,100*($F$5+$F$8*(B180+$F$7)),$B$6)))</f>
        <v/>
      </c>
      <c r="E180" s="10">
        <f>IF(B180="","",IF(B180&lt;- $F$7,$F$9+$F$5*(B180+$F$7),IF(B180&lt;=$F$7,$F$9+$F$5*(B180+$F$7)+0.5*$F$8*(B180+$F$7)^2,$F$10+$F$6*(B180-$F$7))))</f>
        <v/>
      </c>
      <c r="F180" s="10">
        <f>IF(E180="","",$B$12+E180)</f>
        <v/>
      </c>
      <c r="G180" s="10">
        <f>IF(B180="","",$B$11+B180)</f>
        <v/>
      </c>
      <c r="H180" s="8">
        <f>IF(B180="","",IF(ABS(B180)&lt;1E-9,"PVI",IF(ABS(B180+$F$7)&lt;$B$10/2,"PVC",IF(ABS(B180-$F$7)&lt;$B$10/2,"PVT",""))))</f>
        <v/>
      </c>
    </row>
    <row r="181">
      <c r="A181" s="8">
        <f>IF(B181="","",A180+1)</f>
        <v/>
      </c>
      <c r="B181" s="8">
        <f>IF(B180="","",IF(B180+$B$10&lt;=$B$9+1E-9,B180+$B$10,""))</f>
        <v/>
      </c>
      <c r="C181" s="8">
        <f>IF(B181="","",IF(B181&lt;- $F$7,"Left tangent",IF(B181&lt;=$F$7,"Parabolic curve","Right tangent")))</f>
        <v/>
      </c>
      <c r="D181" s="9">
        <f>IF(B181="","",IF(B181&lt;- $F$7,$B$5,IF(B181&lt;=$F$7,100*($F$5+$F$8*(B181+$F$7)),$B$6)))</f>
        <v/>
      </c>
      <c r="E181" s="10">
        <f>IF(B181="","",IF(B181&lt;- $F$7,$F$9+$F$5*(B181+$F$7),IF(B181&lt;=$F$7,$F$9+$F$5*(B181+$F$7)+0.5*$F$8*(B181+$F$7)^2,$F$10+$F$6*(B181-$F$7))))</f>
        <v/>
      </c>
      <c r="F181" s="10">
        <f>IF(E181="","",$B$12+E181)</f>
        <v/>
      </c>
      <c r="G181" s="10">
        <f>IF(B181="","",$B$11+B181)</f>
        <v/>
      </c>
      <c r="H181" s="8">
        <f>IF(B181="","",IF(ABS(B181)&lt;1E-9,"PVI",IF(ABS(B181+$F$7)&lt;$B$10/2,"PVC",IF(ABS(B181-$F$7)&lt;$B$10/2,"PVT",""))))</f>
        <v/>
      </c>
    </row>
    <row r="182">
      <c r="A182" s="8">
        <f>IF(B182="","",A181+1)</f>
        <v/>
      </c>
      <c r="B182" s="8">
        <f>IF(B181="","",IF(B181+$B$10&lt;=$B$9+1E-9,B181+$B$10,""))</f>
        <v/>
      </c>
      <c r="C182" s="8">
        <f>IF(B182="","",IF(B182&lt;- $F$7,"Left tangent",IF(B182&lt;=$F$7,"Parabolic curve","Right tangent")))</f>
        <v/>
      </c>
      <c r="D182" s="9">
        <f>IF(B182="","",IF(B182&lt;- $F$7,$B$5,IF(B182&lt;=$F$7,100*($F$5+$F$8*(B182+$F$7)),$B$6)))</f>
        <v/>
      </c>
      <c r="E182" s="10">
        <f>IF(B182="","",IF(B182&lt;- $F$7,$F$9+$F$5*(B182+$F$7),IF(B182&lt;=$F$7,$F$9+$F$5*(B182+$F$7)+0.5*$F$8*(B182+$F$7)^2,$F$10+$F$6*(B182-$F$7))))</f>
        <v/>
      </c>
      <c r="F182" s="10">
        <f>IF(E182="","",$B$12+E182)</f>
        <v/>
      </c>
      <c r="G182" s="10">
        <f>IF(B182="","",$B$11+B182)</f>
        <v/>
      </c>
      <c r="H182" s="8">
        <f>IF(B182="","",IF(ABS(B182)&lt;1E-9,"PVI",IF(ABS(B182+$F$7)&lt;$B$10/2,"PVC",IF(ABS(B182-$F$7)&lt;$B$10/2,"PVT",""))))</f>
        <v/>
      </c>
    </row>
    <row r="183">
      <c r="A183" s="8">
        <f>IF(B183="","",A182+1)</f>
        <v/>
      </c>
      <c r="B183" s="8">
        <f>IF(B182="","",IF(B182+$B$10&lt;=$B$9+1E-9,B182+$B$10,""))</f>
        <v/>
      </c>
      <c r="C183" s="8">
        <f>IF(B183="","",IF(B183&lt;- $F$7,"Left tangent",IF(B183&lt;=$F$7,"Parabolic curve","Right tangent")))</f>
        <v/>
      </c>
      <c r="D183" s="9">
        <f>IF(B183="","",IF(B183&lt;- $F$7,$B$5,IF(B183&lt;=$F$7,100*($F$5+$F$8*(B183+$F$7)),$B$6)))</f>
        <v/>
      </c>
      <c r="E183" s="10">
        <f>IF(B183="","",IF(B183&lt;- $F$7,$F$9+$F$5*(B183+$F$7),IF(B183&lt;=$F$7,$F$9+$F$5*(B183+$F$7)+0.5*$F$8*(B183+$F$7)^2,$F$10+$F$6*(B183-$F$7))))</f>
        <v/>
      </c>
      <c r="F183" s="10">
        <f>IF(E183="","",$B$12+E183)</f>
        <v/>
      </c>
      <c r="G183" s="10">
        <f>IF(B183="","",$B$11+B183)</f>
        <v/>
      </c>
      <c r="H183" s="8">
        <f>IF(B183="","",IF(ABS(B183)&lt;1E-9,"PVI",IF(ABS(B183+$F$7)&lt;$B$10/2,"PVC",IF(ABS(B183-$F$7)&lt;$B$10/2,"PVT",""))))</f>
        <v/>
      </c>
    </row>
    <row r="184">
      <c r="A184" s="8">
        <f>IF(B184="","",A183+1)</f>
        <v/>
      </c>
      <c r="B184" s="8">
        <f>IF(B183="","",IF(B183+$B$10&lt;=$B$9+1E-9,B183+$B$10,""))</f>
        <v/>
      </c>
      <c r="C184" s="8">
        <f>IF(B184="","",IF(B184&lt;- $F$7,"Left tangent",IF(B184&lt;=$F$7,"Parabolic curve","Right tangent")))</f>
        <v/>
      </c>
      <c r="D184" s="9">
        <f>IF(B184="","",IF(B184&lt;- $F$7,$B$5,IF(B184&lt;=$F$7,100*($F$5+$F$8*(B184+$F$7)),$B$6)))</f>
        <v/>
      </c>
      <c r="E184" s="10">
        <f>IF(B184="","",IF(B184&lt;- $F$7,$F$9+$F$5*(B184+$F$7),IF(B184&lt;=$F$7,$F$9+$F$5*(B184+$F$7)+0.5*$F$8*(B184+$F$7)^2,$F$10+$F$6*(B184-$F$7))))</f>
        <v/>
      </c>
      <c r="F184" s="10">
        <f>IF(E184="","",$B$12+E184)</f>
        <v/>
      </c>
      <c r="G184" s="10">
        <f>IF(B184="","",$B$11+B184)</f>
        <v/>
      </c>
      <c r="H184" s="8">
        <f>IF(B184="","",IF(ABS(B184)&lt;1E-9,"PVI",IF(ABS(B184+$F$7)&lt;$B$10/2,"PVC",IF(ABS(B184-$F$7)&lt;$B$10/2,"PVT",""))))</f>
        <v/>
      </c>
    </row>
    <row r="185">
      <c r="A185" s="8">
        <f>IF(B185="","",A184+1)</f>
        <v/>
      </c>
      <c r="B185" s="8">
        <f>IF(B184="","",IF(B184+$B$10&lt;=$B$9+1E-9,B184+$B$10,""))</f>
        <v/>
      </c>
      <c r="C185" s="8">
        <f>IF(B185="","",IF(B185&lt;- $F$7,"Left tangent",IF(B185&lt;=$F$7,"Parabolic curve","Right tangent")))</f>
        <v/>
      </c>
      <c r="D185" s="9">
        <f>IF(B185="","",IF(B185&lt;- $F$7,$B$5,IF(B185&lt;=$F$7,100*($F$5+$F$8*(B185+$F$7)),$B$6)))</f>
        <v/>
      </c>
      <c r="E185" s="10">
        <f>IF(B185="","",IF(B185&lt;- $F$7,$F$9+$F$5*(B185+$F$7),IF(B185&lt;=$F$7,$F$9+$F$5*(B185+$F$7)+0.5*$F$8*(B185+$F$7)^2,$F$10+$F$6*(B185-$F$7))))</f>
        <v/>
      </c>
      <c r="F185" s="10">
        <f>IF(E185="","",$B$12+E185)</f>
        <v/>
      </c>
      <c r="G185" s="10">
        <f>IF(B185="","",$B$11+B185)</f>
        <v/>
      </c>
      <c r="H185" s="8">
        <f>IF(B185="","",IF(ABS(B185)&lt;1E-9,"PVI",IF(ABS(B185+$F$7)&lt;$B$10/2,"PVC",IF(ABS(B185-$F$7)&lt;$B$10/2,"PVT",""))))</f>
        <v/>
      </c>
    </row>
    <row r="186">
      <c r="A186" s="8">
        <f>IF(B186="","",A185+1)</f>
        <v/>
      </c>
      <c r="B186" s="8">
        <f>IF(B185="","",IF(B185+$B$10&lt;=$B$9+1E-9,B185+$B$10,""))</f>
        <v/>
      </c>
      <c r="C186" s="8">
        <f>IF(B186="","",IF(B186&lt;- $F$7,"Left tangent",IF(B186&lt;=$F$7,"Parabolic curve","Right tangent")))</f>
        <v/>
      </c>
      <c r="D186" s="9">
        <f>IF(B186="","",IF(B186&lt;- $F$7,$B$5,IF(B186&lt;=$F$7,100*($F$5+$F$8*(B186+$F$7)),$B$6)))</f>
        <v/>
      </c>
      <c r="E186" s="10">
        <f>IF(B186="","",IF(B186&lt;- $F$7,$F$9+$F$5*(B186+$F$7),IF(B186&lt;=$F$7,$F$9+$F$5*(B186+$F$7)+0.5*$F$8*(B186+$F$7)^2,$F$10+$F$6*(B186-$F$7))))</f>
        <v/>
      </c>
      <c r="F186" s="10">
        <f>IF(E186="","",$B$12+E186)</f>
        <v/>
      </c>
      <c r="G186" s="10">
        <f>IF(B186="","",$B$11+B186)</f>
        <v/>
      </c>
      <c r="H186" s="8">
        <f>IF(B186="","",IF(ABS(B186)&lt;1E-9,"PVI",IF(ABS(B186+$F$7)&lt;$B$10/2,"PVC",IF(ABS(B186-$F$7)&lt;$B$10/2,"PVT",""))))</f>
        <v/>
      </c>
    </row>
    <row r="187">
      <c r="A187" s="8">
        <f>IF(B187="","",A186+1)</f>
        <v/>
      </c>
      <c r="B187" s="8">
        <f>IF(B186="","",IF(B186+$B$10&lt;=$B$9+1E-9,B186+$B$10,""))</f>
        <v/>
      </c>
      <c r="C187" s="8">
        <f>IF(B187="","",IF(B187&lt;- $F$7,"Left tangent",IF(B187&lt;=$F$7,"Parabolic curve","Right tangent")))</f>
        <v/>
      </c>
      <c r="D187" s="9">
        <f>IF(B187="","",IF(B187&lt;- $F$7,$B$5,IF(B187&lt;=$F$7,100*($F$5+$F$8*(B187+$F$7)),$B$6)))</f>
        <v/>
      </c>
      <c r="E187" s="10">
        <f>IF(B187="","",IF(B187&lt;- $F$7,$F$9+$F$5*(B187+$F$7),IF(B187&lt;=$F$7,$F$9+$F$5*(B187+$F$7)+0.5*$F$8*(B187+$F$7)^2,$F$10+$F$6*(B187-$F$7))))</f>
        <v/>
      </c>
      <c r="F187" s="10">
        <f>IF(E187="","",$B$12+E187)</f>
        <v/>
      </c>
      <c r="G187" s="10">
        <f>IF(B187="","",$B$11+B187)</f>
        <v/>
      </c>
      <c r="H187" s="8">
        <f>IF(B187="","",IF(ABS(B187)&lt;1E-9,"PVI",IF(ABS(B187+$F$7)&lt;$B$10/2,"PVC",IF(ABS(B187-$F$7)&lt;$B$10/2,"PVT",""))))</f>
        <v/>
      </c>
    </row>
    <row r="188">
      <c r="A188" s="8">
        <f>IF(B188="","",A187+1)</f>
        <v/>
      </c>
      <c r="B188" s="8">
        <f>IF(B187="","",IF(B187+$B$10&lt;=$B$9+1E-9,B187+$B$10,""))</f>
        <v/>
      </c>
      <c r="C188" s="8">
        <f>IF(B188="","",IF(B188&lt;- $F$7,"Left tangent",IF(B188&lt;=$F$7,"Parabolic curve","Right tangent")))</f>
        <v/>
      </c>
      <c r="D188" s="9">
        <f>IF(B188="","",IF(B188&lt;- $F$7,$B$5,IF(B188&lt;=$F$7,100*($F$5+$F$8*(B188+$F$7)),$B$6)))</f>
        <v/>
      </c>
      <c r="E188" s="10">
        <f>IF(B188="","",IF(B188&lt;- $F$7,$F$9+$F$5*(B188+$F$7),IF(B188&lt;=$F$7,$F$9+$F$5*(B188+$F$7)+0.5*$F$8*(B188+$F$7)^2,$F$10+$F$6*(B188-$F$7))))</f>
        <v/>
      </c>
      <c r="F188" s="10">
        <f>IF(E188="","",$B$12+E188)</f>
        <v/>
      </c>
      <c r="G188" s="10">
        <f>IF(B188="","",$B$11+B188)</f>
        <v/>
      </c>
      <c r="H188" s="8">
        <f>IF(B188="","",IF(ABS(B188)&lt;1E-9,"PVI",IF(ABS(B188+$F$7)&lt;$B$10/2,"PVC",IF(ABS(B188-$F$7)&lt;$B$10/2,"PVT",""))))</f>
        <v/>
      </c>
    </row>
    <row r="189">
      <c r="A189" s="8">
        <f>IF(B189="","",A188+1)</f>
        <v/>
      </c>
      <c r="B189" s="8">
        <f>IF(B188="","",IF(B188+$B$10&lt;=$B$9+1E-9,B188+$B$10,""))</f>
        <v/>
      </c>
      <c r="C189" s="8">
        <f>IF(B189="","",IF(B189&lt;- $F$7,"Left tangent",IF(B189&lt;=$F$7,"Parabolic curve","Right tangent")))</f>
        <v/>
      </c>
      <c r="D189" s="9">
        <f>IF(B189="","",IF(B189&lt;- $F$7,$B$5,IF(B189&lt;=$F$7,100*($F$5+$F$8*(B189+$F$7)),$B$6)))</f>
        <v/>
      </c>
      <c r="E189" s="10">
        <f>IF(B189="","",IF(B189&lt;- $F$7,$F$9+$F$5*(B189+$F$7),IF(B189&lt;=$F$7,$F$9+$F$5*(B189+$F$7)+0.5*$F$8*(B189+$F$7)^2,$F$10+$F$6*(B189-$F$7))))</f>
        <v/>
      </c>
      <c r="F189" s="10">
        <f>IF(E189="","",$B$12+E189)</f>
        <v/>
      </c>
      <c r="G189" s="10">
        <f>IF(B189="","",$B$11+B189)</f>
        <v/>
      </c>
      <c r="H189" s="8">
        <f>IF(B189="","",IF(ABS(B189)&lt;1E-9,"PVI",IF(ABS(B189+$F$7)&lt;$B$10/2,"PVC",IF(ABS(B189-$F$7)&lt;$B$10/2,"PVT",""))))</f>
        <v/>
      </c>
    </row>
    <row r="190">
      <c r="A190" s="8">
        <f>IF(B190="","",A189+1)</f>
        <v/>
      </c>
      <c r="B190" s="8">
        <f>IF(B189="","",IF(B189+$B$10&lt;=$B$9+1E-9,B189+$B$10,""))</f>
        <v/>
      </c>
      <c r="C190" s="8">
        <f>IF(B190="","",IF(B190&lt;- $F$7,"Left tangent",IF(B190&lt;=$F$7,"Parabolic curve","Right tangent")))</f>
        <v/>
      </c>
      <c r="D190" s="9">
        <f>IF(B190="","",IF(B190&lt;- $F$7,$B$5,IF(B190&lt;=$F$7,100*($F$5+$F$8*(B190+$F$7)),$B$6)))</f>
        <v/>
      </c>
      <c r="E190" s="10">
        <f>IF(B190="","",IF(B190&lt;- $F$7,$F$9+$F$5*(B190+$F$7),IF(B190&lt;=$F$7,$F$9+$F$5*(B190+$F$7)+0.5*$F$8*(B190+$F$7)^2,$F$10+$F$6*(B190-$F$7))))</f>
        <v/>
      </c>
      <c r="F190" s="10">
        <f>IF(E190="","",$B$12+E190)</f>
        <v/>
      </c>
      <c r="G190" s="10">
        <f>IF(B190="","",$B$11+B190)</f>
        <v/>
      </c>
      <c r="H190" s="8">
        <f>IF(B190="","",IF(ABS(B190)&lt;1E-9,"PVI",IF(ABS(B190+$F$7)&lt;$B$10/2,"PVC",IF(ABS(B190-$F$7)&lt;$B$10/2,"PVT",""))))</f>
        <v/>
      </c>
    </row>
    <row r="191">
      <c r="A191" s="8">
        <f>IF(B191="","",A190+1)</f>
        <v/>
      </c>
      <c r="B191" s="8">
        <f>IF(B190="","",IF(B190+$B$10&lt;=$B$9+1E-9,B190+$B$10,""))</f>
        <v/>
      </c>
      <c r="C191" s="8">
        <f>IF(B191="","",IF(B191&lt;- $F$7,"Left tangent",IF(B191&lt;=$F$7,"Parabolic curve","Right tangent")))</f>
        <v/>
      </c>
      <c r="D191" s="9">
        <f>IF(B191="","",IF(B191&lt;- $F$7,$B$5,IF(B191&lt;=$F$7,100*($F$5+$F$8*(B191+$F$7)),$B$6)))</f>
        <v/>
      </c>
      <c r="E191" s="10">
        <f>IF(B191="","",IF(B191&lt;- $F$7,$F$9+$F$5*(B191+$F$7),IF(B191&lt;=$F$7,$F$9+$F$5*(B191+$F$7)+0.5*$F$8*(B191+$F$7)^2,$F$10+$F$6*(B191-$F$7))))</f>
        <v/>
      </c>
      <c r="F191" s="10">
        <f>IF(E191="","",$B$12+E191)</f>
        <v/>
      </c>
      <c r="G191" s="10">
        <f>IF(B191="","",$B$11+B191)</f>
        <v/>
      </c>
      <c r="H191" s="8">
        <f>IF(B191="","",IF(ABS(B191)&lt;1E-9,"PVI",IF(ABS(B191+$F$7)&lt;$B$10/2,"PVC",IF(ABS(B191-$F$7)&lt;$B$10/2,"PVT",""))))</f>
        <v/>
      </c>
    </row>
    <row r="192">
      <c r="A192" s="8">
        <f>IF(B192="","",A191+1)</f>
        <v/>
      </c>
      <c r="B192" s="8">
        <f>IF(B191="","",IF(B191+$B$10&lt;=$B$9+1E-9,B191+$B$10,""))</f>
        <v/>
      </c>
      <c r="C192" s="8">
        <f>IF(B192="","",IF(B192&lt;- $F$7,"Left tangent",IF(B192&lt;=$F$7,"Parabolic curve","Right tangent")))</f>
        <v/>
      </c>
      <c r="D192" s="9">
        <f>IF(B192="","",IF(B192&lt;- $F$7,$B$5,IF(B192&lt;=$F$7,100*($F$5+$F$8*(B192+$F$7)),$B$6)))</f>
        <v/>
      </c>
      <c r="E192" s="10">
        <f>IF(B192="","",IF(B192&lt;- $F$7,$F$9+$F$5*(B192+$F$7),IF(B192&lt;=$F$7,$F$9+$F$5*(B192+$F$7)+0.5*$F$8*(B192+$F$7)^2,$F$10+$F$6*(B192-$F$7))))</f>
        <v/>
      </c>
      <c r="F192" s="10">
        <f>IF(E192="","",$B$12+E192)</f>
        <v/>
      </c>
      <c r="G192" s="10">
        <f>IF(B192="","",$B$11+B192)</f>
        <v/>
      </c>
      <c r="H192" s="8">
        <f>IF(B192="","",IF(ABS(B192)&lt;1E-9,"PVI",IF(ABS(B192+$F$7)&lt;$B$10/2,"PVC",IF(ABS(B192-$F$7)&lt;$B$10/2,"PVT",""))))</f>
        <v/>
      </c>
    </row>
    <row r="193">
      <c r="A193" s="8">
        <f>IF(B193="","",A192+1)</f>
        <v/>
      </c>
      <c r="B193" s="8">
        <f>IF(B192="","",IF(B192+$B$10&lt;=$B$9+1E-9,B192+$B$10,""))</f>
        <v/>
      </c>
      <c r="C193" s="8">
        <f>IF(B193="","",IF(B193&lt;- $F$7,"Left tangent",IF(B193&lt;=$F$7,"Parabolic curve","Right tangent")))</f>
        <v/>
      </c>
      <c r="D193" s="9">
        <f>IF(B193="","",IF(B193&lt;- $F$7,$B$5,IF(B193&lt;=$F$7,100*($F$5+$F$8*(B193+$F$7)),$B$6)))</f>
        <v/>
      </c>
      <c r="E193" s="10">
        <f>IF(B193="","",IF(B193&lt;- $F$7,$F$9+$F$5*(B193+$F$7),IF(B193&lt;=$F$7,$F$9+$F$5*(B193+$F$7)+0.5*$F$8*(B193+$F$7)^2,$F$10+$F$6*(B193-$F$7))))</f>
        <v/>
      </c>
      <c r="F193" s="10">
        <f>IF(E193="","",$B$12+E193)</f>
        <v/>
      </c>
      <c r="G193" s="10">
        <f>IF(B193="","",$B$11+B193)</f>
        <v/>
      </c>
      <c r="H193" s="8">
        <f>IF(B193="","",IF(ABS(B193)&lt;1E-9,"PVI",IF(ABS(B193+$F$7)&lt;$B$10/2,"PVC",IF(ABS(B193-$F$7)&lt;$B$10/2,"PVT",""))))</f>
        <v/>
      </c>
    </row>
    <row r="194">
      <c r="A194" s="8">
        <f>IF(B194="","",A193+1)</f>
        <v/>
      </c>
      <c r="B194" s="8">
        <f>IF(B193="","",IF(B193+$B$10&lt;=$B$9+1E-9,B193+$B$10,""))</f>
        <v/>
      </c>
      <c r="C194" s="8">
        <f>IF(B194="","",IF(B194&lt;- $F$7,"Left tangent",IF(B194&lt;=$F$7,"Parabolic curve","Right tangent")))</f>
        <v/>
      </c>
      <c r="D194" s="9">
        <f>IF(B194="","",IF(B194&lt;- $F$7,$B$5,IF(B194&lt;=$F$7,100*($F$5+$F$8*(B194+$F$7)),$B$6)))</f>
        <v/>
      </c>
      <c r="E194" s="10">
        <f>IF(B194="","",IF(B194&lt;- $F$7,$F$9+$F$5*(B194+$F$7),IF(B194&lt;=$F$7,$F$9+$F$5*(B194+$F$7)+0.5*$F$8*(B194+$F$7)^2,$F$10+$F$6*(B194-$F$7))))</f>
        <v/>
      </c>
      <c r="F194" s="10">
        <f>IF(E194="","",$B$12+E194)</f>
        <v/>
      </c>
      <c r="G194" s="10">
        <f>IF(B194="","",$B$11+B194)</f>
        <v/>
      </c>
      <c r="H194" s="8">
        <f>IF(B194="","",IF(ABS(B194)&lt;1E-9,"PVI",IF(ABS(B194+$F$7)&lt;$B$10/2,"PVC",IF(ABS(B194-$F$7)&lt;$B$10/2,"PVT",""))))</f>
        <v/>
      </c>
    </row>
    <row r="195">
      <c r="A195" s="8">
        <f>IF(B195="","",A194+1)</f>
        <v/>
      </c>
      <c r="B195" s="8">
        <f>IF(B194="","",IF(B194+$B$10&lt;=$B$9+1E-9,B194+$B$10,""))</f>
        <v/>
      </c>
      <c r="C195" s="8">
        <f>IF(B195="","",IF(B195&lt;- $F$7,"Left tangent",IF(B195&lt;=$F$7,"Parabolic curve","Right tangent")))</f>
        <v/>
      </c>
      <c r="D195" s="9">
        <f>IF(B195="","",IF(B195&lt;- $F$7,$B$5,IF(B195&lt;=$F$7,100*($F$5+$F$8*(B195+$F$7)),$B$6)))</f>
        <v/>
      </c>
      <c r="E195" s="10">
        <f>IF(B195="","",IF(B195&lt;- $F$7,$F$9+$F$5*(B195+$F$7),IF(B195&lt;=$F$7,$F$9+$F$5*(B195+$F$7)+0.5*$F$8*(B195+$F$7)^2,$F$10+$F$6*(B195-$F$7))))</f>
        <v/>
      </c>
      <c r="F195" s="10">
        <f>IF(E195="","",$B$12+E195)</f>
        <v/>
      </c>
      <c r="G195" s="10">
        <f>IF(B195="","",$B$11+B195)</f>
        <v/>
      </c>
      <c r="H195" s="8">
        <f>IF(B195="","",IF(ABS(B195)&lt;1E-9,"PVI",IF(ABS(B195+$F$7)&lt;$B$10/2,"PVC",IF(ABS(B195-$F$7)&lt;$B$10/2,"PVT",""))))</f>
        <v/>
      </c>
    </row>
    <row r="196">
      <c r="A196" s="8">
        <f>IF(B196="","",A195+1)</f>
        <v/>
      </c>
      <c r="B196" s="8">
        <f>IF(B195="","",IF(B195+$B$10&lt;=$B$9+1E-9,B195+$B$10,""))</f>
        <v/>
      </c>
      <c r="C196" s="8">
        <f>IF(B196="","",IF(B196&lt;- $F$7,"Left tangent",IF(B196&lt;=$F$7,"Parabolic curve","Right tangent")))</f>
        <v/>
      </c>
      <c r="D196" s="9">
        <f>IF(B196="","",IF(B196&lt;- $F$7,$B$5,IF(B196&lt;=$F$7,100*($F$5+$F$8*(B196+$F$7)),$B$6)))</f>
        <v/>
      </c>
      <c r="E196" s="10">
        <f>IF(B196="","",IF(B196&lt;- $F$7,$F$9+$F$5*(B196+$F$7),IF(B196&lt;=$F$7,$F$9+$F$5*(B196+$F$7)+0.5*$F$8*(B196+$F$7)^2,$F$10+$F$6*(B196-$F$7))))</f>
        <v/>
      </c>
      <c r="F196" s="10">
        <f>IF(E196="","",$B$12+E196)</f>
        <v/>
      </c>
      <c r="G196" s="10">
        <f>IF(B196="","",$B$11+B196)</f>
        <v/>
      </c>
      <c r="H196" s="8">
        <f>IF(B196="","",IF(ABS(B196)&lt;1E-9,"PVI",IF(ABS(B196+$F$7)&lt;$B$10/2,"PVC",IF(ABS(B196-$F$7)&lt;$B$10/2,"PVT",""))))</f>
        <v/>
      </c>
    </row>
    <row r="197">
      <c r="A197" s="8">
        <f>IF(B197="","",A196+1)</f>
        <v/>
      </c>
      <c r="B197" s="8">
        <f>IF(B196="","",IF(B196+$B$10&lt;=$B$9+1E-9,B196+$B$10,""))</f>
        <v/>
      </c>
      <c r="C197" s="8">
        <f>IF(B197="","",IF(B197&lt;- $F$7,"Left tangent",IF(B197&lt;=$F$7,"Parabolic curve","Right tangent")))</f>
        <v/>
      </c>
      <c r="D197" s="9">
        <f>IF(B197="","",IF(B197&lt;- $F$7,$B$5,IF(B197&lt;=$F$7,100*($F$5+$F$8*(B197+$F$7)),$B$6)))</f>
        <v/>
      </c>
      <c r="E197" s="10">
        <f>IF(B197="","",IF(B197&lt;- $F$7,$F$9+$F$5*(B197+$F$7),IF(B197&lt;=$F$7,$F$9+$F$5*(B197+$F$7)+0.5*$F$8*(B197+$F$7)^2,$F$10+$F$6*(B197-$F$7))))</f>
        <v/>
      </c>
      <c r="F197" s="10">
        <f>IF(E197="","",$B$12+E197)</f>
        <v/>
      </c>
      <c r="G197" s="10">
        <f>IF(B197="","",$B$11+B197)</f>
        <v/>
      </c>
      <c r="H197" s="8">
        <f>IF(B197="","",IF(ABS(B197)&lt;1E-9,"PVI",IF(ABS(B197+$F$7)&lt;$B$10/2,"PVC",IF(ABS(B197-$F$7)&lt;$B$10/2,"PVT",""))))</f>
        <v/>
      </c>
    </row>
    <row r="198">
      <c r="A198" s="8">
        <f>IF(B198="","",A197+1)</f>
        <v/>
      </c>
      <c r="B198" s="8">
        <f>IF(B197="","",IF(B197+$B$10&lt;=$B$9+1E-9,B197+$B$10,""))</f>
        <v/>
      </c>
      <c r="C198" s="8">
        <f>IF(B198="","",IF(B198&lt;- $F$7,"Left tangent",IF(B198&lt;=$F$7,"Parabolic curve","Right tangent")))</f>
        <v/>
      </c>
      <c r="D198" s="9">
        <f>IF(B198="","",IF(B198&lt;- $F$7,$B$5,IF(B198&lt;=$F$7,100*($F$5+$F$8*(B198+$F$7)),$B$6)))</f>
        <v/>
      </c>
      <c r="E198" s="10">
        <f>IF(B198="","",IF(B198&lt;- $F$7,$F$9+$F$5*(B198+$F$7),IF(B198&lt;=$F$7,$F$9+$F$5*(B198+$F$7)+0.5*$F$8*(B198+$F$7)^2,$F$10+$F$6*(B198-$F$7))))</f>
        <v/>
      </c>
      <c r="F198" s="10">
        <f>IF(E198="","",$B$12+E198)</f>
        <v/>
      </c>
      <c r="G198" s="10">
        <f>IF(B198="","",$B$11+B198)</f>
        <v/>
      </c>
      <c r="H198" s="8">
        <f>IF(B198="","",IF(ABS(B198)&lt;1E-9,"PVI",IF(ABS(B198+$F$7)&lt;$B$10/2,"PVC",IF(ABS(B198-$F$7)&lt;$B$10/2,"PVT",""))))</f>
        <v/>
      </c>
    </row>
    <row r="199">
      <c r="A199" s="8">
        <f>IF(B199="","",A198+1)</f>
        <v/>
      </c>
      <c r="B199" s="8">
        <f>IF(B198="","",IF(B198+$B$10&lt;=$B$9+1E-9,B198+$B$10,""))</f>
        <v/>
      </c>
      <c r="C199" s="8">
        <f>IF(B199="","",IF(B199&lt;- $F$7,"Left tangent",IF(B199&lt;=$F$7,"Parabolic curve","Right tangent")))</f>
        <v/>
      </c>
      <c r="D199" s="9">
        <f>IF(B199="","",IF(B199&lt;- $F$7,$B$5,IF(B199&lt;=$F$7,100*($F$5+$F$8*(B199+$F$7)),$B$6)))</f>
        <v/>
      </c>
      <c r="E199" s="10">
        <f>IF(B199="","",IF(B199&lt;- $F$7,$F$9+$F$5*(B199+$F$7),IF(B199&lt;=$F$7,$F$9+$F$5*(B199+$F$7)+0.5*$F$8*(B199+$F$7)^2,$F$10+$F$6*(B199-$F$7))))</f>
        <v/>
      </c>
      <c r="F199" s="10">
        <f>IF(E199="","",$B$12+E199)</f>
        <v/>
      </c>
      <c r="G199" s="10">
        <f>IF(B199="","",$B$11+B199)</f>
        <v/>
      </c>
      <c r="H199" s="8">
        <f>IF(B199="","",IF(ABS(B199)&lt;1E-9,"PVI",IF(ABS(B199+$F$7)&lt;$B$10/2,"PVC",IF(ABS(B199-$F$7)&lt;$B$10/2,"PVT",""))))</f>
        <v/>
      </c>
    </row>
    <row r="200">
      <c r="A200" s="8">
        <f>IF(B200="","",A199+1)</f>
        <v/>
      </c>
      <c r="B200" s="8">
        <f>IF(B199="","",IF(B199+$B$10&lt;=$B$9+1E-9,B199+$B$10,""))</f>
        <v/>
      </c>
      <c r="C200" s="8">
        <f>IF(B200="","",IF(B200&lt;- $F$7,"Left tangent",IF(B200&lt;=$F$7,"Parabolic curve","Right tangent")))</f>
        <v/>
      </c>
      <c r="D200" s="9">
        <f>IF(B200="","",IF(B200&lt;- $F$7,$B$5,IF(B200&lt;=$F$7,100*($F$5+$F$8*(B200+$F$7)),$B$6)))</f>
        <v/>
      </c>
      <c r="E200" s="10">
        <f>IF(B200="","",IF(B200&lt;- $F$7,$F$9+$F$5*(B200+$F$7),IF(B200&lt;=$F$7,$F$9+$F$5*(B200+$F$7)+0.5*$F$8*(B200+$F$7)^2,$F$10+$F$6*(B200-$F$7))))</f>
        <v/>
      </c>
      <c r="F200" s="10">
        <f>IF(E200="","",$B$12+E200)</f>
        <v/>
      </c>
      <c r="G200" s="10">
        <f>IF(B200="","",$B$11+B200)</f>
        <v/>
      </c>
      <c r="H200" s="8">
        <f>IF(B200="","",IF(ABS(B200)&lt;1E-9,"PVI",IF(ABS(B200+$F$7)&lt;$B$10/2,"PVC",IF(ABS(B200-$F$7)&lt;$B$10/2,"PVT",""))))</f>
        <v/>
      </c>
    </row>
    <row r="201">
      <c r="A201" s="8">
        <f>IF(B201="","",A200+1)</f>
        <v/>
      </c>
      <c r="B201" s="8">
        <f>IF(B200="","",IF(B200+$B$10&lt;=$B$9+1E-9,B200+$B$10,""))</f>
        <v/>
      </c>
      <c r="C201" s="8">
        <f>IF(B201="","",IF(B201&lt;- $F$7,"Left tangent",IF(B201&lt;=$F$7,"Parabolic curve","Right tangent")))</f>
        <v/>
      </c>
      <c r="D201" s="9">
        <f>IF(B201="","",IF(B201&lt;- $F$7,$B$5,IF(B201&lt;=$F$7,100*($F$5+$F$8*(B201+$F$7)),$B$6)))</f>
        <v/>
      </c>
      <c r="E201" s="10">
        <f>IF(B201="","",IF(B201&lt;- $F$7,$F$9+$F$5*(B201+$F$7),IF(B201&lt;=$F$7,$F$9+$F$5*(B201+$F$7)+0.5*$F$8*(B201+$F$7)^2,$F$10+$F$6*(B201-$F$7))))</f>
        <v/>
      </c>
      <c r="F201" s="10">
        <f>IF(E201="","",$B$12+E201)</f>
        <v/>
      </c>
      <c r="G201" s="10">
        <f>IF(B201="","",$B$11+B201)</f>
        <v/>
      </c>
      <c r="H201" s="8">
        <f>IF(B201="","",IF(ABS(B201)&lt;1E-9,"PVI",IF(ABS(B201+$F$7)&lt;$B$10/2,"PVC",IF(ABS(B201-$F$7)&lt;$B$10/2,"PVT",""))))</f>
        <v/>
      </c>
    </row>
    <row r="202">
      <c r="A202" s="8">
        <f>IF(B202="","",A201+1)</f>
        <v/>
      </c>
      <c r="B202" s="8">
        <f>IF(B201="","",IF(B201+$B$10&lt;=$B$9+1E-9,B201+$B$10,""))</f>
        <v/>
      </c>
      <c r="C202" s="8">
        <f>IF(B202="","",IF(B202&lt;- $F$7,"Left tangent",IF(B202&lt;=$F$7,"Parabolic curve","Right tangent")))</f>
        <v/>
      </c>
      <c r="D202" s="9">
        <f>IF(B202="","",IF(B202&lt;- $F$7,$B$5,IF(B202&lt;=$F$7,100*($F$5+$F$8*(B202+$F$7)),$B$6)))</f>
        <v/>
      </c>
      <c r="E202" s="10">
        <f>IF(B202="","",IF(B202&lt;- $F$7,$F$9+$F$5*(B202+$F$7),IF(B202&lt;=$F$7,$F$9+$F$5*(B202+$F$7)+0.5*$F$8*(B202+$F$7)^2,$F$10+$F$6*(B202-$F$7))))</f>
        <v/>
      </c>
      <c r="F202" s="10">
        <f>IF(E202="","",$B$12+E202)</f>
        <v/>
      </c>
      <c r="G202" s="10">
        <f>IF(B202="","",$B$11+B202)</f>
        <v/>
      </c>
      <c r="H202" s="8">
        <f>IF(B202="","",IF(ABS(B202)&lt;1E-9,"PVI",IF(ABS(B202+$F$7)&lt;$B$10/2,"PVC",IF(ABS(B202-$F$7)&lt;$B$10/2,"PVT",""))))</f>
        <v/>
      </c>
    </row>
    <row r="203">
      <c r="A203" s="8">
        <f>IF(B203="","",A202+1)</f>
        <v/>
      </c>
      <c r="B203" s="8">
        <f>IF(B202="","",IF(B202+$B$10&lt;=$B$9+1E-9,B202+$B$10,""))</f>
        <v/>
      </c>
      <c r="C203" s="8">
        <f>IF(B203="","",IF(B203&lt;- $F$7,"Left tangent",IF(B203&lt;=$F$7,"Parabolic curve","Right tangent")))</f>
        <v/>
      </c>
      <c r="D203" s="9">
        <f>IF(B203="","",IF(B203&lt;- $F$7,$B$5,IF(B203&lt;=$F$7,100*($F$5+$F$8*(B203+$F$7)),$B$6)))</f>
        <v/>
      </c>
      <c r="E203" s="10">
        <f>IF(B203="","",IF(B203&lt;- $F$7,$F$9+$F$5*(B203+$F$7),IF(B203&lt;=$F$7,$F$9+$F$5*(B203+$F$7)+0.5*$F$8*(B203+$F$7)^2,$F$10+$F$6*(B203-$F$7))))</f>
        <v/>
      </c>
      <c r="F203" s="10">
        <f>IF(E203="","",$B$12+E203)</f>
        <v/>
      </c>
      <c r="G203" s="10">
        <f>IF(B203="","",$B$11+B203)</f>
        <v/>
      </c>
      <c r="H203" s="8">
        <f>IF(B203="","",IF(ABS(B203)&lt;1E-9,"PVI",IF(ABS(B203+$F$7)&lt;$B$10/2,"PVC",IF(ABS(B203-$F$7)&lt;$B$10/2,"PVT",""))))</f>
        <v/>
      </c>
    </row>
    <row r="204">
      <c r="A204" s="8">
        <f>IF(B204="","",A203+1)</f>
        <v/>
      </c>
      <c r="B204" s="8">
        <f>IF(B203="","",IF(B203+$B$10&lt;=$B$9+1E-9,B203+$B$10,""))</f>
        <v/>
      </c>
      <c r="C204" s="8">
        <f>IF(B204="","",IF(B204&lt;- $F$7,"Left tangent",IF(B204&lt;=$F$7,"Parabolic curve","Right tangent")))</f>
        <v/>
      </c>
      <c r="D204" s="9">
        <f>IF(B204="","",IF(B204&lt;- $F$7,$B$5,IF(B204&lt;=$F$7,100*($F$5+$F$8*(B204+$F$7)),$B$6)))</f>
        <v/>
      </c>
      <c r="E204" s="10">
        <f>IF(B204="","",IF(B204&lt;- $F$7,$F$9+$F$5*(B204+$F$7),IF(B204&lt;=$F$7,$F$9+$F$5*(B204+$F$7)+0.5*$F$8*(B204+$F$7)^2,$F$10+$F$6*(B204-$F$7))))</f>
        <v/>
      </c>
      <c r="F204" s="10">
        <f>IF(E204="","",$B$12+E204)</f>
        <v/>
      </c>
      <c r="G204" s="10">
        <f>IF(B204="","",$B$11+B204)</f>
        <v/>
      </c>
      <c r="H204" s="8">
        <f>IF(B204="","",IF(ABS(B204)&lt;1E-9,"PVI",IF(ABS(B204+$F$7)&lt;$B$10/2,"PVC",IF(ABS(B204-$F$7)&lt;$B$10/2,"PVT",""))))</f>
        <v/>
      </c>
    </row>
    <row r="205">
      <c r="A205" s="8">
        <f>IF(B205="","",A204+1)</f>
        <v/>
      </c>
      <c r="B205" s="8">
        <f>IF(B204="","",IF(B204+$B$10&lt;=$B$9+1E-9,B204+$B$10,""))</f>
        <v/>
      </c>
      <c r="C205" s="8">
        <f>IF(B205="","",IF(B205&lt;- $F$7,"Left tangent",IF(B205&lt;=$F$7,"Parabolic curve","Right tangent")))</f>
        <v/>
      </c>
      <c r="D205" s="9">
        <f>IF(B205="","",IF(B205&lt;- $F$7,$B$5,IF(B205&lt;=$F$7,100*($F$5+$F$8*(B205+$F$7)),$B$6)))</f>
        <v/>
      </c>
      <c r="E205" s="10">
        <f>IF(B205="","",IF(B205&lt;- $F$7,$F$9+$F$5*(B205+$F$7),IF(B205&lt;=$F$7,$F$9+$F$5*(B205+$F$7)+0.5*$F$8*(B205+$F$7)^2,$F$10+$F$6*(B205-$F$7))))</f>
        <v/>
      </c>
      <c r="F205" s="10">
        <f>IF(E205="","",$B$12+E205)</f>
        <v/>
      </c>
      <c r="G205" s="10">
        <f>IF(B205="","",$B$11+B205)</f>
        <v/>
      </c>
      <c r="H205" s="8">
        <f>IF(B205="","",IF(ABS(B205)&lt;1E-9,"PVI",IF(ABS(B205+$F$7)&lt;$B$10/2,"PVC",IF(ABS(B205-$F$7)&lt;$B$10/2,"PVT",""))))</f>
        <v/>
      </c>
    </row>
    <row r="206">
      <c r="A206" s="8">
        <f>IF(B206="","",A205+1)</f>
        <v/>
      </c>
      <c r="B206" s="8">
        <f>IF(B205="","",IF(B205+$B$10&lt;=$B$9+1E-9,B205+$B$10,""))</f>
        <v/>
      </c>
      <c r="C206" s="8">
        <f>IF(B206="","",IF(B206&lt;- $F$7,"Left tangent",IF(B206&lt;=$F$7,"Parabolic curve","Right tangent")))</f>
        <v/>
      </c>
      <c r="D206" s="9">
        <f>IF(B206="","",IF(B206&lt;- $F$7,$B$5,IF(B206&lt;=$F$7,100*($F$5+$F$8*(B206+$F$7)),$B$6)))</f>
        <v/>
      </c>
      <c r="E206" s="10">
        <f>IF(B206="","",IF(B206&lt;- $F$7,$F$9+$F$5*(B206+$F$7),IF(B206&lt;=$F$7,$F$9+$F$5*(B206+$F$7)+0.5*$F$8*(B206+$F$7)^2,$F$10+$F$6*(B206-$F$7))))</f>
        <v/>
      </c>
      <c r="F206" s="10">
        <f>IF(E206="","",$B$12+E206)</f>
        <v/>
      </c>
      <c r="G206" s="10">
        <f>IF(B206="","",$B$11+B206)</f>
        <v/>
      </c>
      <c r="H206" s="8">
        <f>IF(B206="","",IF(ABS(B206)&lt;1E-9,"PVI",IF(ABS(B206+$F$7)&lt;$B$10/2,"PVC",IF(ABS(B206-$F$7)&lt;$B$10/2,"PVT",""))))</f>
        <v/>
      </c>
    </row>
    <row r="207">
      <c r="A207" s="8">
        <f>IF(B207="","",A206+1)</f>
        <v/>
      </c>
      <c r="B207" s="8">
        <f>IF(B206="","",IF(B206+$B$10&lt;=$B$9+1E-9,B206+$B$10,""))</f>
        <v/>
      </c>
      <c r="C207" s="8">
        <f>IF(B207="","",IF(B207&lt;- $F$7,"Left tangent",IF(B207&lt;=$F$7,"Parabolic curve","Right tangent")))</f>
        <v/>
      </c>
      <c r="D207" s="9">
        <f>IF(B207="","",IF(B207&lt;- $F$7,$B$5,IF(B207&lt;=$F$7,100*($F$5+$F$8*(B207+$F$7)),$B$6)))</f>
        <v/>
      </c>
      <c r="E207" s="10">
        <f>IF(B207="","",IF(B207&lt;- $F$7,$F$9+$F$5*(B207+$F$7),IF(B207&lt;=$F$7,$F$9+$F$5*(B207+$F$7)+0.5*$F$8*(B207+$F$7)^2,$F$10+$F$6*(B207-$F$7))))</f>
        <v/>
      </c>
      <c r="F207" s="10">
        <f>IF(E207="","",$B$12+E207)</f>
        <v/>
      </c>
      <c r="G207" s="10">
        <f>IF(B207="","",$B$11+B207)</f>
        <v/>
      </c>
      <c r="H207" s="8">
        <f>IF(B207="","",IF(ABS(B207)&lt;1E-9,"PVI",IF(ABS(B207+$F$7)&lt;$B$10/2,"PVC",IF(ABS(B207-$F$7)&lt;$B$10/2,"PVT",""))))</f>
        <v/>
      </c>
    </row>
    <row r="208">
      <c r="A208" s="8">
        <f>IF(B208="","",A207+1)</f>
        <v/>
      </c>
      <c r="B208" s="8">
        <f>IF(B207="","",IF(B207+$B$10&lt;=$B$9+1E-9,B207+$B$10,""))</f>
        <v/>
      </c>
      <c r="C208" s="8">
        <f>IF(B208="","",IF(B208&lt;- $F$7,"Left tangent",IF(B208&lt;=$F$7,"Parabolic curve","Right tangent")))</f>
        <v/>
      </c>
      <c r="D208" s="9">
        <f>IF(B208="","",IF(B208&lt;- $F$7,$B$5,IF(B208&lt;=$F$7,100*($F$5+$F$8*(B208+$F$7)),$B$6)))</f>
        <v/>
      </c>
      <c r="E208" s="10">
        <f>IF(B208="","",IF(B208&lt;- $F$7,$F$9+$F$5*(B208+$F$7),IF(B208&lt;=$F$7,$F$9+$F$5*(B208+$F$7)+0.5*$F$8*(B208+$F$7)^2,$F$10+$F$6*(B208-$F$7))))</f>
        <v/>
      </c>
      <c r="F208" s="10">
        <f>IF(E208="","",$B$12+E208)</f>
        <v/>
      </c>
      <c r="G208" s="10">
        <f>IF(B208="","",$B$11+B208)</f>
        <v/>
      </c>
      <c r="H208" s="8">
        <f>IF(B208="","",IF(ABS(B208)&lt;1E-9,"PVI",IF(ABS(B208+$F$7)&lt;$B$10/2,"PVC",IF(ABS(B208-$F$7)&lt;$B$10/2,"PVT",""))))</f>
        <v/>
      </c>
    </row>
    <row r="209">
      <c r="A209" s="8">
        <f>IF(B209="","",A208+1)</f>
        <v/>
      </c>
      <c r="B209" s="8">
        <f>IF(B208="","",IF(B208+$B$10&lt;=$B$9+1E-9,B208+$B$10,""))</f>
        <v/>
      </c>
      <c r="C209" s="8">
        <f>IF(B209="","",IF(B209&lt;- $F$7,"Left tangent",IF(B209&lt;=$F$7,"Parabolic curve","Right tangent")))</f>
        <v/>
      </c>
      <c r="D209" s="9">
        <f>IF(B209="","",IF(B209&lt;- $F$7,$B$5,IF(B209&lt;=$F$7,100*($F$5+$F$8*(B209+$F$7)),$B$6)))</f>
        <v/>
      </c>
      <c r="E209" s="10">
        <f>IF(B209="","",IF(B209&lt;- $F$7,$F$9+$F$5*(B209+$F$7),IF(B209&lt;=$F$7,$F$9+$F$5*(B209+$F$7)+0.5*$F$8*(B209+$F$7)^2,$F$10+$F$6*(B209-$F$7))))</f>
        <v/>
      </c>
      <c r="F209" s="10">
        <f>IF(E209="","",$B$12+E209)</f>
        <v/>
      </c>
      <c r="G209" s="10">
        <f>IF(B209="","",$B$11+B209)</f>
        <v/>
      </c>
      <c r="H209" s="8">
        <f>IF(B209="","",IF(ABS(B209)&lt;1E-9,"PVI",IF(ABS(B209+$F$7)&lt;$B$10/2,"PVC",IF(ABS(B209-$F$7)&lt;$B$10/2,"PVT",""))))</f>
        <v/>
      </c>
    </row>
    <row r="210">
      <c r="A210" s="8">
        <f>IF(B210="","",A209+1)</f>
        <v/>
      </c>
      <c r="B210" s="8">
        <f>IF(B209="","",IF(B209+$B$10&lt;=$B$9+1E-9,B209+$B$10,""))</f>
        <v/>
      </c>
      <c r="C210" s="8">
        <f>IF(B210="","",IF(B210&lt;- $F$7,"Left tangent",IF(B210&lt;=$F$7,"Parabolic curve","Right tangent")))</f>
        <v/>
      </c>
      <c r="D210" s="9">
        <f>IF(B210="","",IF(B210&lt;- $F$7,$B$5,IF(B210&lt;=$F$7,100*($F$5+$F$8*(B210+$F$7)),$B$6)))</f>
        <v/>
      </c>
      <c r="E210" s="10">
        <f>IF(B210="","",IF(B210&lt;- $F$7,$F$9+$F$5*(B210+$F$7),IF(B210&lt;=$F$7,$F$9+$F$5*(B210+$F$7)+0.5*$F$8*(B210+$F$7)^2,$F$10+$F$6*(B210-$F$7))))</f>
        <v/>
      </c>
      <c r="F210" s="10">
        <f>IF(E210="","",$B$12+E210)</f>
        <v/>
      </c>
      <c r="G210" s="10">
        <f>IF(B210="","",$B$11+B210)</f>
        <v/>
      </c>
      <c r="H210" s="8">
        <f>IF(B210="","",IF(ABS(B210)&lt;1E-9,"PVI",IF(ABS(B210+$F$7)&lt;$B$10/2,"PVC",IF(ABS(B210-$F$7)&lt;$B$10/2,"PVT",""))))</f>
        <v/>
      </c>
    </row>
    <row r="211">
      <c r="A211" s="8">
        <f>IF(B211="","",A210+1)</f>
        <v/>
      </c>
      <c r="B211" s="8">
        <f>IF(B210="","",IF(B210+$B$10&lt;=$B$9+1E-9,B210+$B$10,""))</f>
        <v/>
      </c>
      <c r="C211" s="8">
        <f>IF(B211="","",IF(B211&lt;- $F$7,"Left tangent",IF(B211&lt;=$F$7,"Parabolic curve","Right tangent")))</f>
        <v/>
      </c>
      <c r="D211" s="9">
        <f>IF(B211="","",IF(B211&lt;- $F$7,$B$5,IF(B211&lt;=$F$7,100*($F$5+$F$8*(B211+$F$7)),$B$6)))</f>
        <v/>
      </c>
      <c r="E211" s="10">
        <f>IF(B211="","",IF(B211&lt;- $F$7,$F$9+$F$5*(B211+$F$7),IF(B211&lt;=$F$7,$F$9+$F$5*(B211+$F$7)+0.5*$F$8*(B211+$F$7)^2,$F$10+$F$6*(B211-$F$7))))</f>
        <v/>
      </c>
      <c r="F211" s="10">
        <f>IF(E211="","",$B$12+E211)</f>
        <v/>
      </c>
      <c r="G211" s="10">
        <f>IF(B211="","",$B$11+B211)</f>
        <v/>
      </c>
      <c r="H211" s="8">
        <f>IF(B211="","",IF(ABS(B211)&lt;1E-9,"PVI",IF(ABS(B211+$F$7)&lt;$B$10/2,"PVC",IF(ABS(B211-$F$7)&lt;$B$10/2,"PVT",""))))</f>
        <v/>
      </c>
    </row>
    <row r="212">
      <c r="A212" s="8">
        <f>IF(B212="","",A211+1)</f>
        <v/>
      </c>
      <c r="B212" s="8">
        <f>IF(B211="","",IF(B211+$B$10&lt;=$B$9+1E-9,B211+$B$10,""))</f>
        <v/>
      </c>
      <c r="C212" s="8">
        <f>IF(B212="","",IF(B212&lt;- $F$7,"Left tangent",IF(B212&lt;=$F$7,"Parabolic curve","Right tangent")))</f>
        <v/>
      </c>
      <c r="D212" s="9">
        <f>IF(B212="","",IF(B212&lt;- $F$7,$B$5,IF(B212&lt;=$F$7,100*($F$5+$F$8*(B212+$F$7)),$B$6)))</f>
        <v/>
      </c>
      <c r="E212" s="10">
        <f>IF(B212="","",IF(B212&lt;- $F$7,$F$9+$F$5*(B212+$F$7),IF(B212&lt;=$F$7,$F$9+$F$5*(B212+$F$7)+0.5*$F$8*(B212+$F$7)^2,$F$10+$F$6*(B212-$F$7))))</f>
        <v/>
      </c>
      <c r="F212" s="10">
        <f>IF(E212="","",$B$12+E212)</f>
        <v/>
      </c>
      <c r="G212" s="10">
        <f>IF(B212="","",$B$11+B212)</f>
        <v/>
      </c>
      <c r="H212" s="8">
        <f>IF(B212="","",IF(ABS(B212)&lt;1E-9,"PVI",IF(ABS(B212+$F$7)&lt;$B$10/2,"PVC",IF(ABS(B212-$F$7)&lt;$B$10/2,"PVT",""))))</f>
        <v/>
      </c>
    </row>
    <row r="213">
      <c r="A213" s="8">
        <f>IF(B213="","",A212+1)</f>
        <v/>
      </c>
      <c r="B213" s="8">
        <f>IF(B212="","",IF(B212+$B$10&lt;=$B$9+1E-9,B212+$B$10,""))</f>
        <v/>
      </c>
      <c r="C213" s="8">
        <f>IF(B213="","",IF(B213&lt;- $F$7,"Left tangent",IF(B213&lt;=$F$7,"Parabolic curve","Right tangent")))</f>
        <v/>
      </c>
      <c r="D213" s="9">
        <f>IF(B213="","",IF(B213&lt;- $F$7,$B$5,IF(B213&lt;=$F$7,100*($F$5+$F$8*(B213+$F$7)),$B$6)))</f>
        <v/>
      </c>
      <c r="E213" s="10">
        <f>IF(B213="","",IF(B213&lt;- $F$7,$F$9+$F$5*(B213+$F$7),IF(B213&lt;=$F$7,$F$9+$F$5*(B213+$F$7)+0.5*$F$8*(B213+$F$7)^2,$F$10+$F$6*(B213-$F$7))))</f>
        <v/>
      </c>
      <c r="F213" s="10">
        <f>IF(E213="","",$B$12+E213)</f>
        <v/>
      </c>
      <c r="G213" s="10">
        <f>IF(B213="","",$B$11+B213)</f>
        <v/>
      </c>
      <c r="H213" s="8">
        <f>IF(B213="","",IF(ABS(B213)&lt;1E-9,"PVI",IF(ABS(B213+$F$7)&lt;$B$10/2,"PVC",IF(ABS(B213-$F$7)&lt;$B$10/2,"PVT",""))))</f>
        <v/>
      </c>
    </row>
    <row r="214">
      <c r="A214" s="8">
        <f>IF(B214="","",A213+1)</f>
        <v/>
      </c>
      <c r="B214" s="8">
        <f>IF(B213="","",IF(B213+$B$10&lt;=$B$9+1E-9,B213+$B$10,""))</f>
        <v/>
      </c>
      <c r="C214" s="8">
        <f>IF(B214="","",IF(B214&lt;- $F$7,"Left tangent",IF(B214&lt;=$F$7,"Parabolic curve","Right tangent")))</f>
        <v/>
      </c>
      <c r="D214" s="9">
        <f>IF(B214="","",IF(B214&lt;- $F$7,$B$5,IF(B214&lt;=$F$7,100*($F$5+$F$8*(B214+$F$7)),$B$6)))</f>
        <v/>
      </c>
      <c r="E214" s="10">
        <f>IF(B214="","",IF(B214&lt;- $F$7,$F$9+$F$5*(B214+$F$7),IF(B214&lt;=$F$7,$F$9+$F$5*(B214+$F$7)+0.5*$F$8*(B214+$F$7)^2,$F$10+$F$6*(B214-$F$7))))</f>
        <v/>
      </c>
      <c r="F214" s="10">
        <f>IF(E214="","",$B$12+E214)</f>
        <v/>
      </c>
      <c r="G214" s="10">
        <f>IF(B214="","",$B$11+B214)</f>
        <v/>
      </c>
      <c r="H214" s="8">
        <f>IF(B214="","",IF(ABS(B214)&lt;1E-9,"PVI",IF(ABS(B214+$F$7)&lt;$B$10/2,"PVC",IF(ABS(B214-$F$7)&lt;$B$10/2,"PVT",""))))</f>
        <v/>
      </c>
    </row>
    <row r="215">
      <c r="A215" s="8">
        <f>IF(B215="","",A214+1)</f>
        <v/>
      </c>
      <c r="B215" s="8">
        <f>IF(B214="","",IF(B214+$B$10&lt;=$B$9+1E-9,B214+$B$10,""))</f>
        <v/>
      </c>
      <c r="C215" s="8">
        <f>IF(B215="","",IF(B215&lt;- $F$7,"Left tangent",IF(B215&lt;=$F$7,"Parabolic curve","Right tangent")))</f>
        <v/>
      </c>
      <c r="D215" s="9">
        <f>IF(B215="","",IF(B215&lt;- $F$7,$B$5,IF(B215&lt;=$F$7,100*($F$5+$F$8*(B215+$F$7)),$B$6)))</f>
        <v/>
      </c>
      <c r="E215" s="10">
        <f>IF(B215="","",IF(B215&lt;- $F$7,$F$9+$F$5*(B215+$F$7),IF(B215&lt;=$F$7,$F$9+$F$5*(B215+$F$7)+0.5*$F$8*(B215+$F$7)^2,$F$10+$F$6*(B215-$F$7))))</f>
        <v/>
      </c>
      <c r="F215" s="10">
        <f>IF(E215="","",$B$12+E215)</f>
        <v/>
      </c>
      <c r="G215" s="10">
        <f>IF(B215="","",$B$11+B215)</f>
        <v/>
      </c>
      <c r="H215" s="8">
        <f>IF(B215="","",IF(ABS(B215)&lt;1E-9,"PVI",IF(ABS(B215+$F$7)&lt;$B$10/2,"PVC",IF(ABS(B215-$F$7)&lt;$B$10/2,"PVT",""))))</f>
        <v/>
      </c>
    </row>
    <row r="216">
      <c r="A216" s="8">
        <f>IF(B216="","",A215+1)</f>
        <v/>
      </c>
      <c r="B216" s="8">
        <f>IF(B215="","",IF(B215+$B$10&lt;=$B$9+1E-9,B215+$B$10,""))</f>
        <v/>
      </c>
      <c r="C216" s="8">
        <f>IF(B216="","",IF(B216&lt;- $F$7,"Left tangent",IF(B216&lt;=$F$7,"Parabolic curve","Right tangent")))</f>
        <v/>
      </c>
      <c r="D216" s="9">
        <f>IF(B216="","",IF(B216&lt;- $F$7,$B$5,IF(B216&lt;=$F$7,100*($F$5+$F$8*(B216+$F$7)),$B$6)))</f>
        <v/>
      </c>
      <c r="E216" s="10">
        <f>IF(B216="","",IF(B216&lt;- $F$7,$F$9+$F$5*(B216+$F$7),IF(B216&lt;=$F$7,$F$9+$F$5*(B216+$F$7)+0.5*$F$8*(B216+$F$7)^2,$F$10+$F$6*(B216-$F$7))))</f>
        <v/>
      </c>
      <c r="F216" s="10">
        <f>IF(E216="","",$B$12+E216)</f>
        <v/>
      </c>
      <c r="G216" s="10">
        <f>IF(B216="","",$B$11+B216)</f>
        <v/>
      </c>
      <c r="H216" s="8">
        <f>IF(B216="","",IF(ABS(B216)&lt;1E-9,"PVI",IF(ABS(B216+$F$7)&lt;$B$10/2,"PVC",IF(ABS(B216-$F$7)&lt;$B$10/2,"PVT",""))))</f>
        <v/>
      </c>
    </row>
    <row r="217">
      <c r="A217" s="8">
        <f>IF(B217="","",A216+1)</f>
        <v/>
      </c>
      <c r="B217" s="8">
        <f>IF(B216="","",IF(B216+$B$10&lt;=$B$9+1E-9,B216+$B$10,""))</f>
        <v/>
      </c>
      <c r="C217" s="8">
        <f>IF(B217="","",IF(B217&lt;- $F$7,"Left tangent",IF(B217&lt;=$F$7,"Parabolic curve","Right tangent")))</f>
        <v/>
      </c>
      <c r="D217" s="9">
        <f>IF(B217="","",IF(B217&lt;- $F$7,$B$5,IF(B217&lt;=$F$7,100*($F$5+$F$8*(B217+$F$7)),$B$6)))</f>
        <v/>
      </c>
      <c r="E217" s="10">
        <f>IF(B217="","",IF(B217&lt;- $F$7,$F$9+$F$5*(B217+$F$7),IF(B217&lt;=$F$7,$F$9+$F$5*(B217+$F$7)+0.5*$F$8*(B217+$F$7)^2,$F$10+$F$6*(B217-$F$7))))</f>
        <v/>
      </c>
      <c r="F217" s="10">
        <f>IF(E217="","",$B$12+E217)</f>
        <v/>
      </c>
      <c r="G217" s="10">
        <f>IF(B217="","",$B$11+B217)</f>
        <v/>
      </c>
      <c r="H217" s="8">
        <f>IF(B217="","",IF(ABS(B217)&lt;1E-9,"PVI",IF(ABS(B217+$F$7)&lt;$B$10/2,"PVC",IF(ABS(B217-$F$7)&lt;$B$10/2,"PVT",""))))</f>
        <v/>
      </c>
    </row>
    <row r="218">
      <c r="A218" s="8">
        <f>IF(B218="","",A217+1)</f>
        <v/>
      </c>
      <c r="B218" s="8">
        <f>IF(B217="","",IF(B217+$B$10&lt;=$B$9+1E-9,B217+$B$10,""))</f>
        <v/>
      </c>
      <c r="C218" s="8">
        <f>IF(B218="","",IF(B218&lt;- $F$7,"Left tangent",IF(B218&lt;=$F$7,"Parabolic curve","Right tangent")))</f>
        <v/>
      </c>
      <c r="D218" s="9">
        <f>IF(B218="","",IF(B218&lt;- $F$7,$B$5,IF(B218&lt;=$F$7,100*($F$5+$F$8*(B218+$F$7)),$B$6)))</f>
        <v/>
      </c>
      <c r="E218" s="10">
        <f>IF(B218="","",IF(B218&lt;- $F$7,$F$9+$F$5*(B218+$F$7),IF(B218&lt;=$F$7,$F$9+$F$5*(B218+$F$7)+0.5*$F$8*(B218+$F$7)^2,$F$10+$F$6*(B218-$F$7))))</f>
        <v/>
      </c>
      <c r="F218" s="10">
        <f>IF(E218="","",$B$12+E218)</f>
        <v/>
      </c>
      <c r="G218" s="10">
        <f>IF(B218="","",$B$11+B218)</f>
        <v/>
      </c>
      <c r="H218" s="8">
        <f>IF(B218="","",IF(ABS(B218)&lt;1E-9,"PVI",IF(ABS(B218+$F$7)&lt;$B$10/2,"PVC",IF(ABS(B218-$F$7)&lt;$B$10/2,"PVT",""))))</f>
        <v/>
      </c>
    </row>
    <row r="219">
      <c r="A219" s="8">
        <f>IF(B219="","",A218+1)</f>
        <v/>
      </c>
      <c r="B219" s="8">
        <f>IF(B218="","",IF(B218+$B$10&lt;=$B$9+1E-9,B218+$B$10,""))</f>
        <v/>
      </c>
      <c r="C219" s="8">
        <f>IF(B219="","",IF(B219&lt;- $F$7,"Left tangent",IF(B219&lt;=$F$7,"Parabolic curve","Right tangent")))</f>
        <v/>
      </c>
      <c r="D219" s="9">
        <f>IF(B219="","",IF(B219&lt;- $F$7,$B$5,IF(B219&lt;=$F$7,100*($F$5+$F$8*(B219+$F$7)),$B$6)))</f>
        <v/>
      </c>
      <c r="E219" s="10">
        <f>IF(B219="","",IF(B219&lt;- $F$7,$F$9+$F$5*(B219+$F$7),IF(B219&lt;=$F$7,$F$9+$F$5*(B219+$F$7)+0.5*$F$8*(B219+$F$7)^2,$F$10+$F$6*(B219-$F$7))))</f>
        <v/>
      </c>
      <c r="F219" s="10">
        <f>IF(E219="","",$B$12+E219)</f>
        <v/>
      </c>
      <c r="G219" s="10">
        <f>IF(B219="","",$B$11+B219)</f>
        <v/>
      </c>
      <c r="H219" s="8">
        <f>IF(B219="","",IF(ABS(B219)&lt;1E-9,"PVI",IF(ABS(B219+$F$7)&lt;$B$10/2,"PVC",IF(ABS(B219-$F$7)&lt;$B$10/2,"PVT",""))))</f>
        <v/>
      </c>
    </row>
    <row r="220">
      <c r="A220" s="8">
        <f>IF(B220="","",A219+1)</f>
        <v/>
      </c>
      <c r="B220" s="8">
        <f>IF(B219="","",IF(B219+$B$10&lt;=$B$9+1E-9,B219+$B$10,""))</f>
        <v/>
      </c>
      <c r="C220" s="8">
        <f>IF(B220="","",IF(B220&lt;- $F$7,"Left tangent",IF(B220&lt;=$F$7,"Parabolic curve","Right tangent")))</f>
        <v/>
      </c>
      <c r="D220" s="9">
        <f>IF(B220="","",IF(B220&lt;- $F$7,$B$5,IF(B220&lt;=$F$7,100*($F$5+$F$8*(B220+$F$7)),$B$6)))</f>
        <v/>
      </c>
      <c r="E220" s="10">
        <f>IF(B220="","",IF(B220&lt;- $F$7,$F$9+$F$5*(B220+$F$7),IF(B220&lt;=$F$7,$F$9+$F$5*(B220+$F$7)+0.5*$F$8*(B220+$F$7)^2,$F$10+$F$6*(B220-$F$7))))</f>
        <v/>
      </c>
      <c r="F220" s="10">
        <f>IF(E220="","",$B$12+E220)</f>
        <v/>
      </c>
      <c r="G220" s="10">
        <f>IF(B220="","",$B$11+B220)</f>
        <v/>
      </c>
      <c r="H220" s="8">
        <f>IF(B220="","",IF(ABS(B220)&lt;1E-9,"PVI",IF(ABS(B220+$F$7)&lt;$B$10/2,"PVC",IF(ABS(B220-$F$7)&lt;$B$10/2,"PVT",""))))</f>
        <v/>
      </c>
    </row>
    <row r="221">
      <c r="A221" s="8">
        <f>IF(B221="","",A220+1)</f>
        <v/>
      </c>
      <c r="B221" s="8">
        <f>IF(B220="","",IF(B220+$B$10&lt;=$B$9+1E-9,B220+$B$10,""))</f>
        <v/>
      </c>
      <c r="C221" s="8">
        <f>IF(B221="","",IF(B221&lt;- $F$7,"Left tangent",IF(B221&lt;=$F$7,"Parabolic curve","Right tangent")))</f>
        <v/>
      </c>
      <c r="D221" s="9">
        <f>IF(B221="","",IF(B221&lt;- $F$7,$B$5,IF(B221&lt;=$F$7,100*($F$5+$F$8*(B221+$F$7)),$B$6)))</f>
        <v/>
      </c>
      <c r="E221" s="10">
        <f>IF(B221="","",IF(B221&lt;- $F$7,$F$9+$F$5*(B221+$F$7),IF(B221&lt;=$F$7,$F$9+$F$5*(B221+$F$7)+0.5*$F$8*(B221+$F$7)^2,$F$10+$F$6*(B221-$F$7))))</f>
        <v/>
      </c>
      <c r="F221" s="10">
        <f>IF(E221="","",$B$12+E221)</f>
        <v/>
      </c>
      <c r="G221" s="10">
        <f>IF(B221="","",$B$11+B221)</f>
        <v/>
      </c>
      <c r="H221" s="8">
        <f>IF(B221="","",IF(ABS(B221)&lt;1E-9,"PVI",IF(ABS(B221+$F$7)&lt;$B$10/2,"PVC",IF(ABS(B221-$F$7)&lt;$B$10/2,"PVT",""))))</f>
        <v/>
      </c>
    </row>
    <row r="222">
      <c r="A222" s="8">
        <f>IF(B222="","",A221+1)</f>
        <v/>
      </c>
      <c r="B222" s="8">
        <f>IF(B221="","",IF(B221+$B$10&lt;=$B$9+1E-9,B221+$B$10,""))</f>
        <v/>
      </c>
      <c r="C222" s="8">
        <f>IF(B222="","",IF(B222&lt;- $F$7,"Left tangent",IF(B222&lt;=$F$7,"Parabolic curve","Right tangent")))</f>
        <v/>
      </c>
      <c r="D222" s="9">
        <f>IF(B222="","",IF(B222&lt;- $F$7,$B$5,IF(B222&lt;=$F$7,100*($F$5+$F$8*(B222+$F$7)),$B$6)))</f>
        <v/>
      </c>
      <c r="E222" s="10">
        <f>IF(B222="","",IF(B222&lt;- $F$7,$F$9+$F$5*(B222+$F$7),IF(B222&lt;=$F$7,$F$9+$F$5*(B222+$F$7)+0.5*$F$8*(B222+$F$7)^2,$F$10+$F$6*(B222-$F$7))))</f>
        <v/>
      </c>
      <c r="F222" s="10">
        <f>IF(E222="","",$B$12+E222)</f>
        <v/>
      </c>
      <c r="G222" s="10">
        <f>IF(B222="","",$B$11+B222)</f>
        <v/>
      </c>
      <c r="H222" s="8">
        <f>IF(B222="","",IF(ABS(B222)&lt;1E-9,"PVI",IF(ABS(B222+$F$7)&lt;$B$10/2,"PVC",IF(ABS(B222-$F$7)&lt;$B$10/2,"PVT",""))))</f>
        <v/>
      </c>
    </row>
    <row r="223">
      <c r="A223" s="8">
        <f>IF(B223="","",A222+1)</f>
        <v/>
      </c>
      <c r="B223" s="8">
        <f>IF(B222="","",IF(B222+$B$10&lt;=$B$9+1E-9,B222+$B$10,""))</f>
        <v/>
      </c>
      <c r="C223" s="8">
        <f>IF(B223="","",IF(B223&lt;- $F$7,"Left tangent",IF(B223&lt;=$F$7,"Parabolic curve","Right tangent")))</f>
        <v/>
      </c>
      <c r="D223" s="9">
        <f>IF(B223="","",IF(B223&lt;- $F$7,$B$5,IF(B223&lt;=$F$7,100*($F$5+$F$8*(B223+$F$7)),$B$6)))</f>
        <v/>
      </c>
      <c r="E223" s="10">
        <f>IF(B223="","",IF(B223&lt;- $F$7,$F$9+$F$5*(B223+$F$7),IF(B223&lt;=$F$7,$F$9+$F$5*(B223+$F$7)+0.5*$F$8*(B223+$F$7)^2,$F$10+$F$6*(B223-$F$7))))</f>
        <v/>
      </c>
      <c r="F223" s="10">
        <f>IF(E223="","",$B$12+E223)</f>
        <v/>
      </c>
      <c r="G223" s="10">
        <f>IF(B223="","",$B$11+B223)</f>
        <v/>
      </c>
      <c r="H223" s="8">
        <f>IF(B223="","",IF(ABS(B223)&lt;1E-9,"PVI",IF(ABS(B223+$F$7)&lt;$B$10/2,"PVC",IF(ABS(B223-$F$7)&lt;$B$10/2,"PVT",""))))</f>
        <v/>
      </c>
    </row>
    <row r="224">
      <c r="A224" s="8">
        <f>IF(B224="","",A223+1)</f>
        <v/>
      </c>
      <c r="B224" s="8">
        <f>IF(B223="","",IF(B223+$B$10&lt;=$B$9+1E-9,B223+$B$10,""))</f>
        <v/>
      </c>
      <c r="C224" s="8">
        <f>IF(B224="","",IF(B224&lt;- $F$7,"Left tangent",IF(B224&lt;=$F$7,"Parabolic curve","Right tangent")))</f>
        <v/>
      </c>
      <c r="D224" s="9">
        <f>IF(B224="","",IF(B224&lt;- $F$7,$B$5,IF(B224&lt;=$F$7,100*($F$5+$F$8*(B224+$F$7)),$B$6)))</f>
        <v/>
      </c>
      <c r="E224" s="10">
        <f>IF(B224="","",IF(B224&lt;- $F$7,$F$9+$F$5*(B224+$F$7),IF(B224&lt;=$F$7,$F$9+$F$5*(B224+$F$7)+0.5*$F$8*(B224+$F$7)^2,$F$10+$F$6*(B224-$F$7))))</f>
        <v/>
      </c>
      <c r="F224" s="10">
        <f>IF(E224="","",$B$12+E224)</f>
        <v/>
      </c>
      <c r="G224" s="10">
        <f>IF(B224="","",$B$11+B224)</f>
        <v/>
      </c>
      <c r="H224" s="8">
        <f>IF(B224="","",IF(ABS(B224)&lt;1E-9,"PVI",IF(ABS(B224+$F$7)&lt;$B$10/2,"PVC",IF(ABS(B224-$F$7)&lt;$B$10/2,"PVT",""))))</f>
        <v/>
      </c>
    </row>
    <row r="225">
      <c r="A225" s="8">
        <f>IF(B225="","",A224+1)</f>
        <v/>
      </c>
      <c r="B225" s="8">
        <f>IF(B224="","",IF(B224+$B$10&lt;=$B$9+1E-9,B224+$B$10,""))</f>
        <v/>
      </c>
      <c r="C225" s="8">
        <f>IF(B225="","",IF(B225&lt;- $F$7,"Left tangent",IF(B225&lt;=$F$7,"Parabolic curve","Right tangent")))</f>
        <v/>
      </c>
      <c r="D225" s="9">
        <f>IF(B225="","",IF(B225&lt;- $F$7,$B$5,IF(B225&lt;=$F$7,100*($F$5+$F$8*(B225+$F$7)),$B$6)))</f>
        <v/>
      </c>
      <c r="E225" s="10">
        <f>IF(B225="","",IF(B225&lt;- $F$7,$F$9+$F$5*(B225+$F$7),IF(B225&lt;=$F$7,$F$9+$F$5*(B225+$F$7)+0.5*$F$8*(B225+$F$7)^2,$F$10+$F$6*(B225-$F$7))))</f>
        <v/>
      </c>
      <c r="F225" s="10">
        <f>IF(E225="","",$B$12+E225)</f>
        <v/>
      </c>
      <c r="G225" s="10">
        <f>IF(B225="","",$B$11+B225)</f>
        <v/>
      </c>
      <c r="H225" s="8">
        <f>IF(B225="","",IF(ABS(B225)&lt;1E-9,"PVI",IF(ABS(B225+$F$7)&lt;$B$10/2,"PVC",IF(ABS(B225-$F$7)&lt;$B$10/2,"PVT",""))))</f>
        <v/>
      </c>
    </row>
    <row r="226">
      <c r="A226" s="8">
        <f>IF(B226="","",A225+1)</f>
        <v/>
      </c>
      <c r="B226" s="8">
        <f>IF(B225="","",IF(B225+$B$10&lt;=$B$9+1E-9,B225+$B$10,""))</f>
        <v/>
      </c>
      <c r="C226" s="8">
        <f>IF(B226="","",IF(B226&lt;- $F$7,"Left tangent",IF(B226&lt;=$F$7,"Parabolic curve","Right tangent")))</f>
        <v/>
      </c>
      <c r="D226" s="9">
        <f>IF(B226="","",IF(B226&lt;- $F$7,$B$5,IF(B226&lt;=$F$7,100*($F$5+$F$8*(B226+$F$7)),$B$6)))</f>
        <v/>
      </c>
      <c r="E226" s="10">
        <f>IF(B226="","",IF(B226&lt;- $F$7,$F$9+$F$5*(B226+$F$7),IF(B226&lt;=$F$7,$F$9+$F$5*(B226+$F$7)+0.5*$F$8*(B226+$F$7)^2,$F$10+$F$6*(B226-$F$7))))</f>
        <v/>
      </c>
      <c r="F226" s="10">
        <f>IF(E226="","",$B$12+E226)</f>
        <v/>
      </c>
      <c r="G226" s="10">
        <f>IF(B226="","",$B$11+B226)</f>
        <v/>
      </c>
      <c r="H226" s="8">
        <f>IF(B226="","",IF(ABS(B226)&lt;1E-9,"PVI",IF(ABS(B226+$F$7)&lt;$B$10/2,"PVC",IF(ABS(B226-$F$7)&lt;$B$10/2,"PVT",""))))</f>
        <v/>
      </c>
    </row>
    <row r="227">
      <c r="A227" s="8">
        <f>IF(B227="","",A226+1)</f>
        <v/>
      </c>
      <c r="B227" s="8">
        <f>IF(B226="","",IF(B226+$B$10&lt;=$B$9+1E-9,B226+$B$10,""))</f>
        <v/>
      </c>
      <c r="C227" s="8">
        <f>IF(B227="","",IF(B227&lt;- $F$7,"Left tangent",IF(B227&lt;=$F$7,"Parabolic curve","Right tangent")))</f>
        <v/>
      </c>
      <c r="D227" s="9">
        <f>IF(B227="","",IF(B227&lt;- $F$7,$B$5,IF(B227&lt;=$F$7,100*($F$5+$F$8*(B227+$F$7)),$B$6)))</f>
        <v/>
      </c>
      <c r="E227" s="10">
        <f>IF(B227="","",IF(B227&lt;- $F$7,$F$9+$F$5*(B227+$F$7),IF(B227&lt;=$F$7,$F$9+$F$5*(B227+$F$7)+0.5*$F$8*(B227+$F$7)^2,$F$10+$F$6*(B227-$F$7))))</f>
        <v/>
      </c>
      <c r="F227" s="10">
        <f>IF(E227="","",$B$12+E227)</f>
        <v/>
      </c>
      <c r="G227" s="10">
        <f>IF(B227="","",$B$11+B227)</f>
        <v/>
      </c>
      <c r="H227" s="8">
        <f>IF(B227="","",IF(ABS(B227)&lt;1E-9,"PVI",IF(ABS(B227+$F$7)&lt;$B$10/2,"PVC",IF(ABS(B227-$F$7)&lt;$B$10/2,"PVT",""))))</f>
        <v/>
      </c>
    </row>
    <row r="228">
      <c r="A228" s="8">
        <f>IF(B228="","",A227+1)</f>
        <v/>
      </c>
      <c r="B228" s="8">
        <f>IF(B227="","",IF(B227+$B$10&lt;=$B$9+1E-9,B227+$B$10,""))</f>
        <v/>
      </c>
      <c r="C228" s="8">
        <f>IF(B228="","",IF(B228&lt;- $F$7,"Left tangent",IF(B228&lt;=$F$7,"Parabolic curve","Right tangent")))</f>
        <v/>
      </c>
      <c r="D228" s="9">
        <f>IF(B228="","",IF(B228&lt;- $F$7,$B$5,IF(B228&lt;=$F$7,100*($F$5+$F$8*(B228+$F$7)),$B$6)))</f>
        <v/>
      </c>
      <c r="E228" s="10">
        <f>IF(B228="","",IF(B228&lt;- $F$7,$F$9+$F$5*(B228+$F$7),IF(B228&lt;=$F$7,$F$9+$F$5*(B228+$F$7)+0.5*$F$8*(B228+$F$7)^2,$F$10+$F$6*(B228-$F$7))))</f>
        <v/>
      </c>
      <c r="F228" s="10">
        <f>IF(E228="","",$B$12+E228)</f>
        <v/>
      </c>
      <c r="G228" s="10">
        <f>IF(B228="","",$B$11+B228)</f>
        <v/>
      </c>
      <c r="H228" s="8">
        <f>IF(B228="","",IF(ABS(B228)&lt;1E-9,"PVI",IF(ABS(B228+$F$7)&lt;$B$10/2,"PVC",IF(ABS(B228-$F$7)&lt;$B$10/2,"PVT",""))))</f>
        <v/>
      </c>
    </row>
    <row r="229">
      <c r="A229" s="8">
        <f>IF(B229="","",A228+1)</f>
        <v/>
      </c>
      <c r="B229" s="8">
        <f>IF(B228="","",IF(B228+$B$10&lt;=$B$9+1E-9,B228+$B$10,""))</f>
        <v/>
      </c>
      <c r="C229" s="8">
        <f>IF(B229="","",IF(B229&lt;- $F$7,"Left tangent",IF(B229&lt;=$F$7,"Parabolic curve","Right tangent")))</f>
        <v/>
      </c>
      <c r="D229" s="9">
        <f>IF(B229="","",IF(B229&lt;- $F$7,$B$5,IF(B229&lt;=$F$7,100*($F$5+$F$8*(B229+$F$7)),$B$6)))</f>
        <v/>
      </c>
      <c r="E229" s="10">
        <f>IF(B229="","",IF(B229&lt;- $F$7,$F$9+$F$5*(B229+$F$7),IF(B229&lt;=$F$7,$F$9+$F$5*(B229+$F$7)+0.5*$F$8*(B229+$F$7)^2,$F$10+$F$6*(B229-$F$7))))</f>
        <v/>
      </c>
      <c r="F229" s="10">
        <f>IF(E229="","",$B$12+E229)</f>
        <v/>
      </c>
      <c r="G229" s="10">
        <f>IF(B229="","",$B$11+B229)</f>
        <v/>
      </c>
      <c r="H229" s="8">
        <f>IF(B229="","",IF(ABS(B229)&lt;1E-9,"PVI",IF(ABS(B229+$F$7)&lt;$B$10/2,"PVC",IF(ABS(B229-$F$7)&lt;$B$10/2,"PVT",""))))</f>
        <v/>
      </c>
    </row>
    <row r="230">
      <c r="A230" s="8">
        <f>IF(B230="","",A229+1)</f>
        <v/>
      </c>
      <c r="B230" s="8">
        <f>IF(B229="","",IF(B229+$B$10&lt;=$B$9+1E-9,B229+$B$10,""))</f>
        <v/>
      </c>
      <c r="C230" s="8">
        <f>IF(B230="","",IF(B230&lt;- $F$7,"Left tangent",IF(B230&lt;=$F$7,"Parabolic curve","Right tangent")))</f>
        <v/>
      </c>
      <c r="D230" s="9">
        <f>IF(B230="","",IF(B230&lt;- $F$7,$B$5,IF(B230&lt;=$F$7,100*($F$5+$F$8*(B230+$F$7)),$B$6)))</f>
        <v/>
      </c>
      <c r="E230" s="10">
        <f>IF(B230="","",IF(B230&lt;- $F$7,$F$9+$F$5*(B230+$F$7),IF(B230&lt;=$F$7,$F$9+$F$5*(B230+$F$7)+0.5*$F$8*(B230+$F$7)^2,$F$10+$F$6*(B230-$F$7))))</f>
        <v/>
      </c>
      <c r="F230" s="10">
        <f>IF(E230="","",$B$12+E230)</f>
        <v/>
      </c>
      <c r="G230" s="10">
        <f>IF(B230="","",$B$11+B230)</f>
        <v/>
      </c>
      <c r="H230" s="8">
        <f>IF(B230="","",IF(ABS(B230)&lt;1E-9,"PVI",IF(ABS(B230+$F$7)&lt;$B$10/2,"PVC",IF(ABS(B230-$F$7)&lt;$B$10/2,"PVT",""))))</f>
        <v/>
      </c>
    </row>
    <row r="231">
      <c r="A231" s="8">
        <f>IF(B231="","",A230+1)</f>
        <v/>
      </c>
      <c r="B231" s="8">
        <f>IF(B230="","",IF(B230+$B$10&lt;=$B$9+1E-9,B230+$B$10,""))</f>
        <v/>
      </c>
      <c r="C231" s="8">
        <f>IF(B231="","",IF(B231&lt;- $F$7,"Left tangent",IF(B231&lt;=$F$7,"Parabolic curve","Right tangent")))</f>
        <v/>
      </c>
      <c r="D231" s="9">
        <f>IF(B231="","",IF(B231&lt;- $F$7,$B$5,IF(B231&lt;=$F$7,100*($F$5+$F$8*(B231+$F$7)),$B$6)))</f>
        <v/>
      </c>
      <c r="E231" s="10">
        <f>IF(B231="","",IF(B231&lt;- $F$7,$F$9+$F$5*(B231+$F$7),IF(B231&lt;=$F$7,$F$9+$F$5*(B231+$F$7)+0.5*$F$8*(B231+$F$7)^2,$F$10+$F$6*(B231-$F$7))))</f>
        <v/>
      </c>
      <c r="F231" s="10">
        <f>IF(E231="","",$B$12+E231)</f>
        <v/>
      </c>
      <c r="G231" s="10">
        <f>IF(B231="","",$B$11+B231)</f>
        <v/>
      </c>
      <c r="H231" s="8">
        <f>IF(B231="","",IF(ABS(B231)&lt;1E-9,"PVI",IF(ABS(B231+$F$7)&lt;$B$10/2,"PVC",IF(ABS(B231-$F$7)&lt;$B$10/2,"PVT",""))))</f>
        <v/>
      </c>
    </row>
    <row r="232">
      <c r="A232" s="8">
        <f>IF(B232="","",A231+1)</f>
        <v/>
      </c>
      <c r="B232" s="8">
        <f>IF(B231="","",IF(B231+$B$10&lt;=$B$9+1E-9,B231+$B$10,""))</f>
        <v/>
      </c>
      <c r="C232" s="8">
        <f>IF(B232="","",IF(B232&lt;- $F$7,"Left tangent",IF(B232&lt;=$F$7,"Parabolic curve","Right tangent")))</f>
        <v/>
      </c>
      <c r="D232" s="9">
        <f>IF(B232="","",IF(B232&lt;- $F$7,$B$5,IF(B232&lt;=$F$7,100*($F$5+$F$8*(B232+$F$7)),$B$6)))</f>
        <v/>
      </c>
      <c r="E232" s="10">
        <f>IF(B232="","",IF(B232&lt;- $F$7,$F$9+$F$5*(B232+$F$7),IF(B232&lt;=$F$7,$F$9+$F$5*(B232+$F$7)+0.5*$F$8*(B232+$F$7)^2,$F$10+$F$6*(B232-$F$7))))</f>
        <v/>
      </c>
      <c r="F232" s="10">
        <f>IF(E232="","",$B$12+E232)</f>
        <v/>
      </c>
      <c r="G232" s="10">
        <f>IF(B232="","",$B$11+B232)</f>
        <v/>
      </c>
      <c r="H232" s="8">
        <f>IF(B232="","",IF(ABS(B232)&lt;1E-9,"PVI",IF(ABS(B232+$F$7)&lt;$B$10/2,"PVC",IF(ABS(B232-$F$7)&lt;$B$10/2,"PVT",""))))</f>
        <v/>
      </c>
    </row>
    <row r="233">
      <c r="A233" s="8">
        <f>IF(B233="","",A232+1)</f>
        <v/>
      </c>
      <c r="B233" s="8">
        <f>IF(B232="","",IF(B232+$B$10&lt;=$B$9+1E-9,B232+$B$10,""))</f>
        <v/>
      </c>
      <c r="C233" s="8">
        <f>IF(B233="","",IF(B233&lt;- $F$7,"Left tangent",IF(B233&lt;=$F$7,"Parabolic curve","Right tangent")))</f>
        <v/>
      </c>
      <c r="D233" s="9">
        <f>IF(B233="","",IF(B233&lt;- $F$7,$B$5,IF(B233&lt;=$F$7,100*($F$5+$F$8*(B233+$F$7)),$B$6)))</f>
        <v/>
      </c>
      <c r="E233" s="10">
        <f>IF(B233="","",IF(B233&lt;- $F$7,$F$9+$F$5*(B233+$F$7),IF(B233&lt;=$F$7,$F$9+$F$5*(B233+$F$7)+0.5*$F$8*(B233+$F$7)^2,$F$10+$F$6*(B233-$F$7))))</f>
        <v/>
      </c>
      <c r="F233" s="10">
        <f>IF(E233="","",$B$12+E233)</f>
        <v/>
      </c>
      <c r="G233" s="10">
        <f>IF(B233="","",$B$11+B233)</f>
        <v/>
      </c>
      <c r="H233" s="8">
        <f>IF(B233="","",IF(ABS(B233)&lt;1E-9,"PVI",IF(ABS(B233+$F$7)&lt;$B$10/2,"PVC",IF(ABS(B233-$F$7)&lt;$B$10/2,"PVT",""))))</f>
        <v/>
      </c>
    </row>
    <row r="234">
      <c r="A234" s="8">
        <f>IF(B234="","",A233+1)</f>
        <v/>
      </c>
      <c r="B234" s="8">
        <f>IF(B233="","",IF(B233+$B$10&lt;=$B$9+1E-9,B233+$B$10,""))</f>
        <v/>
      </c>
      <c r="C234" s="8">
        <f>IF(B234="","",IF(B234&lt;- $F$7,"Left tangent",IF(B234&lt;=$F$7,"Parabolic curve","Right tangent")))</f>
        <v/>
      </c>
      <c r="D234" s="9">
        <f>IF(B234="","",IF(B234&lt;- $F$7,$B$5,IF(B234&lt;=$F$7,100*($F$5+$F$8*(B234+$F$7)),$B$6)))</f>
        <v/>
      </c>
      <c r="E234" s="10">
        <f>IF(B234="","",IF(B234&lt;- $F$7,$F$9+$F$5*(B234+$F$7),IF(B234&lt;=$F$7,$F$9+$F$5*(B234+$F$7)+0.5*$F$8*(B234+$F$7)^2,$F$10+$F$6*(B234-$F$7))))</f>
        <v/>
      </c>
      <c r="F234" s="10">
        <f>IF(E234="","",$B$12+E234)</f>
        <v/>
      </c>
      <c r="G234" s="10">
        <f>IF(B234="","",$B$11+B234)</f>
        <v/>
      </c>
      <c r="H234" s="8">
        <f>IF(B234="","",IF(ABS(B234)&lt;1E-9,"PVI",IF(ABS(B234+$F$7)&lt;$B$10/2,"PVC",IF(ABS(B234-$F$7)&lt;$B$10/2,"PVT",""))))</f>
        <v/>
      </c>
    </row>
    <row r="235">
      <c r="A235" s="8">
        <f>IF(B235="","",A234+1)</f>
        <v/>
      </c>
      <c r="B235" s="8">
        <f>IF(B234="","",IF(B234+$B$10&lt;=$B$9+1E-9,B234+$B$10,""))</f>
        <v/>
      </c>
      <c r="C235" s="8">
        <f>IF(B235="","",IF(B235&lt;- $F$7,"Left tangent",IF(B235&lt;=$F$7,"Parabolic curve","Right tangent")))</f>
        <v/>
      </c>
      <c r="D235" s="9">
        <f>IF(B235="","",IF(B235&lt;- $F$7,$B$5,IF(B235&lt;=$F$7,100*($F$5+$F$8*(B235+$F$7)),$B$6)))</f>
        <v/>
      </c>
      <c r="E235" s="10">
        <f>IF(B235="","",IF(B235&lt;- $F$7,$F$9+$F$5*(B235+$F$7),IF(B235&lt;=$F$7,$F$9+$F$5*(B235+$F$7)+0.5*$F$8*(B235+$F$7)^2,$F$10+$F$6*(B235-$F$7))))</f>
        <v/>
      </c>
      <c r="F235" s="10">
        <f>IF(E235="","",$B$12+E235)</f>
        <v/>
      </c>
      <c r="G235" s="10">
        <f>IF(B235="","",$B$11+B235)</f>
        <v/>
      </c>
      <c r="H235" s="8">
        <f>IF(B235="","",IF(ABS(B235)&lt;1E-9,"PVI",IF(ABS(B235+$F$7)&lt;$B$10/2,"PVC",IF(ABS(B235-$F$7)&lt;$B$10/2,"PVT",""))))</f>
        <v/>
      </c>
    </row>
    <row r="236">
      <c r="A236" s="8">
        <f>IF(B236="","",A235+1)</f>
        <v/>
      </c>
      <c r="B236" s="8">
        <f>IF(B235="","",IF(B235+$B$10&lt;=$B$9+1E-9,B235+$B$10,""))</f>
        <v/>
      </c>
      <c r="C236" s="8">
        <f>IF(B236="","",IF(B236&lt;- $F$7,"Left tangent",IF(B236&lt;=$F$7,"Parabolic curve","Right tangent")))</f>
        <v/>
      </c>
      <c r="D236" s="9">
        <f>IF(B236="","",IF(B236&lt;- $F$7,$B$5,IF(B236&lt;=$F$7,100*($F$5+$F$8*(B236+$F$7)),$B$6)))</f>
        <v/>
      </c>
      <c r="E236" s="10">
        <f>IF(B236="","",IF(B236&lt;- $F$7,$F$9+$F$5*(B236+$F$7),IF(B236&lt;=$F$7,$F$9+$F$5*(B236+$F$7)+0.5*$F$8*(B236+$F$7)^2,$F$10+$F$6*(B236-$F$7))))</f>
        <v/>
      </c>
      <c r="F236" s="10">
        <f>IF(E236="","",$B$12+E236)</f>
        <v/>
      </c>
      <c r="G236" s="10">
        <f>IF(B236="","",$B$11+B236)</f>
        <v/>
      </c>
      <c r="H236" s="8">
        <f>IF(B236="","",IF(ABS(B236)&lt;1E-9,"PVI",IF(ABS(B236+$F$7)&lt;$B$10/2,"PVC",IF(ABS(B236-$F$7)&lt;$B$10/2,"PVT",""))))</f>
        <v/>
      </c>
    </row>
    <row r="237">
      <c r="A237" s="8">
        <f>IF(B237="","",A236+1)</f>
        <v/>
      </c>
      <c r="B237" s="8">
        <f>IF(B236="","",IF(B236+$B$10&lt;=$B$9+1E-9,B236+$B$10,""))</f>
        <v/>
      </c>
      <c r="C237" s="8">
        <f>IF(B237="","",IF(B237&lt;- $F$7,"Left tangent",IF(B237&lt;=$F$7,"Parabolic curve","Right tangent")))</f>
        <v/>
      </c>
      <c r="D237" s="9">
        <f>IF(B237="","",IF(B237&lt;- $F$7,$B$5,IF(B237&lt;=$F$7,100*($F$5+$F$8*(B237+$F$7)),$B$6)))</f>
        <v/>
      </c>
      <c r="E237" s="10">
        <f>IF(B237="","",IF(B237&lt;- $F$7,$F$9+$F$5*(B237+$F$7),IF(B237&lt;=$F$7,$F$9+$F$5*(B237+$F$7)+0.5*$F$8*(B237+$F$7)^2,$F$10+$F$6*(B237-$F$7))))</f>
        <v/>
      </c>
      <c r="F237" s="10">
        <f>IF(E237="","",$B$12+E237)</f>
        <v/>
      </c>
      <c r="G237" s="10">
        <f>IF(B237="","",$B$11+B237)</f>
        <v/>
      </c>
      <c r="H237" s="8">
        <f>IF(B237="","",IF(ABS(B237)&lt;1E-9,"PVI",IF(ABS(B237+$F$7)&lt;$B$10/2,"PVC",IF(ABS(B237-$F$7)&lt;$B$10/2,"PVT",""))))</f>
        <v/>
      </c>
    </row>
    <row r="238">
      <c r="A238" s="8">
        <f>IF(B238="","",A237+1)</f>
        <v/>
      </c>
      <c r="B238" s="8">
        <f>IF(B237="","",IF(B237+$B$10&lt;=$B$9+1E-9,B237+$B$10,""))</f>
        <v/>
      </c>
      <c r="C238" s="8">
        <f>IF(B238="","",IF(B238&lt;- $F$7,"Left tangent",IF(B238&lt;=$F$7,"Parabolic curve","Right tangent")))</f>
        <v/>
      </c>
      <c r="D238" s="9">
        <f>IF(B238="","",IF(B238&lt;- $F$7,$B$5,IF(B238&lt;=$F$7,100*($F$5+$F$8*(B238+$F$7)),$B$6)))</f>
        <v/>
      </c>
      <c r="E238" s="10">
        <f>IF(B238="","",IF(B238&lt;- $F$7,$F$9+$F$5*(B238+$F$7),IF(B238&lt;=$F$7,$F$9+$F$5*(B238+$F$7)+0.5*$F$8*(B238+$F$7)^2,$F$10+$F$6*(B238-$F$7))))</f>
        <v/>
      </c>
      <c r="F238" s="10">
        <f>IF(E238="","",$B$12+E238)</f>
        <v/>
      </c>
      <c r="G238" s="10">
        <f>IF(B238="","",$B$11+B238)</f>
        <v/>
      </c>
      <c r="H238" s="8">
        <f>IF(B238="","",IF(ABS(B238)&lt;1E-9,"PVI",IF(ABS(B238+$F$7)&lt;$B$10/2,"PVC",IF(ABS(B238-$F$7)&lt;$B$10/2,"PVT",""))))</f>
        <v/>
      </c>
    </row>
    <row r="239">
      <c r="A239" s="8">
        <f>IF(B239="","",A238+1)</f>
        <v/>
      </c>
      <c r="B239" s="8">
        <f>IF(B238="","",IF(B238+$B$10&lt;=$B$9+1E-9,B238+$B$10,""))</f>
        <v/>
      </c>
      <c r="C239" s="8">
        <f>IF(B239="","",IF(B239&lt;- $F$7,"Left tangent",IF(B239&lt;=$F$7,"Parabolic curve","Right tangent")))</f>
        <v/>
      </c>
      <c r="D239" s="9">
        <f>IF(B239="","",IF(B239&lt;- $F$7,$B$5,IF(B239&lt;=$F$7,100*($F$5+$F$8*(B239+$F$7)),$B$6)))</f>
        <v/>
      </c>
      <c r="E239" s="10">
        <f>IF(B239="","",IF(B239&lt;- $F$7,$F$9+$F$5*(B239+$F$7),IF(B239&lt;=$F$7,$F$9+$F$5*(B239+$F$7)+0.5*$F$8*(B239+$F$7)^2,$F$10+$F$6*(B239-$F$7))))</f>
        <v/>
      </c>
      <c r="F239" s="10">
        <f>IF(E239="","",$B$12+E239)</f>
        <v/>
      </c>
      <c r="G239" s="10">
        <f>IF(B239="","",$B$11+B239)</f>
        <v/>
      </c>
      <c r="H239" s="8">
        <f>IF(B239="","",IF(ABS(B239)&lt;1E-9,"PVI",IF(ABS(B239+$F$7)&lt;$B$10/2,"PVC",IF(ABS(B239-$F$7)&lt;$B$10/2,"PVT",""))))</f>
        <v/>
      </c>
    </row>
    <row r="240">
      <c r="A240" s="8">
        <f>IF(B240="","",A239+1)</f>
        <v/>
      </c>
      <c r="B240" s="8">
        <f>IF(B239="","",IF(B239+$B$10&lt;=$B$9+1E-9,B239+$B$10,""))</f>
        <v/>
      </c>
      <c r="C240" s="8">
        <f>IF(B240="","",IF(B240&lt;- $F$7,"Left tangent",IF(B240&lt;=$F$7,"Parabolic curve","Right tangent")))</f>
        <v/>
      </c>
      <c r="D240" s="9">
        <f>IF(B240="","",IF(B240&lt;- $F$7,$B$5,IF(B240&lt;=$F$7,100*($F$5+$F$8*(B240+$F$7)),$B$6)))</f>
        <v/>
      </c>
      <c r="E240" s="10">
        <f>IF(B240="","",IF(B240&lt;- $F$7,$F$9+$F$5*(B240+$F$7),IF(B240&lt;=$F$7,$F$9+$F$5*(B240+$F$7)+0.5*$F$8*(B240+$F$7)^2,$F$10+$F$6*(B240-$F$7))))</f>
        <v/>
      </c>
      <c r="F240" s="10">
        <f>IF(E240="","",$B$12+E240)</f>
        <v/>
      </c>
      <c r="G240" s="10">
        <f>IF(B240="","",$B$11+B240)</f>
        <v/>
      </c>
      <c r="H240" s="8">
        <f>IF(B240="","",IF(ABS(B240)&lt;1E-9,"PVI",IF(ABS(B240+$F$7)&lt;$B$10/2,"PVC",IF(ABS(B240-$F$7)&lt;$B$10/2,"PVT",""))))</f>
        <v/>
      </c>
    </row>
    <row r="241">
      <c r="A241" s="8">
        <f>IF(B241="","",A240+1)</f>
        <v/>
      </c>
      <c r="B241" s="8">
        <f>IF(B240="","",IF(B240+$B$10&lt;=$B$9+1E-9,B240+$B$10,""))</f>
        <v/>
      </c>
      <c r="C241" s="8">
        <f>IF(B241="","",IF(B241&lt;- $F$7,"Left tangent",IF(B241&lt;=$F$7,"Parabolic curve","Right tangent")))</f>
        <v/>
      </c>
      <c r="D241" s="9">
        <f>IF(B241="","",IF(B241&lt;- $F$7,$B$5,IF(B241&lt;=$F$7,100*($F$5+$F$8*(B241+$F$7)),$B$6)))</f>
        <v/>
      </c>
      <c r="E241" s="10">
        <f>IF(B241="","",IF(B241&lt;- $F$7,$F$9+$F$5*(B241+$F$7),IF(B241&lt;=$F$7,$F$9+$F$5*(B241+$F$7)+0.5*$F$8*(B241+$F$7)^2,$F$10+$F$6*(B241-$F$7))))</f>
        <v/>
      </c>
      <c r="F241" s="10">
        <f>IF(E241="","",$B$12+E241)</f>
        <v/>
      </c>
      <c r="G241" s="10">
        <f>IF(B241="","",$B$11+B241)</f>
        <v/>
      </c>
      <c r="H241" s="8">
        <f>IF(B241="","",IF(ABS(B241)&lt;1E-9,"PVI",IF(ABS(B241+$F$7)&lt;$B$10/2,"PVC",IF(ABS(B241-$F$7)&lt;$B$10/2,"PVT",""))))</f>
        <v/>
      </c>
    </row>
    <row r="242">
      <c r="A242" s="8">
        <f>IF(B242="","",A241+1)</f>
        <v/>
      </c>
      <c r="B242" s="8">
        <f>IF(B241="","",IF(B241+$B$10&lt;=$B$9+1E-9,B241+$B$10,""))</f>
        <v/>
      </c>
      <c r="C242" s="8">
        <f>IF(B242="","",IF(B242&lt;- $F$7,"Left tangent",IF(B242&lt;=$F$7,"Parabolic curve","Right tangent")))</f>
        <v/>
      </c>
      <c r="D242" s="9">
        <f>IF(B242="","",IF(B242&lt;- $F$7,$B$5,IF(B242&lt;=$F$7,100*($F$5+$F$8*(B242+$F$7)),$B$6)))</f>
        <v/>
      </c>
      <c r="E242" s="10">
        <f>IF(B242="","",IF(B242&lt;- $F$7,$F$9+$F$5*(B242+$F$7),IF(B242&lt;=$F$7,$F$9+$F$5*(B242+$F$7)+0.5*$F$8*(B242+$F$7)^2,$F$10+$F$6*(B242-$F$7))))</f>
        <v/>
      </c>
      <c r="F242" s="10">
        <f>IF(E242="","",$B$12+E242)</f>
        <v/>
      </c>
      <c r="G242" s="10">
        <f>IF(B242="","",$B$11+B242)</f>
        <v/>
      </c>
      <c r="H242" s="8">
        <f>IF(B242="","",IF(ABS(B242)&lt;1E-9,"PVI",IF(ABS(B242+$F$7)&lt;$B$10/2,"PVC",IF(ABS(B242-$F$7)&lt;$B$10/2,"PVT",""))))</f>
        <v/>
      </c>
    </row>
    <row r="243">
      <c r="A243" s="8">
        <f>IF(B243="","",A242+1)</f>
        <v/>
      </c>
      <c r="B243" s="8">
        <f>IF(B242="","",IF(B242+$B$10&lt;=$B$9+1E-9,B242+$B$10,""))</f>
        <v/>
      </c>
      <c r="C243" s="8">
        <f>IF(B243="","",IF(B243&lt;- $F$7,"Left tangent",IF(B243&lt;=$F$7,"Parabolic curve","Right tangent")))</f>
        <v/>
      </c>
      <c r="D243" s="9">
        <f>IF(B243="","",IF(B243&lt;- $F$7,$B$5,IF(B243&lt;=$F$7,100*($F$5+$F$8*(B243+$F$7)),$B$6)))</f>
        <v/>
      </c>
      <c r="E243" s="10">
        <f>IF(B243="","",IF(B243&lt;- $F$7,$F$9+$F$5*(B243+$F$7),IF(B243&lt;=$F$7,$F$9+$F$5*(B243+$F$7)+0.5*$F$8*(B243+$F$7)^2,$F$10+$F$6*(B243-$F$7))))</f>
        <v/>
      </c>
      <c r="F243" s="10">
        <f>IF(E243="","",$B$12+E243)</f>
        <v/>
      </c>
      <c r="G243" s="10">
        <f>IF(B243="","",$B$11+B243)</f>
        <v/>
      </c>
      <c r="H243" s="8">
        <f>IF(B243="","",IF(ABS(B243)&lt;1E-9,"PVI",IF(ABS(B243+$F$7)&lt;$B$10/2,"PVC",IF(ABS(B243-$F$7)&lt;$B$10/2,"PVT",""))))</f>
        <v/>
      </c>
    </row>
    <row r="244">
      <c r="A244" s="8">
        <f>IF(B244="","",A243+1)</f>
        <v/>
      </c>
      <c r="B244" s="8">
        <f>IF(B243="","",IF(B243+$B$10&lt;=$B$9+1E-9,B243+$B$10,""))</f>
        <v/>
      </c>
      <c r="C244" s="8">
        <f>IF(B244="","",IF(B244&lt;- $F$7,"Left tangent",IF(B244&lt;=$F$7,"Parabolic curve","Right tangent")))</f>
        <v/>
      </c>
      <c r="D244" s="9">
        <f>IF(B244="","",IF(B244&lt;- $F$7,$B$5,IF(B244&lt;=$F$7,100*($F$5+$F$8*(B244+$F$7)),$B$6)))</f>
        <v/>
      </c>
      <c r="E244" s="10">
        <f>IF(B244="","",IF(B244&lt;- $F$7,$F$9+$F$5*(B244+$F$7),IF(B244&lt;=$F$7,$F$9+$F$5*(B244+$F$7)+0.5*$F$8*(B244+$F$7)^2,$F$10+$F$6*(B244-$F$7))))</f>
        <v/>
      </c>
      <c r="F244" s="10">
        <f>IF(E244="","",$B$12+E244)</f>
        <v/>
      </c>
      <c r="G244" s="10">
        <f>IF(B244="","",$B$11+B244)</f>
        <v/>
      </c>
      <c r="H244" s="8">
        <f>IF(B244="","",IF(ABS(B244)&lt;1E-9,"PVI",IF(ABS(B244+$F$7)&lt;$B$10/2,"PVC",IF(ABS(B244-$F$7)&lt;$B$10/2,"PVT",""))))</f>
        <v/>
      </c>
    </row>
    <row r="245">
      <c r="A245" s="8">
        <f>IF(B245="","",A244+1)</f>
        <v/>
      </c>
      <c r="B245" s="8">
        <f>IF(B244="","",IF(B244+$B$10&lt;=$B$9+1E-9,B244+$B$10,""))</f>
        <v/>
      </c>
      <c r="C245" s="8">
        <f>IF(B245="","",IF(B245&lt;- $F$7,"Left tangent",IF(B245&lt;=$F$7,"Parabolic curve","Right tangent")))</f>
        <v/>
      </c>
      <c r="D245" s="9">
        <f>IF(B245="","",IF(B245&lt;- $F$7,$B$5,IF(B245&lt;=$F$7,100*($F$5+$F$8*(B245+$F$7)),$B$6)))</f>
        <v/>
      </c>
      <c r="E245" s="10">
        <f>IF(B245="","",IF(B245&lt;- $F$7,$F$9+$F$5*(B245+$F$7),IF(B245&lt;=$F$7,$F$9+$F$5*(B245+$F$7)+0.5*$F$8*(B245+$F$7)^2,$F$10+$F$6*(B245-$F$7))))</f>
        <v/>
      </c>
      <c r="F245" s="10">
        <f>IF(E245="","",$B$12+E245)</f>
        <v/>
      </c>
      <c r="G245" s="10">
        <f>IF(B245="","",$B$11+B245)</f>
        <v/>
      </c>
      <c r="H245" s="8">
        <f>IF(B245="","",IF(ABS(B245)&lt;1E-9,"PVI",IF(ABS(B245+$F$7)&lt;$B$10/2,"PVC",IF(ABS(B245-$F$7)&lt;$B$10/2,"PVT",""))))</f>
        <v/>
      </c>
    </row>
    <row r="246">
      <c r="A246" s="8">
        <f>IF(B246="","",A245+1)</f>
        <v/>
      </c>
      <c r="B246" s="8">
        <f>IF(B245="","",IF(B245+$B$10&lt;=$B$9+1E-9,B245+$B$10,""))</f>
        <v/>
      </c>
      <c r="C246" s="8">
        <f>IF(B246="","",IF(B246&lt;- $F$7,"Left tangent",IF(B246&lt;=$F$7,"Parabolic curve","Right tangent")))</f>
        <v/>
      </c>
      <c r="D246" s="9">
        <f>IF(B246="","",IF(B246&lt;- $F$7,$B$5,IF(B246&lt;=$F$7,100*($F$5+$F$8*(B246+$F$7)),$B$6)))</f>
        <v/>
      </c>
      <c r="E246" s="10">
        <f>IF(B246="","",IF(B246&lt;- $F$7,$F$9+$F$5*(B246+$F$7),IF(B246&lt;=$F$7,$F$9+$F$5*(B246+$F$7)+0.5*$F$8*(B246+$F$7)^2,$F$10+$F$6*(B246-$F$7))))</f>
        <v/>
      </c>
      <c r="F246" s="10">
        <f>IF(E246="","",$B$12+E246)</f>
        <v/>
      </c>
      <c r="G246" s="10">
        <f>IF(B246="","",$B$11+B246)</f>
        <v/>
      </c>
      <c r="H246" s="8">
        <f>IF(B246="","",IF(ABS(B246)&lt;1E-9,"PVI",IF(ABS(B246+$F$7)&lt;$B$10/2,"PVC",IF(ABS(B246-$F$7)&lt;$B$10/2,"PVT",""))))</f>
        <v/>
      </c>
    </row>
    <row r="247">
      <c r="A247" s="8">
        <f>IF(B247="","",A246+1)</f>
        <v/>
      </c>
      <c r="B247" s="8">
        <f>IF(B246="","",IF(B246+$B$10&lt;=$B$9+1E-9,B246+$B$10,""))</f>
        <v/>
      </c>
      <c r="C247" s="8">
        <f>IF(B247="","",IF(B247&lt;- $F$7,"Left tangent",IF(B247&lt;=$F$7,"Parabolic curve","Right tangent")))</f>
        <v/>
      </c>
      <c r="D247" s="9">
        <f>IF(B247="","",IF(B247&lt;- $F$7,$B$5,IF(B247&lt;=$F$7,100*($F$5+$F$8*(B247+$F$7)),$B$6)))</f>
        <v/>
      </c>
      <c r="E247" s="10">
        <f>IF(B247="","",IF(B247&lt;- $F$7,$F$9+$F$5*(B247+$F$7),IF(B247&lt;=$F$7,$F$9+$F$5*(B247+$F$7)+0.5*$F$8*(B247+$F$7)^2,$F$10+$F$6*(B247-$F$7))))</f>
        <v/>
      </c>
      <c r="F247" s="10">
        <f>IF(E247="","",$B$12+E247)</f>
        <v/>
      </c>
      <c r="G247" s="10">
        <f>IF(B247="","",$B$11+B247)</f>
        <v/>
      </c>
      <c r="H247" s="8">
        <f>IF(B247="","",IF(ABS(B247)&lt;1E-9,"PVI",IF(ABS(B247+$F$7)&lt;$B$10/2,"PVC",IF(ABS(B247-$F$7)&lt;$B$10/2,"PVT",""))))</f>
        <v/>
      </c>
    </row>
    <row r="248">
      <c r="A248" s="8">
        <f>IF(B248="","",A247+1)</f>
        <v/>
      </c>
      <c r="B248" s="8">
        <f>IF(B247="","",IF(B247+$B$10&lt;=$B$9+1E-9,B247+$B$10,""))</f>
        <v/>
      </c>
      <c r="C248" s="8">
        <f>IF(B248="","",IF(B248&lt;- $F$7,"Left tangent",IF(B248&lt;=$F$7,"Parabolic curve","Right tangent")))</f>
        <v/>
      </c>
      <c r="D248" s="9">
        <f>IF(B248="","",IF(B248&lt;- $F$7,$B$5,IF(B248&lt;=$F$7,100*($F$5+$F$8*(B248+$F$7)),$B$6)))</f>
        <v/>
      </c>
      <c r="E248" s="10">
        <f>IF(B248="","",IF(B248&lt;- $F$7,$F$9+$F$5*(B248+$F$7),IF(B248&lt;=$F$7,$F$9+$F$5*(B248+$F$7)+0.5*$F$8*(B248+$F$7)^2,$F$10+$F$6*(B248-$F$7))))</f>
        <v/>
      </c>
      <c r="F248" s="10">
        <f>IF(E248="","",$B$12+E248)</f>
        <v/>
      </c>
      <c r="G248" s="10">
        <f>IF(B248="","",$B$11+B248)</f>
        <v/>
      </c>
      <c r="H248" s="8">
        <f>IF(B248="","",IF(ABS(B248)&lt;1E-9,"PVI",IF(ABS(B248+$F$7)&lt;$B$10/2,"PVC",IF(ABS(B248-$F$7)&lt;$B$10/2,"PVT",""))))</f>
        <v/>
      </c>
    </row>
    <row r="249">
      <c r="A249" s="8">
        <f>IF(B249="","",A248+1)</f>
        <v/>
      </c>
      <c r="B249" s="8">
        <f>IF(B248="","",IF(B248+$B$10&lt;=$B$9+1E-9,B248+$B$10,""))</f>
        <v/>
      </c>
      <c r="C249" s="8">
        <f>IF(B249="","",IF(B249&lt;- $F$7,"Left tangent",IF(B249&lt;=$F$7,"Parabolic curve","Right tangent")))</f>
        <v/>
      </c>
      <c r="D249" s="9">
        <f>IF(B249="","",IF(B249&lt;- $F$7,$B$5,IF(B249&lt;=$F$7,100*($F$5+$F$8*(B249+$F$7)),$B$6)))</f>
        <v/>
      </c>
      <c r="E249" s="10">
        <f>IF(B249="","",IF(B249&lt;- $F$7,$F$9+$F$5*(B249+$F$7),IF(B249&lt;=$F$7,$F$9+$F$5*(B249+$F$7)+0.5*$F$8*(B249+$F$7)^2,$F$10+$F$6*(B249-$F$7))))</f>
        <v/>
      </c>
      <c r="F249" s="10">
        <f>IF(E249="","",$B$12+E249)</f>
        <v/>
      </c>
      <c r="G249" s="10">
        <f>IF(B249="","",$B$11+B249)</f>
        <v/>
      </c>
      <c r="H249" s="8">
        <f>IF(B249="","",IF(ABS(B249)&lt;1E-9,"PVI",IF(ABS(B249+$F$7)&lt;$B$10/2,"PVC",IF(ABS(B249-$F$7)&lt;$B$10/2,"PVT",""))))</f>
        <v/>
      </c>
    </row>
    <row r="250">
      <c r="A250" s="8">
        <f>IF(B250="","",A249+1)</f>
        <v/>
      </c>
      <c r="B250" s="8">
        <f>IF(B249="","",IF(B249+$B$10&lt;=$B$9+1E-9,B249+$B$10,""))</f>
        <v/>
      </c>
      <c r="C250" s="8">
        <f>IF(B250="","",IF(B250&lt;- $F$7,"Left tangent",IF(B250&lt;=$F$7,"Parabolic curve","Right tangent")))</f>
        <v/>
      </c>
      <c r="D250" s="9">
        <f>IF(B250="","",IF(B250&lt;- $F$7,$B$5,IF(B250&lt;=$F$7,100*($F$5+$F$8*(B250+$F$7)),$B$6)))</f>
        <v/>
      </c>
      <c r="E250" s="10">
        <f>IF(B250="","",IF(B250&lt;- $F$7,$F$9+$F$5*(B250+$F$7),IF(B250&lt;=$F$7,$F$9+$F$5*(B250+$F$7)+0.5*$F$8*(B250+$F$7)^2,$F$10+$F$6*(B250-$F$7))))</f>
        <v/>
      </c>
      <c r="F250" s="10">
        <f>IF(E250="","",$B$12+E250)</f>
        <v/>
      </c>
      <c r="G250" s="10">
        <f>IF(B250="","",$B$11+B250)</f>
        <v/>
      </c>
      <c r="H250" s="8">
        <f>IF(B250="","",IF(ABS(B250)&lt;1E-9,"PVI",IF(ABS(B250+$F$7)&lt;$B$10/2,"PVC",IF(ABS(B250-$F$7)&lt;$B$10/2,"PVT",""))))</f>
        <v/>
      </c>
    </row>
    <row r="251">
      <c r="A251" s="8">
        <f>IF(B251="","",A250+1)</f>
        <v/>
      </c>
      <c r="B251" s="8">
        <f>IF(B250="","",IF(B250+$B$10&lt;=$B$9+1E-9,B250+$B$10,""))</f>
        <v/>
      </c>
      <c r="C251" s="8">
        <f>IF(B251="","",IF(B251&lt;- $F$7,"Left tangent",IF(B251&lt;=$F$7,"Parabolic curve","Right tangent")))</f>
        <v/>
      </c>
      <c r="D251" s="9">
        <f>IF(B251="","",IF(B251&lt;- $F$7,$B$5,IF(B251&lt;=$F$7,100*($F$5+$F$8*(B251+$F$7)),$B$6)))</f>
        <v/>
      </c>
      <c r="E251" s="10">
        <f>IF(B251="","",IF(B251&lt;- $F$7,$F$9+$F$5*(B251+$F$7),IF(B251&lt;=$F$7,$F$9+$F$5*(B251+$F$7)+0.5*$F$8*(B251+$F$7)^2,$F$10+$F$6*(B251-$F$7))))</f>
        <v/>
      </c>
      <c r="F251" s="10">
        <f>IF(E251="","",$B$12+E251)</f>
        <v/>
      </c>
      <c r="G251" s="10">
        <f>IF(B251="","",$B$11+B251)</f>
        <v/>
      </c>
      <c r="H251" s="8">
        <f>IF(B251="","",IF(ABS(B251)&lt;1E-9,"PVI",IF(ABS(B251+$F$7)&lt;$B$10/2,"PVC",IF(ABS(B251-$F$7)&lt;$B$10/2,"PVT",""))))</f>
        <v/>
      </c>
    </row>
    <row r="252">
      <c r="A252" s="8">
        <f>IF(B252="","",A251+1)</f>
        <v/>
      </c>
      <c r="B252" s="8">
        <f>IF(B251="","",IF(B251+$B$10&lt;=$B$9+1E-9,B251+$B$10,""))</f>
        <v/>
      </c>
      <c r="C252" s="8">
        <f>IF(B252="","",IF(B252&lt;- $F$7,"Left tangent",IF(B252&lt;=$F$7,"Parabolic curve","Right tangent")))</f>
        <v/>
      </c>
      <c r="D252" s="9">
        <f>IF(B252="","",IF(B252&lt;- $F$7,$B$5,IF(B252&lt;=$F$7,100*($F$5+$F$8*(B252+$F$7)),$B$6)))</f>
        <v/>
      </c>
      <c r="E252" s="10">
        <f>IF(B252="","",IF(B252&lt;- $F$7,$F$9+$F$5*(B252+$F$7),IF(B252&lt;=$F$7,$F$9+$F$5*(B252+$F$7)+0.5*$F$8*(B252+$F$7)^2,$F$10+$F$6*(B252-$F$7))))</f>
        <v/>
      </c>
      <c r="F252" s="10">
        <f>IF(E252="","",$B$12+E252)</f>
        <v/>
      </c>
      <c r="G252" s="10">
        <f>IF(B252="","",$B$11+B252)</f>
        <v/>
      </c>
      <c r="H252" s="8">
        <f>IF(B252="","",IF(ABS(B252)&lt;1E-9,"PVI",IF(ABS(B252+$F$7)&lt;$B$10/2,"PVC",IF(ABS(B252-$F$7)&lt;$B$10/2,"PVT",""))))</f>
        <v/>
      </c>
    </row>
    <row r="253">
      <c r="A253" s="8">
        <f>IF(B253="","",A252+1)</f>
        <v/>
      </c>
      <c r="B253" s="8">
        <f>IF(B252="","",IF(B252+$B$10&lt;=$B$9+1E-9,B252+$B$10,""))</f>
        <v/>
      </c>
      <c r="C253" s="8">
        <f>IF(B253="","",IF(B253&lt;- $F$7,"Left tangent",IF(B253&lt;=$F$7,"Parabolic curve","Right tangent")))</f>
        <v/>
      </c>
      <c r="D253" s="9">
        <f>IF(B253="","",IF(B253&lt;- $F$7,$B$5,IF(B253&lt;=$F$7,100*($F$5+$F$8*(B253+$F$7)),$B$6)))</f>
        <v/>
      </c>
      <c r="E253" s="10">
        <f>IF(B253="","",IF(B253&lt;- $F$7,$F$9+$F$5*(B253+$F$7),IF(B253&lt;=$F$7,$F$9+$F$5*(B253+$F$7)+0.5*$F$8*(B253+$F$7)^2,$F$10+$F$6*(B253-$F$7))))</f>
        <v/>
      </c>
      <c r="F253" s="10">
        <f>IF(E253="","",$B$12+E253)</f>
        <v/>
      </c>
      <c r="G253" s="10">
        <f>IF(B253="","",$B$11+B253)</f>
        <v/>
      </c>
      <c r="H253" s="8">
        <f>IF(B253="","",IF(ABS(B253)&lt;1E-9,"PVI",IF(ABS(B253+$F$7)&lt;$B$10/2,"PVC",IF(ABS(B253-$F$7)&lt;$B$10/2,"PVT",""))))</f>
        <v/>
      </c>
    </row>
    <row r="254">
      <c r="A254" s="8">
        <f>IF(B254="","",A253+1)</f>
        <v/>
      </c>
      <c r="B254" s="8">
        <f>IF(B253="","",IF(B253+$B$10&lt;=$B$9+1E-9,B253+$B$10,""))</f>
        <v/>
      </c>
      <c r="C254" s="8">
        <f>IF(B254="","",IF(B254&lt;- $F$7,"Left tangent",IF(B254&lt;=$F$7,"Parabolic curve","Right tangent")))</f>
        <v/>
      </c>
      <c r="D254" s="9">
        <f>IF(B254="","",IF(B254&lt;- $F$7,$B$5,IF(B254&lt;=$F$7,100*($F$5+$F$8*(B254+$F$7)),$B$6)))</f>
        <v/>
      </c>
      <c r="E254" s="10">
        <f>IF(B254="","",IF(B254&lt;- $F$7,$F$9+$F$5*(B254+$F$7),IF(B254&lt;=$F$7,$F$9+$F$5*(B254+$F$7)+0.5*$F$8*(B254+$F$7)^2,$F$10+$F$6*(B254-$F$7))))</f>
        <v/>
      </c>
      <c r="F254" s="10">
        <f>IF(E254="","",$B$12+E254)</f>
        <v/>
      </c>
      <c r="G254" s="10">
        <f>IF(B254="","",$B$11+B254)</f>
        <v/>
      </c>
      <c r="H254" s="8">
        <f>IF(B254="","",IF(ABS(B254)&lt;1E-9,"PVI",IF(ABS(B254+$F$7)&lt;$B$10/2,"PVC",IF(ABS(B254-$F$7)&lt;$B$10/2,"PVT",""))))</f>
        <v/>
      </c>
    </row>
    <row r="255">
      <c r="A255" s="8">
        <f>IF(B255="","",A254+1)</f>
        <v/>
      </c>
      <c r="B255" s="8">
        <f>IF(B254="","",IF(B254+$B$10&lt;=$B$9+1E-9,B254+$B$10,""))</f>
        <v/>
      </c>
      <c r="C255" s="8">
        <f>IF(B255="","",IF(B255&lt;- $F$7,"Left tangent",IF(B255&lt;=$F$7,"Parabolic curve","Right tangent")))</f>
        <v/>
      </c>
      <c r="D255" s="9">
        <f>IF(B255="","",IF(B255&lt;- $F$7,$B$5,IF(B255&lt;=$F$7,100*($F$5+$F$8*(B255+$F$7)),$B$6)))</f>
        <v/>
      </c>
      <c r="E255" s="10">
        <f>IF(B255="","",IF(B255&lt;- $F$7,$F$9+$F$5*(B255+$F$7),IF(B255&lt;=$F$7,$F$9+$F$5*(B255+$F$7)+0.5*$F$8*(B255+$F$7)^2,$F$10+$F$6*(B255-$F$7))))</f>
        <v/>
      </c>
      <c r="F255" s="10">
        <f>IF(E255="","",$B$12+E255)</f>
        <v/>
      </c>
      <c r="G255" s="10">
        <f>IF(B255="","",$B$11+B255)</f>
        <v/>
      </c>
      <c r="H255" s="8">
        <f>IF(B255="","",IF(ABS(B255)&lt;1E-9,"PVI",IF(ABS(B255+$F$7)&lt;$B$10/2,"PVC",IF(ABS(B255-$F$7)&lt;$B$10/2,"PVT",""))))</f>
        <v/>
      </c>
    </row>
    <row r="256">
      <c r="A256" s="8">
        <f>IF(B256="","",A255+1)</f>
        <v/>
      </c>
      <c r="B256" s="8">
        <f>IF(B255="","",IF(B255+$B$10&lt;=$B$9+1E-9,B255+$B$10,""))</f>
        <v/>
      </c>
      <c r="C256" s="8">
        <f>IF(B256="","",IF(B256&lt;- $F$7,"Left tangent",IF(B256&lt;=$F$7,"Parabolic curve","Right tangent")))</f>
        <v/>
      </c>
      <c r="D256" s="9">
        <f>IF(B256="","",IF(B256&lt;- $F$7,$B$5,IF(B256&lt;=$F$7,100*($F$5+$F$8*(B256+$F$7)),$B$6)))</f>
        <v/>
      </c>
      <c r="E256" s="10">
        <f>IF(B256="","",IF(B256&lt;- $F$7,$F$9+$F$5*(B256+$F$7),IF(B256&lt;=$F$7,$F$9+$F$5*(B256+$F$7)+0.5*$F$8*(B256+$F$7)^2,$F$10+$F$6*(B256-$F$7))))</f>
        <v/>
      </c>
      <c r="F256" s="10">
        <f>IF(E256="","",$B$12+E256)</f>
        <v/>
      </c>
      <c r="G256" s="10">
        <f>IF(B256="","",$B$11+B256)</f>
        <v/>
      </c>
      <c r="H256" s="8">
        <f>IF(B256="","",IF(ABS(B256)&lt;1E-9,"PVI",IF(ABS(B256+$F$7)&lt;$B$10/2,"PVC",IF(ABS(B256-$F$7)&lt;$B$10/2,"PVT",""))))</f>
        <v/>
      </c>
    </row>
    <row r="257">
      <c r="A257" s="8">
        <f>IF(B257="","",A256+1)</f>
        <v/>
      </c>
      <c r="B257" s="8">
        <f>IF(B256="","",IF(B256+$B$10&lt;=$B$9+1E-9,B256+$B$10,""))</f>
        <v/>
      </c>
      <c r="C257" s="8">
        <f>IF(B257="","",IF(B257&lt;- $F$7,"Left tangent",IF(B257&lt;=$F$7,"Parabolic curve","Right tangent")))</f>
        <v/>
      </c>
      <c r="D257" s="9">
        <f>IF(B257="","",IF(B257&lt;- $F$7,$B$5,IF(B257&lt;=$F$7,100*($F$5+$F$8*(B257+$F$7)),$B$6)))</f>
        <v/>
      </c>
      <c r="E257" s="10">
        <f>IF(B257="","",IF(B257&lt;- $F$7,$F$9+$F$5*(B257+$F$7),IF(B257&lt;=$F$7,$F$9+$F$5*(B257+$F$7)+0.5*$F$8*(B257+$F$7)^2,$F$10+$F$6*(B257-$F$7))))</f>
        <v/>
      </c>
      <c r="F257" s="10">
        <f>IF(E257="","",$B$12+E257)</f>
        <v/>
      </c>
      <c r="G257" s="10">
        <f>IF(B257="","",$B$11+B257)</f>
        <v/>
      </c>
      <c r="H257" s="8">
        <f>IF(B257="","",IF(ABS(B257)&lt;1E-9,"PVI",IF(ABS(B257+$F$7)&lt;$B$10/2,"PVC",IF(ABS(B257-$F$7)&lt;$B$10/2,"PVT",""))))</f>
        <v/>
      </c>
    </row>
    <row r="258">
      <c r="A258" s="8">
        <f>IF(B258="","",A257+1)</f>
        <v/>
      </c>
      <c r="B258" s="8">
        <f>IF(B257="","",IF(B257+$B$10&lt;=$B$9+1E-9,B257+$B$10,""))</f>
        <v/>
      </c>
      <c r="C258" s="8">
        <f>IF(B258="","",IF(B258&lt;- $F$7,"Left tangent",IF(B258&lt;=$F$7,"Parabolic curve","Right tangent")))</f>
        <v/>
      </c>
      <c r="D258" s="9">
        <f>IF(B258="","",IF(B258&lt;- $F$7,$B$5,IF(B258&lt;=$F$7,100*($F$5+$F$8*(B258+$F$7)),$B$6)))</f>
        <v/>
      </c>
      <c r="E258" s="10">
        <f>IF(B258="","",IF(B258&lt;- $F$7,$F$9+$F$5*(B258+$F$7),IF(B258&lt;=$F$7,$F$9+$F$5*(B258+$F$7)+0.5*$F$8*(B258+$F$7)^2,$F$10+$F$6*(B258-$F$7))))</f>
        <v/>
      </c>
      <c r="F258" s="10">
        <f>IF(E258="","",$B$12+E258)</f>
        <v/>
      </c>
      <c r="G258" s="10">
        <f>IF(B258="","",$B$11+B258)</f>
        <v/>
      </c>
      <c r="H258" s="8">
        <f>IF(B258="","",IF(ABS(B258)&lt;1E-9,"PVI",IF(ABS(B258+$F$7)&lt;$B$10/2,"PVC",IF(ABS(B258-$F$7)&lt;$B$10/2,"PVT",""))))</f>
        <v/>
      </c>
    </row>
    <row r="259">
      <c r="A259" s="8">
        <f>IF(B259="","",A258+1)</f>
        <v/>
      </c>
      <c r="B259" s="8">
        <f>IF(B258="","",IF(B258+$B$10&lt;=$B$9+1E-9,B258+$B$10,""))</f>
        <v/>
      </c>
      <c r="C259" s="8">
        <f>IF(B259="","",IF(B259&lt;- $F$7,"Left tangent",IF(B259&lt;=$F$7,"Parabolic curve","Right tangent")))</f>
        <v/>
      </c>
      <c r="D259" s="9">
        <f>IF(B259="","",IF(B259&lt;- $F$7,$B$5,IF(B259&lt;=$F$7,100*($F$5+$F$8*(B259+$F$7)),$B$6)))</f>
        <v/>
      </c>
      <c r="E259" s="10">
        <f>IF(B259="","",IF(B259&lt;- $F$7,$F$9+$F$5*(B259+$F$7),IF(B259&lt;=$F$7,$F$9+$F$5*(B259+$F$7)+0.5*$F$8*(B259+$F$7)^2,$F$10+$F$6*(B259-$F$7))))</f>
        <v/>
      </c>
      <c r="F259" s="10">
        <f>IF(E259="","",$B$12+E259)</f>
        <v/>
      </c>
      <c r="G259" s="10">
        <f>IF(B259="","",$B$11+B259)</f>
        <v/>
      </c>
      <c r="H259" s="8">
        <f>IF(B259="","",IF(ABS(B259)&lt;1E-9,"PVI",IF(ABS(B259+$F$7)&lt;$B$10/2,"PVC",IF(ABS(B259-$F$7)&lt;$B$10/2,"PVT",""))))</f>
        <v/>
      </c>
    </row>
    <row r="260">
      <c r="A260" s="8">
        <f>IF(B260="","",A259+1)</f>
        <v/>
      </c>
      <c r="B260" s="8">
        <f>IF(B259="","",IF(B259+$B$10&lt;=$B$9+1E-9,B259+$B$10,""))</f>
        <v/>
      </c>
      <c r="C260" s="8">
        <f>IF(B260="","",IF(B260&lt;- $F$7,"Left tangent",IF(B260&lt;=$F$7,"Parabolic curve","Right tangent")))</f>
        <v/>
      </c>
      <c r="D260" s="9">
        <f>IF(B260="","",IF(B260&lt;- $F$7,$B$5,IF(B260&lt;=$F$7,100*($F$5+$F$8*(B260+$F$7)),$B$6)))</f>
        <v/>
      </c>
      <c r="E260" s="10">
        <f>IF(B260="","",IF(B260&lt;- $F$7,$F$9+$F$5*(B260+$F$7),IF(B260&lt;=$F$7,$F$9+$F$5*(B260+$F$7)+0.5*$F$8*(B260+$F$7)^2,$F$10+$F$6*(B260-$F$7))))</f>
        <v/>
      </c>
      <c r="F260" s="10">
        <f>IF(E260="","",$B$12+E260)</f>
        <v/>
      </c>
      <c r="G260" s="10">
        <f>IF(B260="","",$B$11+B260)</f>
        <v/>
      </c>
      <c r="H260" s="8">
        <f>IF(B260="","",IF(ABS(B260)&lt;1E-9,"PVI",IF(ABS(B260+$F$7)&lt;$B$10/2,"PVC",IF(ABS(B260-$F$7)&lt;$B$10/2,"PVT",""))))</f>
        <v/>
      </c>
    </row>
    <row r="261">
      <c r="A261" s="8">
        <f>IF(B261="","",A260+1)</f>
        <v/>
      </c>
      <c r="B261" s="8">
        <f>IF(B260="","",IF(B260+$B$10&lt;=$B$9+1E-9,B260+$B$10,""))</f>
        <v/>
      </c>
      <c r="C261" s="8">
        <f>IF(B261="","",IF(B261&lt;- $F$7,"Left tangent",IF(B261&lt;=$F$7,"Parabolic curve","Right tangent")))</f>
        <v/>
      </c>
      <c r="D261" s="9">
        <f>IF(B261="","",IF(B261&lt;- $F$7,$B$5,IF(B261&lt;=$F$7,100*($F$5+$F$8*(B261+$F$7)),$B$6)))</f>
        <v/>
      </c>
      <c r="E261" s="10">
        <f>IF(B261="","",IF(B261&lt;- $F$7,$F$9+$F$5*(B261+$F$7),IF(B261&lt;=$F$7,$F$9+$F$5*(B261+$F$7)+0.5*$F$8*(B261+$F$7)^2,$F$10+$F$6*(B261-$F$7))))</f>
        <v/>
      </c>
      <c r="F261" s="10">
        <f>IF(E261="","",$B$12+E261)</f>
        <v/>
      </c>
      <c r="G261" s="10">
        <f>IF(B261="","",$B$11+B261)</f>
        <v/>
      </c>
      <c r="H261" s="8">
        <f>IF(B261="","",IF(ABS(B261)&lt;1E-9,"PVI",IF(ABS(B261+$F$7)&lt;$B$10/2,"PVC",IF(ABS(B261-$F$7)&lt;$B$10/2,"PVT",""))))</f>
        <v/>
      </c>
    </row>
    <row r="262">
      <c r="A262" s="8">
        <f>IF(B262="","",A261+1)</f>
        <v/>
      </c>
      <c r="B262" s="8">
        <f>IF(B261="","",IF(B261+$B$10&lt;=$B$9+1E-9,B261+$B$10,""))</f>
        <v/>
      </c>
      <c r="C262" s="8">
        <f>IF(B262="","",IF(B262&lt;- $F$7,"Left tangent",IF(B262&lt;=$F$7,"Parabolic curve","Right tangent")))</f>
        <v/>
      </c>
      <c r="D262" s="9">
        <f>IF(B262="","",IF(B262&lt;- $F$7,$B$5,IF(B262&lt;=$F$7,100*($F$5+$F$8*(B262+$F$7)),$B$6)))</f>
        <v/>
      </c>
      <c r="E262" s="10">
        <f>IF(B262="","",IF(B262&lt;- $F$7,$F$9+$F$5*(B262+$F$7),IF(B262&lt;=$F$7,$F$9+$F$5*(B262+$F$7)+0.5*$F$8*(B262+$F$7)^2,$F$10+$F$6*(B262-$F$7))))</f>
        <v/>
      </c>
      <c r="F262" s="10">
        <f>IF(E262="","",$B$12+E262)</f>
        <v/>
      </c>
      <c r="G262" s="10">
        <f>IF(B262="","",$B$11+B262)</f>
        <v/>
      </c>
      <c r="H262" s="8">
        <f>IF(B262="","",IF(ABS(B262)&lt;1E-9,"PVI",IF(ABS(B262+$F$7)&lt;$B$10/2,"PVC",IF(ABS(B262-$F$7)&lt;$B$10/2,"PVT",""))))</f>
        <v/>
      </c>
    </row>
    <row r="263">
      <c r="A263" s="8">
        <f>IF(B263="","",A262+1)</f>
        <v/>
      </c>
      <c r="B263" s="8">
        <f>IF(B262="","",IF(B262+$B$10&lt;=$B$9+1E-9,B262+$B$10,""))</f>
        <v/>
      </c>
      <c r="C263" s="8">
        <f>IF(B263="","",IF(B263&lt;- $F$7,"Left tangent",IF(B263&lt;=$F$7,"Parabolic curve","Right tangent")))</f>
        <v/>
      </c>
      <c r="D263" s="9">
        <f>IF(B263="","",IF(B263&lt;- $F$7,$B$5,IF(B263&lt;=$F$7,100*($F$5+$F$8*(B263+$F$7)),$B$6)))</f>
        <v/>
      </c>
      <c r="E263" s="10">
        <f>IF(B263="","",IF(B263&lt;- $F$7,$F$9+$F$5*(B263+$F$7),IF(B263&lt;=$F$7,$F$9+$F$5*(B263+$F$7)+0.5*$F$8*(B263+$F$7)^2,$F$10+$F$6*(B263-$F$7))))</f>
        <v/>
      </c>
      <c r="F263" s="10">
        <f>IF(E263="","",$B$12+E263)</f>
        <v/>
      </c>
      <c r="G263" s="10">
        <f>IF(B263="","",$B$11+B263)</f>
        <v/>
      </c>
      <c r="H263" s="8">
        <f>IF(B263="","",IF(ABS(B263)&lt;1E-9,"PVI",IF(ABS(B263+$F$7)&lt;$B$10/2,"PVC",IF(ABS(B263-$F$7)&lt;$B$10/2,"PVT",""))))</f>
        <v/>
      </c>
    </row>
    <row r="264">
      <c r="A264" s="8">
        <f>IF(B264="","",A263+1)</f>
        <v/>
      </c>
      <c r="B264" s="8">
        <f>IF(B263="","",IF(B263+$B$10&lt;=$B$9+1E-9,B263+$B$10,""))</f>
        <v/>
      </c>
      <c r="C264" s="8">
        <f>IF(B264="","",IF(B264&lt;- $F$7,"Left tangent",IF(B264&lt;=$F$7,"Parabolic curve","Right tangent")))</f>
        <v/>
      </c>
      <c r="D264" s="9">
        <f>IF(B264="","",IF(B264&lt;- $F$7,$B$5,IF(B264&lt;=$F$7,100*($F$5+$F$8*(B264+$F$7)),$B$6)))</f>
        <v/>
      </c>
      <c r="E264" s="10">
        <f>IF(B264="","",IF(B264&lt;- $F$7,$F$9+$F$5*(B264+$F$7),IF(B264&lt;=$F$7,$F$9+$F$5*(B264+$F$7)+0.5*$F$8*(B264+$F$7)^2,$F$10+$F$6*(B264-$F$7))))</f>
        <v/>
      </c>
      <c r="F264" s="10">
        <f>IF(E264="","",$B$12+E264)</f>
        <v/>
      </c>
      <c r="G264" s="10">
        <f>IF(B264="","",$B$11+B264)</f>
        <v/>
      </c>
      <c r="H264" s="8">
        <f>IF(B264="","",IF(ABS(B264)&lt;1E-9,"PVI",IF(ABS(B264+$F$7)&lt;$B$10/2,"PVC",IF(ABS(B264-$F$7)&lt;$B$10/2,"PVT",""))))</f>
        <v/>
      </c>
    </row>
    <row r="265">
      <c r="A265" s="8">
        <f>IF(B265="","",A264+1)</f>
        <v/>
      </c>
      <c r="B265" s="8">
        <f>IF(B264="","",IF(B264+$B$10&lt;=$B$9+1E-9,B264+$B$10,""))</f>
        <v/>
      </c>
      <c r="C265" s="8">
        <f>IF(B265="","",IF(B265&lt;- $F$7,"Left tangent",IF(B265&lt;=$F$7,"Parabolic curve","Right tangent")))</f>
        <v/>
      </c>
      <c r="D265" s="9">
        <f>IF(B265="","",IF(B265&lt;- $F$7,$B$5,IF(B265&lt;=$F$7,100*($F$5+$F$8*(B265+$F$7)),$B$6)))</f>
        <v/>
      </c>
      <c r="E265" s="10">
        <f>IF(B265="","",IF(B265&lt;- $F$7,$F$9+$F$5*(B265+$F$7),IF(B265&lt;=$F$7,$F$9+$F$5*(B265+$F$7)+0.5*$F$8*(B265+$F$7)^2,$F$10+$F$6*(B265-$F$7))))</f>
        <v/>
      </c>
      <c r="F265" s="10">
        <f>IF(E265="","",$B$12+E265)</f>
        <v/>
      </c>
      <c r="G265" s="10">
        <f>IF(B265="","",$B$11+B265)</f>
        <v/>
      </c>
      <c r="H265" s="8">
        <f>IF(B265="","",IF(ABS(B265)&lt;1E-9,"PVI",IF(ABS(B265+$F$7)&lt;$B$10/2,"PVC",IF(ABS(B265-$F$7)&lt;$B$10/2,"PVT",""))))</f>
        <v/>
      </c>
    </row>
    <row r="266">
      <c r="A266" s="8">
        <f>IF(B266="","",A265+1)</f>
        <v/>
      </c>
      <c r="B266" s="8">
        <f>IF(B265="","",IF(B265+$B$10&lt;=$B$9+1E-9,B265+$B$10,""))</f>
        <v/>
      </c>
      <c r="C266" s="8">
        <f>IF(B266="","",IF(B266&lt;- $F$7,"Left tangent",IF(B266&lt;=$F$7,"Parabolic curve","Right tangent")))</f>
        <v/>
      </c>
      <c r="D266" s="9">
        <f>IF(B266="","",IF(B266&lt;- $F$7,$B$5,IF(B266&lt;=$F$7,100*($F$5+$F$8*(B266+$F$7)),$B$6)))</f>
        <v/>
      </c>
      <c r="E266" s="10">
        <f>IF(B266="","",IF(B266&lt;- $F$7,$F$9+$F$5*(B266+$F$7),IF(B266&lt;=$F$7,$F$9+$F$5*(B266+$F$7)+0.5*$F$8*(B266+$F$7)^2,$F$10+$F$6*(B266-$F$7))))</f>
        <v/>
      </c>
      <c r="F266" s="10">
        <f>IF(E266="","",$B$12+E266)</f>
        <v/>
      </c>
      <c r="G266" s="10">
        <f>IF(B266="","",$B$11+B266)</f>
        <v/>
      </c>
      <c r="H266" s="8">
        <f>IF(B266="","",IF(ABS(B266)&lt;1E-9,"PVI",IF(ABS(B266+$F$7)&lt;$B$10/2,"PVC",IF(ABS(B266-$F$7)&lt;$B$10/2,"PVT",""))))</f>
        <v/>
      </c>
    </row>
    <row r="267">
      <c r="A267" s="8">
        <f>IF(B267="","",A266+1)</f>
        <v/>
      </c>
      <c r="B267" s="8">
        <f>IF(B266="","",IF(B266+$B$10&lt;=$B$9+1E-9,B266+$B$10,""))</f>
        <v/>
      </c>
      <c r="C267" s="8">
        <f>IF(B267="","",IF(B267&lt;- $F$7,"Left tangent",IF(B267&lt;=$F$7,"Parabolic curve","Right tangent")))</f>
        <v/>
      </c>
      <c r="D267" s="9">
        <f>IF(B267="","",IF(B267&lt;- $F$7,$B$5,IF(B267&lt;=$F$7,100*($F$5+$F$8*(B267+$F$7)),$B$6)))</f>
        <v/>
      </c>
      <c r="E267" s="10">
        <f>IF(B267="","",IF(B267&lt;- $F$7,$F$9+$F$5*(B267+$F$7),IF(B267&lt;=$F$7,$F$9+$F$5*(B267+$F$7)+0.5*$F$8*(B267+$F$7)^2,$F$10+$F$6*(B267-$F$7))))</f>
        <v/>
      </c>
      <c r="F267" s="10">
        <f>IF(E267="","",$B$12+E267)</f>
        <v/>
      </c>
      <c r="G267" s="10">
        <f>IF(B267="","",$B$11+B267)</f>
        <v/>
      </c>
      <c r="H267" s="8">
        <f>IF(B267="","",IF(ABS(B267)&lt;1E-9,"PVI",IF(ABS(B267+$F$7)&lt;$B$10/2,"PVC",IF(ABS(B267-$F$7)&lt;$B$10/2,"PVT",""))))</f>
        <v/>
      </c>
    </row>
    <row r="268">
      <c r="A268" s="8">
        <f>IF(B268="","",A267+1)</f>
        <v/>
      </c>
      <c r="B268" s="8">
        <f>IF(B267="","",IF(B267+$B$10&lt;=$B$9+1E-9,B267+$B$10,""))</f>
        <v/>
      </c>
      <c r="C268" s="8">
        <f>IF(B268="","",IF(B268&lt;- $F$7,"Left tangent",IF(B268&lt;=$F$7,"Parabolic curve","Right tangent")))</f>
        <v/>
      </c>
      <c r="D268" s="9">
        <f>IF(B268="","",IF(B268&lt;- $F$7,$B$5,IF(B268&lt;=$F$7,100*($F$5+$F$8*(B268+$F$7)),$B$6)))</f>
        <v/>
      </c>
      <c r="E268" s="10">
        <f>IF(B268="","",IF(B268&lt;- $F$7,$F$9+$F$5*(B268+$F$7),IF(B268&lt;=$F$7,$F$9+$F$5*(B268+$F$7)+0.5*$F$8*(B268+$F$7)^2,$F$10+$F$6*(B268-$F$7))))</f>
        <v/>
      </c>
      <c r="F268" s="10">
        <f>IF(E268="","",$B$12+E268)</f>
        <v/>
      </c>
      <c r="G268" s="10">
        <f>IF(B268="","",$B$11+B268)</f>
        <v/>
      </c>
      <c r="H268" s="8">
        <f>IF(B268="","",IF(ABS(B268)&lt;1E-9,"PVI",IF(ABS(B268+$F$7)&lt;$B$10/2,"PVC",IF(ABS(B268-$F$7)&lt;$B$10/2,"PVT",""))))</f>
        <v/>
      </c>
    </row>
    <row r="269">
      <c r="A269" s="8">
        <f>IF(B269="","",A268+1)</f>
        <v/>
      </c>
      <c r="B269" s="8">
        <f>IF(B268="","",IF(B268+$B$10&lt;=$B$9+1E-9,B268+$B$10,""))</f>
        <v/>
      </c>
      <c r="C269" s="8">
        <f>IF(B269="","",IF(B269&lt;- $F$7,"Left tangent",IF(B269&lt;=$F$7,"Parabolic curve","Right tangent")))</f>
        <v/>
      </c>
      <c r="D269" s="9">
        <f>IF(B269="","",IF(B269&lt;- $F$7,$B$5,IF(B269&lt;=$F$7,100*($F$5+$F$8*(B269+$F$7)),$B$6)))</f>
        <v/>
      </c>
      <c r="E269" s="10">
        <f>IF(B269="","",IF(B269&lt;- $F$7,$F$9+$F$5*(B269+$F$7),IF(B269&lt;=$F$7,$F$9+$F$5*(B269+$F$7)+0.5*$F$8*(B269+$F$7)^2,$F$10+$F$6*(B269-$F$7))))</f>
        <v/>
      </c>
      <c r="F269" s="10">
        <f>IF(E269="","",$B$12+E269)</f>
        <v/>
      </c>
      <c r="G269" s="10">
        <f>IF(B269="","",$B$11+B269)</f>
        <v/>
      </c>
      <c r="H269" s="8">
        <f>IF(B269="","",IF(ABS(B269)&lt;1E-9,"PVI",IF(ABS(B269+$F$7)&lt;$B$10/2,"PVC",IF(ABS(B269-$F$7)&lt;$B$10/2,"PVT",""))))</f>
        <v/>
      </c>
    </row>
    <row r="270">
      <c r="A270" s="8">
        <f>IF(B270="","",A269+1)</f>
        <v/>
      </c>
      <c r="B270" s="8">
        <f>IF(B269="","",IF(B269+$B$10&lt;=$B$9+1E-9,B269+$B$10,""))</f>
        <v/>
      </c>
      <c r="C270" s="8">
        <f>IF(B270="","",IF(B270&lt;- $F$7,"Left tangent",IF(B270&lt;=$F$7,"Parabolic curve","Right tangent")))</f>
        <v/>
      </c>
      <c r="D270" s="9">
        <f>IF(B270="","",IF(B270&lt;- $F$7,$B$5,IF(B270&lt;=$F$7,100*($F$5+$F$8*(B270+$F$7)),$B$6)))</f>
        <v/>
      </c>
      <c r="E270" s="10">
        <f>IF(B270="","",IF(B270&lt;- $F$7,$F$9+$F$5*(B270+$F$7),IF(B270&lt;=$F$7,$F$9+$F$5*(B270+$F$7)+0.5*$F$8*(B270+$F$7)^2,$F$10+$F$6*(B270-$F$7))))</f>
        <v/>
      </c>
      <c r="F270" s="10">
        <f>IF(E270="","",$B$12+E270)</f>
        <v/>
      </c>
      <c r="G270" s="10">
        <f>IF(B270="","",$B$11+B270)</f>
        <v/>
      </c>
      <c r="H270" s="8">
        <f>IF(B270="","",IF(ABS(B270)&lt;1E-9,"PVI",IF(ABS(B270+$F$7)&lt;$B$10/2,"PVC",IF(ABS(B270-$F$7)&lt;$B$10/2,"PVT",""))))</f>
        <v/>
      </c>
    </row>
    <row r="271">
      <c r="A271" s="8">
        <f>IF(B271="","",A270+1)</f>
        <v/>
      </c>
      <c r="B271" s="8">
        <f>IF(B270="","",IF(B270+$B$10&lt;=$B$9+1E-9,B270+$B$10,""))</f>
        <v/>
      </c>
      <c r="C271" s="8">
        <f>IF(B271="","",IF(B271&lt;- $F$7,"Left tangent",IF(B271&lt;=$F$7,"Parabolic curve","Right tangent")))</f>
        <v/>
      </c>
      <c r="D271" s="9">
        <f>IF(B271="","",IF(B271&lt;- $F$7,$B$5,IF(B271&lt;=$F$7,100*($F$5+$F$8*(B271+$F$7)),$B$6)))</f>
        <v/>
      </c>
      <c r="E271" s="10">
        <f>IF(B271="","",IF(B271&lt;- $F$7,$F$9+$F$5*(B271+$F$7),IF(B271&lt;=$F$7,$F$9+$F$5*(B271+$F$7)+0.5*$F$8*(B271+$F$7)^2,$F$10+$F$6*(B271-$F$7))))</f>
        <v/>
      </c>
      <c r="F271" s="10">
        <f>IF(E271="","",$B$12+E271)</f>
        <v/>
      </c>
      <c r="G271" s="10">
        <f>IF(B271="","",$B$11+B271)</f>
        <v/>
      </c>
      <c r="H271" s="8">
        <f>IF(B271="","",IF(ABS(B271)&lt;1E-9,"PVI",IF(ABS(B271+$F$7)&lt;$B$10/2,"PVC",IF(ABS(B271-$F$7)&lt;$B$10/2,"PVT",""))))</f>
        <v/>
      </c>
    </row>
    <row r="272">
      <c r="A272" s="8">
        <f>IF(B272="","",A271+1)</f>
        <v/>
      </c>
      <c r="B272" s="8">
        <f>IF(B271="","",IF(B271+$B$10&lt;=$B$9+1E-9,B271+$B$10,""))</f>
        <v/>
      </c>
      <c r="C272" s="8">
        <f>IF(B272="","",IF(B272&lt;- $F$7,"Left tangent",IF(B272&lt;=$F$7,"Parabolic curve","Right tangent")))</f>
        <v/>
      </c>
      <c r="D272" s="9">
        <f>IF(B272="","",IF(B272&lt;- $F$7,$B$5,IF(B272&lt;=$F$7,100*($F$5+$F$8*(B272+$F$7)),$B$6)))</f>
        <v/>
      </c>
      <c r="E272" s="10">
        <f>IF(B272="","",IF(B272&lt;- $F$7,$F$9+$F$5*(B272+$F$7),IF(B272&lt;=$F$7,$F$9+$F$5*(B272+$F$7)+0.5*$F$8*(B272+$F$7)^2,$F$10+$F$6*(B272-$F$7))))</f>
        <v/>
      </c>
      <c r="F272" s="10">
        <f>IF(E272="","",$B$12+E272)</f>
        <v/>
      </c>
      <c r="G272" s="10">
        <f>IF(B272="","",$B$11+B272)</f>
        <v/>
      </c>
      <c r="H272" s="8">
        <f>IF(B272="","",IF(ABS(B272)&lt;1E-9,"PVI",IF(ABS(B272+$F$7)&lt;$B$10/2,"PVC",IF(ABS(B272-$F$7)&lt;$B$10/2,"PVT",""))))</f>
        <v/>
      </c>
    </row>
    <row r="273">
      <c r="A273" s="8">
        <f>IF(B273="","",A272+1)</f>
        <v/>
      </c>
      <c r="B273" s="8">
        <f>IF(B272="","",IF(B272+$B$10&lt;=$B$9+1E-9,B272+$B$10,""))</f>
        <v/>
      </c>
      <c r="C273" s="8">
        <f>IF(B273="","",IF(B273&lt;- $F$7,"Left tangent",IF(B273&lt;=$F$7,"Parabolic curve","Right tangent")))</f>
        <v/>
      </c>
      <c r="D273" s="9">
        <f>IF(B273="","",IF(B273&lt;- $F$7,$B$5,IF(B273&lt;=$F$7,100*($F$5+$F$8*(B273+$F$7)),$B$6)))</f>
        <v/>
      </c>
      <c r="E273" s="10">
        <f>IF(B273="","",IF(B273&lt;- $F$7,$F$9+$F$5*(B273+$F$7),IF(B273&lt;=$F$7,$F$9+$F$5*(B273+$F$7)+0.5*$F$8*(B273+$F$7)^2,$F$10+$F$6*(B273-$F$7))))</f>
        <v/>
      </c>
      <c r="F273" s="10">
        <f>IF(E273="","",$B$12+E273)</f>
        <v/>
      </c>
      <c r="G273" s="10">
        <f>IF(B273="","",$B$11+B273)</f>
        <v/>
      </c>
      <c r="H273" s="8">
        <f>IF(B273="","",IF(ABS(B273)&lt;1E-9,"PVI",IF(ABS(B273+$F$7)&lt;$B$10/2,"PVC",IF(ABS(B273-$F$7)&lt;$B$10/2,"PVT",""))))</f>
        <v/>
      </c>
    </row>
    <row r="274">
      <c r="A274" s="8">
        <f>IF(B274="","",A273+1)</f>
        <v/>
      </c>
      <c r="B274" s="8">
        <f>IF(B273="","",IF(B273+$B$10&lt;=$B$9+1E-9,B273+$B$10,""))</f>
        <v/>
      </c>
      <c r="C274" s="8">
        <f>IF(B274="","",IF(B274&lt;- $F$7,"Left tangent",IF(B274&lt;=$F$7,"Parabolic curve","Right tangent")))</f>
        <v/>
      </c>
      <c r="D274" s="9">
        <f>IF(B274="","",IF(B274&lt;- $F$7,$B$5,IF(B274&lt;=$F$7,100*($F$5+$F$8*(B274+$F$7)),$B$6)))</f>
        <v/>
      </c>
      <c r="E274" s="10">
        <f>IF(B274="","",IF(B274&lt;- $F$7,$F$9+$F$5*(B274+$F$7),IF(B274&lt;=$F$7,$F$9+$F$5*(B274+$F$7)+0.5*$F$8*(B274+$F$7)^2,$F$10+$F$6*(B274-$F$7))))</f>
        <v/>
      </c>
      <c r="F274" s="10">
        <f>IF(E274="","",$B$12+E274)</f>
        <v/>
      </c>
      <c r="G274" s="10">
        <f>IF(B274="","",$B$11+B274)</f>
        <v/>
      </c>
      <c r="H274" s="8">
        <f>IF(B274="","",IF(ABS(B274)&lt;1E-9,"PVI",IF(ABS(B274+$F$7)&lt;$B$10/2,"PVC",IF(ABS(B274-$F$7)&lt;$B$10/2,"PVT",""))))</f>
        <v/>
      </c>
    </row>
    <row r="275">
      <c r="A275" s="8">
        <f>IF(B275="","",A274+1)</f>
        <v/>
      </c>
      <c r="B275" s="8">
        <f>IF(B274="","",IF(B274+$B$10&lt;=$B$9+1E-9,B274+$B$10,""))</f>
        <v/>
      </c>
      <c r="C275" s="8">
        <f>IF(B275="","",IF(B275&lt;- $F$7,"Left tangent",IF(B275&lt;=$F$7,"Parabolic curve","Right tangent")))</f>
        <v/>
      </c>
      <c r="D275" s="9">
        <f>IF(B275="","",IF(B275&lt;- $F$7,$B$5,IF(B275&lt;=$F$7,100*($F$5+$F$8*(B275+$F$7)),$B$6)))</f>
        <v/>
      </c>
      <c r="E275" s="10">
        <f>IF(B275="","",IF(B275&lt;- $F$7,$F$9+$F$5*(B275+$F$7),IF(B275&lt;=$F$7,$F$9+$F$5*(B275+$F$7)+0.5*$F$8*(B275+$F$7)^2,$F$10+$F$6*(B275-$F$7))))</f>
        <v/>
      </c>
      <c r="F275" s="10">
        <f>IF(E275="","",$B$12+E275)</f>
        <v/>
      </c>
      <c r="G275" s="10">
        <f>IF(B275="","",$B$11+B275)</f>
        <v/>
      </c>
      <c r="H275" s="8">
        <f>IF(B275="","",IF(ABS(B275)&lt;1E-9,"PVI",IF(ABS(B275+$F$7)&lt;$B$10/2,"PVC",IF(ABS(B275-$F$7)&lt;$B$10/2,"PVT",""))))</f>
        <v/>
      </c>
    </row>
    <row r="276">
      <c r="A276" s="8">
        <f>IF(B276="","",A275+1)</f>
        <v/>
      </c>
      <c r="B276" s="8">
        <f>IF(B275="","",IF(B275+$B$10&lt;=$B$9+1E-9,B275+$B$10,""))</f>
        <v/>
      </c>
      <c r="C276" s="8">
        <f>IF(B276="","",IF(B276&lt;- $F$7,"Left tangent",IF(B276&lt;=$F$7,"Parabolic curve","Right tangent")))</f>
        <v/>
      </c>
      <c r="D276" s="9">
        <f>IF(B276="","",IF(B276&lt;- $F$7,$B$5,IF(B276&lt;=$F$7,100*($F$5+$F$8*(B276+$F$7)),$B$6)))</f>
        <v/>
      </c>
      <c r="E276" s="10">
        <f>IF(B276="","",IF(B276&lt;- $F$7,$F$9+$F$5*(B276+$F$7),IF(B276&lt;=$F$7,$F$9+$F$5*(B276+$F$7)+0.5*$F$8*(B276+$F$7)^2,$F$10+$F$6*(B276-$F$7))))</f>
        <v/>
      </c>
      <c r="F276" s="10">
        <f>IF(E276="","",$B$12+E276)</f>
        <v/>
      </c>
      <c r="G276" s="10">
        <f>IF(B276="","",$B$11+B276)</f>
        <v/>
      </c>
      <c r="H276" s="8">
        <f>IF(B276="","",IF(ABS(B276)&lt;1E-9,"PVI",IF(ABS(B276+$F$7)&lt;$B$10/2,"PVC",IF(ABS(B276-$F$7)&lt;$B$10/2,"PVT",""))))</f>
        <v/>
      </c>
    </row>
    <row r="277">
      <c r="A277" s="8">
        <f>IF(B277="","",A276+1)</f>
        <v/>
      </c>
      <c r="B277" s="8">
        <f>IF(B276="","",IF(B276+$B$10&lt;=$B$9+1E-9,B276+$B$10,""))</f>
        <v/>
      </c>
      <c r="C277" s="8">
        <f>IF(B277="","",IF(B277&lt;- $F$7,"Left tangent",IF(B277&lt;=$F$7,"Parabolic curve","Right tangent")))</f>
        <v/>
      </c>
      <c r="D277" s="9">
        <f>IF(B277="","",IF(B277&lt;- $F$7,$B$5,IF(B277&lt;=$F$7,100*($F$5+$F$8*(B277+$F$7)),$B$6)))</f>
        <v/>
      </c>
      <c r="E277" s="10">
        <f>IF(B277="","",IF(B277&lt;- $F$7,$F$9+$F$5*(B277+$F$7),IF(B277&lt;=$F$7,$F$9+$F$5*(B277+$F$7)+0.5*$F$8*(B277+$F$7)^2,$F$10+$F$6*(B277-$F$7))))</f>
        <v/>
      </c>
      <c r="F277" s="10">
        <f>IF(E277="","",$B$12+E277)</f>
        <v/>
      </c>
      <c r="G277" s="10">
        <f>IF(B277="","",$B$11+B277)</f>
        <v/>
      </c>
      <c r="H277" s="8">
        <f>IF(B277="","",IF(ABS(B277)&lt;1E-9,"PVI",IF(ABS(B277+$F$7)&lt;$B$10/2,"PVC",IF(ABS(B277-$F$7)&lt;$B$10/2,"PVT",""))))</f>
        <v/>
      </c>
    </row>
    <row r="278">
      <c r="A278" s="8">
        <f>IF(B278="","",A277+1)</f>
        <v/>
      </c>
      <c r="B278" s="8">
        <f>IF(B277="","",IF(B277+$B$10&lt;=$B$9+1E-9,B277+$B$10,""))</f>
        <v/>
      </c>
      <c r="C278" s="8">
        <f>IF(B278="","",IF(B278&lt;- $F$7,"Left tangent",IF(B278&lt;=$F$7,"Parabolic curve","Right tangent")))</f>
        <v/>
      </c>
      <c r="D278" s="9">
        <f>IF(B278="","",IF(B278&lt;- $F$7,$B$5,IF(B278&lt;=$F$7,100*($F$5+$F$8*(B278+$F$7)),$B$6)))</f>
        <v/>
      </c>
      <c r="E278" s="10">
        <f>IF(B278="","",IF(B278&lt;- $F$7,$F$9+$F$5*(B278+$F$7),IF(B278&lt;=$F$7,$F$9+$F$5*(B278+$F$7)+0.5*$F$8*(B278+$F$7)^2,$F$10+$F$6*(B278-$F$7))))</f>
        <v/>
      </c>
      <c r="F278" s="10">
        <f>IF(E278="","",$B$12+E278)</f>
        <v/>
      </c>
      <c r="G278" s="10">
        <f>IF(B278="","",$B$11+B278)</f>
        <v/>
      </c>
      <c r="H278" s="8">
        <f>IF(B278="","",IF(ABS(B278)&lt;1E-9,"PVI",IF(ABS(B278+$F$7)&lt;$B$10/2,"PVC",IF(ABS(B278-$F$7)&lt;$B$10/2,"PVT",""))))</f>
        <v/>
      </c>
    </row>
    <row r="279">
      <c r="A279" s="8">
        <f>IF(B279="","",A278+1)</f>
        <v/>
      </c>
      <c r="B279" s="8">
        <f>IF(B278="","",IF(B278+$B$10&lt;=$B$9+1E-9,B278+$B$10,""))</f>
        <v/>
      </c>
      <c r="C279" s="8">
        <f>IF(B279="","",IF(B279&lt;- $F$7,"Left tangent",IF(B279&lt;=$F$7,"Parabolic curve","Right tangent")))</f>
        <v/>
      </c>
      <c r="D279" s="9">
        <f>IF(B279="","",IF(B279&lt;- $F$7,$B$5,IF(B279&lt;=$F$7,100*($F$5+$F$8*(B279+$F$7)),$B$6)))</f>
        <v/>
      </c>
      <c r="E279" s="10">
        <f>IF(B279="","",IF(B279&lt;- $F$7,$F$9+$F$5*(B279+$F$7),IF(B279&lt;=$F$7,$F$9+$F$5*(B279+$F$7)+0.5*$F$8*(B279+$F$7)^2,$F$10+$F$6*(B279-$F$7))))</f>
        <v/>
      </c>
      <c r="F279" s="10">
        <f>IF(E279="","",$B$12+E279)</f>
        <v/>
      </c>
      <c r="G279" s="10">
        <f>IF(B279="","",$B$11+B279)</f>
        <v/>
      </c>
      <c r="H279" s="8">
        <f>IF(B279="","",IF(ABS(B279)&lt;1E-9,"PVI",IF(ABS(B279+$F$7)&lt;$B$10/2,"PVC",IF(ABS(B279-$F$7)&lt;$B$10/2,"PVT",""))))</f>
        <v/>
      </c>
    </row>
    <row r="280">
      <c r="A280" s="8">
        <f>IF(B280="","",A279+1)</f>
        <v/>
      </c>
      <c r="B280" s="8">
        <f>IF(B279="","",IF(B279+$B$10&lt;=$B$9+1E-9,B279+$B$10,""))</f>
        <v/>
      </c>
      <c r="C280" s="8">
        <f>IF(B280="","",IF(B280&lt;- $F$7,"Left tangent",IF(B280&lt;=$F$7,"Parabolic curve","Right tangent")))</f>
        <v/>
      </c>
      <c r="D280" s="9">
        <f>IF(B280="","",IF(B280&lt;- $F$7,$B$5,IF(B280&lt;=$F$7,100*($F$5+$F$8*(B280+$F$7)),$B$6)))</f>
        <v/>
      </c>
      <c r="E280" s="10">
        <f>IF(B280="","",IF(B280&lt;- $F$7,$F$9+$F$5*(B280+$F$7),IF(B280&lt;=$F$7,$F$9+$F$5*(B280+$F$7)+0.5*$F$8*(B280+$F$7)^2,$F$10+$F$6*(B280-$F$7))))</f>
        <v/>
      </c>
      <c r="F280" s="10">
        <f>IF(E280="","",$B$12+E280)</f>
        <v/>
      </c>
      <c r="G280" s="10">
        <f>IF(B280="","",$B$11+B280)</f>
        <v/>
      </c>
      <c r="H280" s="8">
        <f>IF(B280="","",IF(ABS(B280)&lt;1E-9,"PVI",IF(ABS(B280+$F$7)&lt;$B$10/2,"PVC",IF(ABS(B280-$F$7)&lt;$B$10/2,"PVT",""))))</f>
        <v/>
      </c>
    </row>
    <row r="281">
      <c r="A281" s="8">
        <f>IF(B281="","",A280+1)</f>
        <v/>
      </c>
      <c r="B281" s="8">
        <f>IF(B280="","",IF(B280+$B$10&lt;=$B$9+1E-9,B280+$B$10,""))</f>
        <v/>
      </c>
      <c r="C281" s="8">
        <f>IF(B281="","",IF(B281&lt;- $F$7,"Left tangent",IF(B281&lt;=$F$7,"Parabolic curve","Right tangent")))</f>
        <v/>
      </c>
      <c r="D281" s="9">
        <f>IF(B281="","",IF(B281&lt;- $F$7,$B$5,IF(B281&lt;=$F$7,100*($F$5+$F$8*(B281+$F$7)),$B$6)))</f>
        <v/>
      </c>
      <c r="E281" s="10">
        <f>IF(B281="","",IF(B281&lt;- $F$7,$F$9+$F$5*(B281+$F$7),IF(B281&lt;=$F$7,$F$9+$F$5*(B281+$F$7)+0.5*$F$8*(B281+$F$7)^2,$F$10+$F$6*(B281-$F$7))))</f>
        <v/>
      </c>
      <c r="F281" s="10">
        <f>IF(E281="","",$B$12+E281)</f>
        <v/>
      </c>
      <c r="G281" s="10">
        <f>IF(B281="","",$B$11+B281)</f>
        <v/>
      </c>
      <c r="H281" s="8">
        <f>IF(B281="","",IF(ABS(B281)&lt;1E-9,"PVI",IF(ABS(B281+$F$7)&lt;$B$10/2,"PVC",IF(ABS(B281-$F$7)&lt;$B$10/2,"PVT",""))))</f>
        <v/>
      </c>
    </row>
    <row r="282">
      <c r="A282" s="8">
        <f>IF(B282="","",A281+1)</f>
        <v/>
      </c>
      <c r="B282" s="8">
        <f>IF(B281="","",IF(B281+$B$10&lt;=$B$9+1E-9,B281+$B$10,""))</f>
        <v/>
      </c>
      <c r="C282" s="8">
        <f>IF(B282="","",IF(B282&lt;- $F$7,"Left tangent",IF(B282&lt;=$F$7,"Parabolic curve","Right tangent")))</f>
        <v/>
      </c>
      <c r="D282" s="9">
        <f>IF(B282="","",IF(B282&lt;- $F$7,$B$5,IF(B282&lt;=$F$7,100*($F$5+$F$8*(B282+$F$7)),$B$6)))</f>
        <v/>
      </c>
      <c r="E282" s="10">
        <f>IF(B282="","",IF(B282&lt;- $F$7,$F$9+$F$5*(B282+$F$7),IF(B282&lt;=$F$7,$F$9+$F$5*(B282+$F$7)+0.5*$F$8*(B282+$F$7)^2,$F$10+$F$6*(B282-$F$7))))</f>
        <v/>
      </c>
      <c r="F282" s="10">
        <f>IF(E282="","",$B$12+E282)</f>
        <v/>
      </c>
      <c r="G282" s="10">
        <f>IF(B282="","",$B$11+B282)</f>
        <v/>
      </c>
      <c r="H282" s="8">
        <f>IF(B282="","",IF(ABS(B282)&lt;1E-9,"PVI",IF(ABS(B282+$F$7)&lt;$B$10/2,"PVC",IF(ABS(B282-$F$7)&lt;$B$10/2,"PVT",""))))</f>
        <v/>
      </c>
    </row>
    <row r="283">
      <c r="A283" s="8">
        <f>IF(B283="","",A282+1)</f>
        <v/>
      </c>
      <c r="B283" s="8">
        <f>IF(B282="","",IF(B282+$B$10&lt;=$B$9+1E-9,B282+$B$10,""))</f>
        <v/>
      </c>
      <c r="C283" s="8">
        <f>IF(B283="","",IF(B283&lt;- $F$7,"Left tangent",IF(B283&lt;=$F$7,"Parabolic curve","Right tangent")))</f>
        <v/>
      </c>
      <c r="D283" s="9">
        <f>IF(B283="","",IF(B283&lt;- $F$7,$B$5,IF(B283&lt;=$F$7,100*($F$5+$F$8*(B283+$F$7)),$B$6)))</f>
        <v/>
      </c>
      <c r="E283" s="10">
        <f>IF(B283="","",IF(B283&lt;- $F$7,$F$9+$F$5*(B283+$F$7),IF(B283&lt;=$F$7,$F$9+$F$5*(B283+$F$7)+0.5*$F$8*(B283+$F$7)^2,$F$10+$F$6*(B283-$F$7))))</f>
        <v/>
      </c>
      <c r="F283" s="10">
        <f>IF(E283="","",$B$12+E283)</f>
        <v/>
      </c>
      <c r="G283" s="10">
        <f>IF(B283="","",$B$11+B283)</f>
        <v/>
      </c>
      <c r="H283" s="8">
        <f>IF(B283="","",IF(ABS(B283)&lt;1E-9,"PVI",IF(ABS(B283+$F$7)&lt;$B$10/2,"PVC",IF(ABS(B283-$F$7)&lt;$B$10/2,"PVT",""))))</f>
        <v/>
      </c>
    </row>
    <row r="284">
      <c r="A284" s="8">
        <f>IF(B284="","",A283+1)</f>
        <v/>
      </c>
      <c r="B284" s="8">
        <f>IF(B283="","",IF(B283+$B$10&lt;=$B$9+1E-9,B283+$B$10,""))</f>
        <v/>
      </c>
      <c r="C284" s="8">
        <f>IF(B284="","",IF(B284&lt;- $F$7,"Left tangent",IF(B284&lt;=$F$7,"Parabolic curve","Right tangent")))</f>
        <v/>
      </c>
      <c r="D284" s="9">
        <f>IF(B284="","",IF(B284&lt;- $F$7,$B$5,IF(B284&lt;=$F$7,100*($F$5+$F$8*(B284+$F$7)),$B$6)))</f>
        <v/>
      </c>
      <c r="E284" s="10">
        <f>IF(B284="","",IF(B284&lt;- $F$7,$F$9+$F$5*(B284+$F$7),IF(B284&lt;=$F$7,$F$9+$F$5*(B284+$F$7)+0.5*$F$8*(B284+$F$7)^2,$F$10+$F$6*(B284-$F$7))))</f>
        <v/>
      </c>
      <c r="F284" s="10">
        <f>IF(E284="","",$B$12+E284)</f>
        <v/>
      </c>
      <c r="G284" s="10">
        <f>IF(B284="","",$B$11+B284)</f>
        <v/>
      </c>
      <c r="H284" s="8">
        <f>IF(B284="","",IF(ABS(B284)&lt;1E-9,"PVI",IF(ABS(B284+$F$7)&lt;$B$10/2,"PVC",IF(ABS(B284-$F$7)&lt;$B$10/2,"PVT",""))))</f>
        <v/>
      </c>
    </row>
    <row r="285">
      <c r="A285" s="8">
        <f>IF(B285="","",A284+1)</f>
        <v/>
      </c>
      <c r="B285" s="8">
        <f>IF(B284="","",IF(B284+$B$10&lt;=$B$9+1E-9,B284+$B$10,""))</f>
        <v/>
      </c>
      <c r="C285" s="8">
        <f>IF(B285="","",IF(B285&lt;- $F$7,"Left tangent",IF(B285&lt;=$F$7,"Parabolic curve","Right tangent")))</f>
        <v/>
      </c>
      <c r="D285" s="9">
        <f>IF(B285="","",IF(B285&lt;- $F$7,$B$5,IF(B285&lt;=$F$7,100*($F$5+$F$8*(B285+$F$7)),$B$6)))</f>
        <v/>
      </c>
      <c r="E285" s="10">
        <f>IF(B285="","",IF(B285&lt;- $F$7,$F$9+$F$5*(B285+$F$7),IF(B285&lt;=$F$7,$F$9+$F$5*(B285+$F$7)+0.5*$F$8*(B285+$F$7)^2,$F$10+$F$6*(B285-$F$7))))</f>
        <v/>
      </c>
      <c r="F285" s="10">
        <f>IF(E285="","",$B$12+E285)</f>
        <v/>
      </c>
      <c r="G285" s="10">
        <f>IF(B285="","",$B$11+B285)</f>
        <v/>
      </c>
      <c r="H285" s="8">
        <f>IF(B285="","",IF(ABS(B285)&lt;1E-9,"PVI",IF(ABS(B285+$F$7)&lt;$B$10/2,"PVC",IF(ABS(B285-$F$7)&lt;$B$10/2,"PVT",""))))</f>
        <v/>
      </c>
    </row>
    <row r="286">
      <c r="A286" s="8">
        <f>IF(B286="","",A285+1)</f>
        <v/>
      </c>
      <c r="B286" s="8">
        <f>IF(B285="","",IF(B285+$B$10&lt;=$B$9+1E-9,B285+$B$10,""))</f>
        <v/>
      </c>
      <c r="C286" s="8">
        <f>IF(B286="","",IF(B286&lt;- $F$7,"Left tangent",IF(B286&lt;=$F$7,"Parabolic curve","Right tangent")))</f>
        <v/>
      </c>
      <c r="D286" s="9">
        <f>IF(B286="","",IF(B286&lt;- $F$7,$B$5,IF(B286&lt;=$F$7,100*($F$5+$F$8*(B286+$F$7)),$B$6)))</f>
        <v/>
      </c>
      <c r="E286" s="10">
        <f>IF(B286="","",IF(B286&lt;- $F$7,$F$9+$F$5*(B286+$F$7),IF(B286&lt;=$F$7,$F$9+$F$5*(B286+$F$7)+0.5*$F$8*(B286+$F$7)^2,$F$10+$F$6*(B286-$F$7))))</f>
        <v/>
      </c>
      <c r="F286" s="10">
        <f>IF(E286="","",$B$12+E286)</f>
        <v/>
      </c>
      <c r="G286" s="10">
        <f>IF(B286="","",$B$11+B286)</f>
        <v/>
      </c>
      <c r="H286" s="8">
        <f>IF(B286="","",IF(ABS(B286)&lt;1E-9,"PVI",IF(ABS(B286+$F$7)&lt;$B$10/2,"PVC",IF(ABS(B286-$F$7)&lt;$B$10/2,"PVT",""))))</f>
        <v/>
      </c>
    </row>
    <row r="287">
      <c r="A287" s="8">
        <f>IF(B287="","",A286+1)</f>
        <v/>
      </c>
      <c r="B287" s="8">
        <f>IF(B286="","",IF(B286+$B$10&lt;=$B$9+1E-9,B286+$B$10,""))</f>
        <v/>
      </c>
      <c r="C287" s="8">
        <f>IF(B287="","",IF(B287&lt;- $F$7,"Left tangent",IF(B287&lt;=$F$7,"Parabolic curve","Right tangent")))</f>
        <v/>
      </c>
      <c r="D287" s="9">
        <f>IF(B287="","",IF(B287&lt;- $F$7,$B$5,IF(B287&lt;=$F$7,100*($F$5+$F$8*(B287+$F$7)),$B$6)))</f>
        <v/>
      </c>
      <c r="E287" s="10">
        <f>IF(B287="","",IF(B287&lt;- $F$7,$F$9+$F$5*(B287+$F$7),IF(B287&lt;=$F$7,$F$9+$F$5*(B287+$F$7)+0.5*$F$8*(B287+$F$7)^2,$F$10+$F$6*(B287-$F$7))))</f>
        <v/>
      </c>
      <c r="F287" s="10">
        <f>IF(E287="","",$B$12+E287)</f>
        <v/>
      </c>
      <c r="G287" s="10">
        <f>IF(B287="","",$B$11+B287)</f>
        <v/>
      </c>
      <c r="H287" s="8">
        <f>IF(B287="","",IF(ABS(B287)&lt;1E-9,"PVI",IF(ABS(B287+$F$7)&lt;$B$10/2,"PVC",IF(ABS(B287-$F$7)&lt;$B$10/2,"PVT",""))))</f>
        <v/>
      </c>
    </row>
    <row r="288">
      <c r="A288" s="8">
        <f>IF(B288="","",A287+1)</f>
        <v/>
      </c>
      <c r="B288" s="8">
        <f>IF(B287="","",IF(B287+$B$10&lt;=$B$9+1E-9,B287+$B$10,""))</f>
        <v/>
      </c>
      <c r="C288" s="8">
        <f>IF(B288="","",IF(B288&lt;- $F$7,"Left tangent",IF(B288&lt;=$F$7,"Parabolic curve","Right tangent")))</f>
        <v/>
      </c>
      <c r="D288" s="9">
        <f>IF(B288="","",IF(B288&lt;- $F$7,$B$5,IF(B288&lt;=$F$7,100*($F$5+$F$8*(B288+$F$7)),$B$6)))</f>
        <v/>
      </c>
      <c r="E288" s="10">
        <f>IF(B288="","",IF(B288&lt;- $F$7,$F$9+$F$5*(B288+$F$7),IF(B288&lt;=$F$7,$F$9+$F$5*(B288+$F$7)+0.5*$F$8*(B288+$F$7)^2,$F$10+$F$6*(B288-$F$7))))</f>
        <v/>
      </c>
      <c r="F288" s="10">
        <f>IF(E288="","",$B$12+E288)</f>
        <v/>
      </c>
      <c r="G288" s="10">
        <f>IF(B288="","",$B$11+B288)</f>
        <v/>
      </c>
      <c r="H288" s="8">
        <f>IF(B288="","",IF(ABS(B288)&lt;1E-9,"PVI",IF(ABS(B288+$F$7)&lt;$B$10/2,"PVC",IF(ABS(B288-$F$7)&lt;$B$10/2,"PVT",""))))</f>
        <v/>
      </c>
    </row>
    <row r="289">
      <c r="A289" s="8">
        <f>IF(B289="","",A288+1)</f>
        <v/>
      </c>
      <c r="B289" s="8">
        <f>IF(B288="","",IF(B288+$B$10&lt;=$B$9+1E-9,B288+$B$10,""))</f>
        <v/>
      </c>
      <c r="C289" s="8">
        <f>IF(B289="","",IF(B289&lt;- $F$7,"Left tangent",IF(B289&lt;=$F$7,"Parabolic curve","Right tangent")))</f>
        <v/>
      </c>
      <c r="D289" s="9">
        <f>IF(B289="","",IF(B289&lt;- $F$7,$B$5,IF(B289&lt;=$F$7,100*($F$5+$F$8*(B289+$F$7)),$B$6)))</f>
        <v/>
      </c>
      <c r="E289" s="10">
        <f>IF(B289="","",IF(B289&lt;- $F$7,$F$9+$F$5*(B289+$F$7),IF(B289&lt;=$F$7,$F$9+$F$5*(B289+$F$7)+0.5*$F$8*(B289+$F$7)^2,$F$10+$F$6*(B289-$F$7))))</f>
        <v/>
      </c>
      <c r="F289" s="10">
        <f>IF(E289="","",$B$12+E289)</f>
        <v/>
      </c>
      <c r="G289" s="10">
        <f>IF(B289="","",$B$11+B289)</f>
        <v/>
      </c>
      <c r="H289" s="8">
        <f>IF(B289="","",IF(ABS(B289)&lt;1E-9,"PVI",IF(ABS(B289+$F$7)&lt;$B$10/2,"PVC",IF(ABS(B289-$F$7)&lt;$B$10/2,"PVT",""))))</f>
        <v/>
      </c>
    </row>
    <row r="290">
      <c r="A290" s="8">
        <f>IF(B290="","",A289+1)</f>
        <v/>
      </c>
      <c r="B290" s="8">
        <f>IF(B289="","",IF(B289+$B$10&lt;=$B$9+1E-9,B289+$B$10,""))</f>
        <v/>
      </c>
      <c r="C290" s="8">
        <f>IF(B290="","",IF(B290&lt;- $F$7,"Left tangent",IF(B290&lt;=$F$7,"Parabolic curve","Right tangent")))</f>
        <v/>
      </c>
      <c r="D290" s="9">
        <f>IF(B290="","",IF(B290&lt;- $F$7,$B$5,IF(B290&lt;=$F$7,100*($F$5+$F$8*(B290+$F$7)),$B$6)))</f>
        <v/>
      </c>
      <c r="E290" s="10">
        <f>IF(B290="","",IF(B290&lt;- $F$7,$F$9+$F$5*(B290+$F$7),IF(B290&lt;=$F$7,$F$9+$F$5*(B290+$F$7)+0.5*$F$8*(B290+$F$7)^2,$F$10+$F$6*(B290-$F$7))))</f>
        <v/>
      </c>
      <c r="F290" s="10">
        <f>IF(E290="","",$B$12+E290)</f>
        <v/>
      </c>
      <c r="G290" s="10">
        <f>IF(B290="","",$B$11+B290)</f>
        <v/>
      </c>
      <c r="H290" s="8">
        <f>IF(B290="","",IF(ABS(B290)&lt;1E-9,"PVI",IF(ABS(B290+$F$7)&lt;$B$10/2,"PVC",IF(ABS(B290-$F$7)&lt;$B$10/2,"PVT",""))))</f>
        <v/>
      </c>
    </row>
    <row r="291">
      <c r="A291" s="8">
        <f>IF(B291="","",A290+1)</f>
        <v/>
      </c>
      <c r="B291" s="8">
        <f>IF(B290="","",IF(B290+$B$10&lt;=$B$9+1E-9,B290+$B$10,""))</f>
        <v/>
      </c>
      <c r="C291" s="8">
        <f>IF(B291="","",IF(B291&lt;- $F$7,"Left tangent",IF(B291&lt;=$F$7,"Parabolic curve","Right tangent")))</f>
        <v/>
      </c>
      <c r="D291" s="9">
        <f>IF(B291="","",IF(B291&lt;- $F$7,$B$5,IF(B291&lt;=$F$7,100*($F$5+$F$8*(B291+$F$7)),$B$6)))</f>
        <v/>
      </c>
      <c r="E291" s="10">
        <f>IF(B291="","",IF(B291&lt;- $F$7,$F$9+$F$5*(B291+$F$7),IF(B291&lt;=$F$7,$F$9+$F$5*(B291+$F$7)+0.5*$F$8*(B291+$F$7)^2,$F$10+$F$6*(B291-$F$7))))</f>
        <v/>
      </c>
      <c r="F291" s="10">
        <f>IF(E291="","",$B$12+E291)</f>
        <v/>
      </c>
      <c r="G291" s="10">
        <f>IF(B291="","",$B$11+B291)</f>
        <v/>
      </c>
      <c r="H291" s="8">
        <f>IF(B291="","",IF(ABS(B291)&lt;1E-9,"PVI",IF(ABS(B291+$F$7)&lt;$B$10/2,"PVC",IF(ABS(B291-$F$7)&lt;$B$10/2,"PVT",""))))</f>
        <v/>
      </c>
    </row>
    <row r="292">
      <c r="A292" s="8">
        <f>IF(B292="","",A291+1)</f>
        <v/>
      </c>
      <c r="B292" s="8">
        <f>IF(B291="","",IF(B291+$B$10&lt;=$B$9+1E-9,B291+$B$10,""))</f>
        <v/>
      </c>
      <c r="C292" s="8">
        <f>IF(B292="","",IF(B292&lt;- $F$7,"Left tangent",IF(B292&lt;=$F$7,"Parabolic curve","Right tangent")))</f>
        <v/>
      </c>
      <c r="D292" s="9">
        <f>IF(B292="","",IF(B292&lt;- $F$7,$B$5,IF(B292&lt;=$F$7,100*($F$5+$F$8*(B292+$F$7)),$B$6)))</f>
        <v/>
      </c>
      <c r="E292" s="10">
        <f>IF(B292="","",IF(B292&lt;- $F$7,$F$9+$F$5*(B292+$F$7),IF(B292&lt;=$F$7,$F$9+$F$5*(B292+$F$7)+0.5*$F$8*(B292+$F$7)^2,$F$10+$F$6*(B292-$F$7))))</f>
        <v/>
      </c>
      <c r="F292" s="10">
        <f>IF(E292="","",$B$12+E292)</f>
        <v/>
      </c>
      <c r="G292" s="10">
        <f>IF(B292="","",$B$11+B292)</f>
        <v/>
      </c>
      <c r="H292" s="8">
        <f>IF(B292="","",IF(ABS(B292)&lt;1E-9,"PVI",IF(ABS(B292+$F$7)&lt;$B$10/2,"PVC",IF(ABS(B292-$F$7)&lt;$B$10/2,"PVT",""))))</f>
        <v/>
      </c>
    </row>
    <row r="293">
      <c r="A293" s="8">
        <f>IF(B293="","",A292+1)</f>
        <v/>
      </c>
      <c r="B293" s="8">
        <f>IF(B292="","",IF(B292+$B$10&lt;=$B$9+1E-9,B292+$B$10,""))</f>
        <v/>
      </c>
      <c r="C293" s="8">
        <f>IF(B293="","",IF(B293&lt;- $F$7,"Left tangent",IF(B293&lt;=$F$7,"Parabolic curve","Right tangent")))</f>
        <v/>
      </c>
      <c r="D293" s="9">
        <f>IF(B293="","",IF(B293&lt;- $F$7,$B$5,IF(B293&lt;=$F$7,100*($F$5+$F$8*(B293+$F$7)),$B$6)))</f>
        <v/>
      </c>
      <c r="E293" s="10">
        <f>IF(B293="","",IF(B293&lt;- $F$7,$F$9+$F$5*(B293+$F$7),IF(B293&lt;=$F$7,$F$9+$F$5*(B293+$F$7)+0.5*$F$8*(B293+$F$7)^2,$F$10+$F$6*(B293-$F$7))))</f>
        <v/>
      </c>
      <c r="F293" s="10">
        <f>IF(E293="","",$B$12+E293)</f>
        <v/>
      </c>
      <c r="G293" s="10">
        <f>IF(B293="","",$B$11+B293)</f>
        <v/>
      </c>
      <c r="H293" s="8">
        <f>IF(B293="","",IF(ABS(B293)&lt;1E-9,"PVI",IF(ABS(B293+$F$7)&lt;$B$10/2,"PVC",IF(ABS(B293-$F$7)&lt;$B$10/2,"PVT",""))))</f>
        <v/>
      </c>
    </row>
    <row r="294">
      <c r="A294" s="8">
        <f>IF(B294="","",A293+1)</f>
        <v/>
      </c>
      <c r="B294" s="8">
        <f>IF(B293="","",IF(B293+$B$10&lt;=$B$9+1E-9,B293+$B$10,""))</f>
        <v/>
      </c>
      <c r="C294" s="8">
        <f>IF(B294="","",IF(B294&lt;- $F$7,"Left tangent",IF(B294&lt;=$F$7,"Parabolic curve","Right tangent")))</f>
        <v/>
      </c>
      <c r="D294" s="9">
        <f>IF(B294="","",IF(B294&lt;- $F$7,$B$5,IF(B294&lt;=$F$7,100*($F$5+$F$8*(B294+$F$7)),$B$6)))</f>
        <v/>
      </c>
      <c r="E294" s="10">
        <f>IF(B294="","",IF(B294&lt;- $F$7,$F$9+$F$5*(B294+$F$7),IF(B294&lt;=$F$7,$F$9+$F$5*(B294+$F$7)+0.5*$F$8*(B294+$F$7)^2,$F$10+$F$6*(B294-$F$7))))</f>
        <v/>
      </c>
      <c r="F294" s="10">
        <f>IF(E294="","",$B$12+E294)</f>
        <v/>
      </c>
      <c r="G294" s="10">
        <f>IF(B294="","",$B$11+B294)</f>
        <v/>
      </c>
      <c r="H294" s="8">
        <f>IF(B294="","",IF(ABS(B294)&lt;1E-9,"PVI",IF(ABS(B294+$F$7)&lt;$B$10/2,"PVC",IF(ABS(B294-$F$7)&lt;$B$10/2,"PVT",""))))</f>
        <v/>
      </c>
    </row>
    <row r="295">
      <c r="A295" s="8">
        <f>IF(B295="","",A294+1)</f>
        <v/>
      </c>
      <c r="B295" s="8">
        <f>IF(B294="","",IF(B294+$B$10&lt;=$B$9+1E-9,B294+$B$10,""))</f>
        <v/>
      </c>
      <c r="C295" s="8">
        <f>IF(B295="","",IF(B295&lt;- $F$7,"Left tangent",IF(B295&lt;=$F$7,"Parabolic curve","Right tangent")))</f>
        <v/>
      </c>
      <c r="D295" s="9">
        <f>IF(B295="","",IF(B295&lt;- $F$7,$B$5,IF(B295&lt;=$F$7,100*($F$5+$F$8*(B295+$F$7)),$B$6)))</f>
        <v/>
      </c>
      <c r="E295" s="10">
        <f>IF(B295="","",IF(B295&lt;- $F$7,$F$9+$F$5*(B295+$F$7),IF(B295&lt;=$F$7,$F$9+$F$5*(B295+$F$7)+0.5*$F$8*(B295+$F$7)^2,$F$10+$F$6*(B295-$F$7))))</f>
        <v/>
      </c>
      <c r="F295" s="10">
        <f>IF(E295="","",$B$12+E295)</f>
        <v/>
      </c>
      <c r="G295" s="10">
        <f>IF(B295="","",$B$11+B295)</f>
        <v/>
      </c>
      <c r="H295" s="8">
        <f>IF(B295="","",IF(ABS(B295)&lt;1E-9,"PVI",IF(ABS(B295+$F$7)&lt;$B$10/2,"PVC",IF(ABS(B295-$F$7)&lt;$B$10/2,"PVT",""))))</f>
        <v/>
      </c>
    </row>
    <row r="296">
      <c r="A296" s="8">
        <f>IF(B296="","",A295+1)</f>
        <v/>
      </c>
      <c r="B296" s="8">
        <f>IF(B295="","",IF(B295+$B$10&lt;=$B$9+1E-9,B295+$B$10,""))</f>
        <v/>
      </c>
      <c r="C296" s="8">
        <f>IF(B296="","",IF(B296&lt;- $F$7,"Left tangent",IF(B296&lt;=$F$7,"Parabolic curve","Right tangent")))</f>
        <v/>
      </c>
      <c r="D296" s="9">
        <f>IF(B296="","",IF(B296&lt;- $F$7,$B$5,IF(B296&lt;=$F$7,100*($F$5+$F$8*(B296+$F$7)),$B$6)))</f>
        <v/>
      </c>
      <c r="E296" s="10">
        <f>IF(B296="","",IF(B296&lt;- $F$7,$F$9+$F$5*(B296+$F$7),IF(B296&lt;=$F$7,$F$9+$F$5*(B296+$F$7)+0.5*$F$8*(B296+$F$7)^2,$F$10+$F$6*(B296-$F$7))))</f>
        <v/>
      </c>
      <c r="F296" s="10">
        <f>IF(E296="","",$B$12+E296)</f>
        <v/>
      </c>
      <c r="G296" s="10">
        <f>IF(B296="","",$B$11+B296)</f>
        <v/>
      </c>
      <c r="H296" s="8">
        <f>IF(B296="","",IF(ABS(B296)&lt;1E-9,"PVI",IF(ABS(B296+$F$7)&lt;$B$10/2,"PVC",IF(ABS(B296-$F$7)&lt;$B$10/2,"PVT",""))))</f>
        <v/>
      </c>
    </row>
    <row r="297">
      <c r="A297" s="8">
        <f>IF(B297="","",A296+1)</f>
        <v/>
      </c>
      <c r="B297" s="8">
        <f>IF(B296="","",IF(B296+$B$10&lt;=$B$9+1E-9,B296+$B$10,""))</f>
        <v/>
      </c>
      <c r="C297" s="8">
        <f>IF(B297="","",IF(B297&lt;- $F$7,"Left tangent",IF(B297&lt;=$F$7,"Parabolic curve","Right tangent")))</f>
        <v/>
      </c>
      <c r="D297" s="9">
        <f>IF(B297="","",IF(B297&lt;- $F$7,$B$5,IF(B297&lt;=$F$7,100*($F$5+$F$8*(B297+$F$7)),$B$6)))</f>
        <v/>
      </c>
      <c r="E297" s="10">
        <f>IF(B297="","",IF(B297&lt;- $F$7,$F$9+$F$5*(B297+$F$7),IF(B297&lt;=$F$7,$F$9+$F$5*(B297+$F$7)+0.5*$F$8*(B297+$F$7)^2,$F$10+$F$6*(B297-$F$7))))</f>
        <v/>
      </c>
      <c r="F297" s="10">
        <f>IF(E297="","",$B$12+E297)</f>
        <v/>
      </c>
      <c r="G297" s="10">
        <f>IF(B297="","",$B$11+B297)</f>
        <v/>
      </c>
      <c r="H297" s="8">
        <f>IF(B297="","",IF(ABS(B297)&lt;1E-9,"PVI",IF(ABS(B297+$F$7)&lt;$B$10/2,"PVC",IF(ABS(B297-$F$7)&lt;$B$10/2,"PVT",""))))</f>
        <v/>
      </c>
    </row>
    <row r="298">
      <c r="A298" s="8">
        <f>IF(B298="","",A297+1)</f>
        <v/>
      </c>
      <c r="B298" s="8">
        <f>IF(B297="","",IF(B297+$B$10&lt;=$B$9+1E-9,B297+$B$10,""))</f>
        <v/>
      </c>
      <c r="C298" s="8">
        <f>IF(B298="","",IF(B298&lt;- $F$7,"Left tangent",IF(B298&lt;=$F$7,"Parabolic curve","Right tangent")))</f>
        <v/>
      </c>
      <c r="D298" s="9">
        <f>IF(B298="","",IF(B298&lt;- $F$7,$B$5,IF(B298&lt;=$F$7,100*($F$5+$F$8*(B298+$F$7)),$B$6)))</f>
        <v/>
      </c>
      <c r="E298" s="10">
        <f>IF(B298="","",IF(B298&lt;- $F$7,$F$9+$F$5*(B298+$F$7),IF(B298&lt;=$F$7,$F$9+$F$5*(B298+$F$7)+0.5*$F$8*(B298+$F$7)^2,$F$10+$F$6*(B298-$F$7))))</f>
        <v/>
      </c>
      <c r="F298" s="10">
        <f>IF(E298="","",$B$12+E298)</f>
        <v/>
      </c>
      <c r="G298" s="10">
        <f>IF(B298="","",$B$11+B298)</f>
        <v/>
      </c>
      <c r="H298" s="8">
        <f>IF(B298="","",IF(ABS(B298)&lt;1E-9,"PVI",IF(ABS(B298+$F$7)&lt;$B$10/2,"PVC",IF(ABS(B298-$F$7)&lt;$B$10/2,"PVT",""))))</f>
        <v/>
      </c>
    </row>
    <row r="299">
      <c r="A299" s="8">
        <f>IF(B299="","",A298+1)</f>
        <v/>
      </c>
      <c r="B299" s="8">
        <f>IF(B298="","",IF(B298+$B$10&lt;=$B$9+1E-9,B298+$B$10,""))</f>
        <v/>
      </c>
      <c r="C299" s="8">
        <f>IF(B299="","",IF(B299&lt;- $F$7,"Left tangent",IF(B299&lt;=$F$7,"Parabolic curve","Right tangent")))</f>
        <v/>
      </c>
      <c r="D299" s="9">
        <f>IF(B299="","",IF(B299&lt;- $F$7,$B$5,IF(B299&lt;=$F$7,100*($F$5+$F$8*(B299+$F$7)),$B$6)))</f>
        <v/>
      </c>
      <c r="E299" s="10">
        <f>IF(B299="","",IF(B299&lt;- $F$7,$F$9+$F$5*(B299+$F$7),IF(B299&lt;=$F$7,$F$9+$F$5*(B299+$F$7)+0.5*$F$8*(B299+$F$7)^2,$F$10+$F$6*(B299-$F$7))))</f>
        <v/>
      </c>
      <c r="F299" s="10">
        <f>IF(E299="","",$B$12+E299)</f>
        <v/>
      </c>
      <c r="G299" s="10">
        <f>IF(B299="","",$B$11+B299)</f>
        <v/>
      </c>
      <c r="H299" s="8">
        <f>IF(B299="","",IF(ABS(B299)&lt;1E-9,"PVI",IF(ABS(B299+$F$7)&lt;$B$10/2,"PVC",IF(ABS(B299-$F$7)&lt;$B$10/2,"PVT",""))))</f>
        <v/>
      </c>
    </row>
    <row r="300">
      <c r="A300" s="8">
        <f>IF(B300="","",A299+1)</f>
        <v/>
      </c>
      <c r="B300" s="8">
        <f>IF(B299="","",IF(B299+$B$10&lt;=$B$9+1E-9,B299+$B$10,""))</f>
        <v/>
      </c>
      <c r="C300" s="8">
        <f>IF(B300="","",IF(B300&lt;- $F$7,"Left tangent",IF(B300&lt;=$F$7,"Parabolic curve","Right tangent")))</f>
        <v/>
      </c>
      <c r="D300" s="9">
        <f>IF(B300="","",IF(B300&lt;- $F$7,$B$5,IF(B300&lt;=$F$7,100*($F$5+$F$8*(B300+$F$7)),$B$6)))</f>
        <v/>
      </c>
      <c r="E300" s="10">
        <f>IF(B300="","",IF(B300&lt;- $F$7,$F$9+$F$5*(B300+$F$7),IF(B300&lt;=$F$7,$F$9+$F$5*(B300+$F$7)+0.5*$F$8*(B300+$F$7)^2,$F$10+$F$6*(B300-$F$7))))</f>
        <v/>
      </c>
      <c r="F300" s="10">
        <f>IF(E300="","",$B$12+E300)</f>
        <v/>
      </c>
      <c r="G300" s="10">
        <f>IF(B300="","",$B$11+B300)</f>
        <v/>
      </c>
      <c r="H300" s="8">
        <f>IF(B300="","",IF(ABS(B300)&lt;1E-9,"PVI",IF(ABS(B300+$F$7)&lt;$B$10/2,"PVC",IF(ABS(B300-$F$7)&lt;$B$10/2,"PVT",""))))</f>
        <v/>
      </c>
    </row>
    <row r="301">
      <c r="A301" s="8">
        <f>IF(B301="","",A300+1)</f>
        <v/>
      </c>
      <c r="B301" s="8">
        <f>IF(B300="","",IF(B300+$B$10&lt;=$B$9+1E-9,B300+$B$10,""))</f>
        <v/>
      </c>
      <c r="C301" s="8">
        <f>IF(B301="","",IF(B301&lt;- $F$7,"Left tangent",IF(B301&lt;=$F$7,"Parabolic curve","Right tangent")))</f>
        <v/>
      </c>
      <c r="D301" s="9">
        <f>IF(B301="","",IF(B301&lt;- $F$7,$B$5,IF(B301&lt;=$F$7,100*($F$5+$F$8*(B301+$F$7)),$B$6)))</f>
        <v/>
      </c>
      <c r="E301" s="10">
        <f>IF(B301="","",IF(B301&lt;- $F$7,$F$9+$F$5*(B301+$F$7),IF(B301&lt;=$F$7,$F$9+$F$5*(B301+$F$7)+0.5*$F$8*(B301+$F$7)^2,$F$10+$F$6*(B301-$F$7))))</f>
        <v/>
      </c>
      <c r="F301" s="10">
        <f>IF(E301="","",$B$12+E301)</f>
        <v/>
      </c>
      <c r="G301" s="10">
        <f>IF(B301="","",$B$11+B301)</f>
        <v/>
      </c>
      <c r="H301" s="8">
        <f>IF(B301="","",IF(ABS(B301)&lt;1E-9,"PVI",IF(ABS(B301+$F$7)&lt;$B$10/2,"PVC",IF(ABS(B301-$F$7)&lt;$B$10/2,"PVT",""))))</f>
        <v/>
      </c>
    </row>
    <row r="302">
      <c r="A302" s="8">
        <f>IF(B302="","",A301+1)</f>
        <v/>
      </c>
      <c r="B302" s="8">
        <f>IF(B301="","",IF(B301+$B$10&lt;=$B$9+1E-9,B301+$B$10,""))</f>
        <v/>
      </c>
      <c r="C302" s="8">
        <f>IF(B302="","",IF(B302&lt;- $F$7,"Left tangent",IF(B302&lt;=$F$7,"Parabolic curve","Right tangent")))</f>
        <v/>
      </c>
      <c r="D302" s="9">
        <f>IF(B302="","",IF(B302&lt;- $F$7,$B$5,IF(B302&lt;=$F$7,100*($F$5+$F$8*(B302+$F$7)),$B$6)))</f>
        <v/>
      </c>
      <c r="E302" s="10">
        <f>IF(B302="","",IF(B302&lt;- $F$7,$F$9+$F$5*(B302+$F$7),IF(B302&lt;=$F$7,$F$9+$F$5*(B302+$F$7)+0.5*$F$8*(B302+$F$7)^2,$F$10+$F$6*(B302-$F$7))))</f>
        <v/>
      </c>
      <c r="F302" s="10">
        <f>IF(E302="","",$B$12+E302)</f>
        <v/>
      </c>
      <c r="G302" s="10">
        <f>IF(B302="","",$B$11+B302)</f>
        <v/>
      </c>
      <c r="H302" s="8">
        <f>IF(B302="","",IF(ABS(B302)&lt;1E-9,"PVI",IF(ABS(B302+$F$7)&lt;$B$10/2,"PVC",IF(ABS(B302-$F$7)&lt;$B$10/2,"PVT",""))))</f>
        <v/>
      </c>
    </row>
    <row r="303">
      <c r="A303" s="8">
        <f>IF(B303="","",A302+1)</f>
        <v/>
      </c>
      <c r="B303" s="8">
        <f>IF(B302="","",IF(B302+$B$10&lt;=$B$9+1E-9,B302+$B$10,""))</f>
        <v/>
      </c>
      <c r="C303" s="8">
        <f>IF(B303="","",IF(B303&lt;- $F$7,"Left tangent",IF(B303&lt;=$F$7,"Parabolic curve","Right tangent")))</f>
        <v/>
      </c>
      <c r="D303" s="9">
        <f>IF(B303="","",IF(B303&lt;- $F$7,$B$5,IF(B303&lt;=$F$7,100*($F$5+$F$8*(B303+$F$7)),$B$6)))</f>
        <v/>
      </c>
      <c r="E303" s="10">
        <f>IF(B303="","",IF(B303&lt;- $F$7,$F$9+$F$5*(B303+$F$7),IF(B303&lt;=$F$7,$F$9+$F$5*(B303+$F$7)+0.5*$F$8*(B303+$F$7)^2,$F$10+$F$6*(B303-$F$7))))</f>
        <v/>
      </c>
      <c r="F303" s="10">
        <f>IF(E303="","",$B$12+E303)</f>
        <v/>
      </c>
      <c r="G303" s="10">
        <f>IF(B303="","",$B$11+B303)</f>
        <v/>
      </c>
      <c r="H303" s="8">
        <f>IF(B303="","",IF(ABS(B303)&lt;1E-9,"PVI",IF(ABS(B303+$F$7)&lt;$B$10/2,"PVC",IF(ABS(B303-$F$7)&lt;$B$10/2,"PVT",""))))</f>
        <v/>
      </c>
    </row>
    <row r="304">
      <c r="A304" s="8">
        <f>IF(B304="","",A303+1)</f>
        <v/>
      </c>
      <c r="B304" s="8">
        <f>IF(B303="","",IF(B303+$B$10&lt;=$B$9+1E-9,B303+$B$10,""))</f>
        <v/>
      </c>
      <c r="C304" s="8">
        <f>IF(B304="","",IF(B304&lt;- $F$7,"Left tangent",IF(B304&lt;=$F$7,"Parabolic curve","Right tangent")))</f>
        <v/>
      </c>
      <c r="D304" s="9">
        <f>IF(B304="","",IF(B304&lt;- $F$7,$B$5,IF(B304&lt;=$F$7,100*($F$5+$F$8*(B304+$F$7)),$B$6)))</f>
        <v/>
      </c>
      <c r="E304" s="10">
        <f>IF(B304="","",IF(B304&lt;- $F$7,$F$9+$F$5*(B304+$F$7),IF(B304&lt;=$F$7,$F$9+$F$5*(B304+$F$7)+0.5*$F$8*(B304+$F$7)^2,$F$10+$F$6*(B304-$F$7))))</f>
        <v/>
      </c>
      <c r="F304" s="10">
        <f>IF(E304="","",$B$12+E304)</f>
        <v/>
      </c>
      <c r="G304" s="10">
        <f>IF(B304="","",$B$11+B304)</f>
        <v/>
      </c>
      <c r="H304" s="8">
        <f>IF(B304="","",IF(ABS(B304)&lt;1E-9,"PVI",IF(ABS(B304+$F$7)&lt;$B$10/2,"PVC",IF(ABS(B304-$F$7)&lt;$B$10/2,"PVT",""))))</f>
        <v/>
      </c>
    </row>
    <row r="305">
      <c r="A305" s="8">
        <f>IF(B305="","",A304+1)</f>
        <v/>
      </c>
      <c r="B305" s="8">
        <f>IF(B304="","",IF(B304+$B$10&lt;=$B$9+1E-9,B304+$B$10,""))</f>
        <v/>
      </c>
      <c r="C305" s="8">
        <f>IF(B305="","",IF(B305&lt;- $F$7,"Left tangent",IF(B305&lt;=$F$7,"Parabolic curve","Right tangent")))</f>
        <v/>
      </c>
      <c r="D305" s="9">
        <f>IF(B305="","",IF(B305&lt;- $F$7,$B$5,IF(B305&lt;=$F$7,100*($F$5+$F$8*(B305+$F$7)),$B$6)))</f>
        <v/>
      </c>
      <c r="E305" s="10">
        <f>IF(B305="","",IF(B305&lt;- $F$7,$F$9+$F$5*(B305+$F$7),IF(B305&lt;=$F$7,$F$9+$F$5*(B305+$F$7)+0.5*$F$8*(B305+$F$7)^2,$F$10+$F$6*(B305-$F$7))))</f>
        <v/>
      </c>
      <c r="F305" s="10">
        <f>IF(E305="","",$B$12+E305)</f>
        <v/>
      </c>
      <c r="G305" s="10">
        <f>IF(B305="","",$B$11+B305)</f>
        <v/>
      </c>
      <c r="H305" s="8">
        <f>IF(B305="","",IF(ABS(B305)&lt;1E-9,"PVI",IF(ABS(B305+$F$7)&lt;$B$10/2,"PVC",IF(ABS(B305-$F$7)&lt;$B$10/2,"PVT",""))))</f>
        <v/>
      </c>
    </row>
    <row r="306">
      <c r="A306" s="8">
        <f>IF(B306="","",A305+1)</f>
        <v/>
      </c>
      <c r="B306" s="8">
        <f>IF(B305="","",IF(B305+$B$10&lt;=$B$9+1E-9,B305+$B$10,""))</f>
        <v/>
      </c>
      <c r="C306" s="8">
        <f>IF(B306="","",IF(B306&lt;- $F$7,"Left tangent",IF(B306&lt;=$F$7,"Parabolic curve","Right tangent")))</f>
        <v/>
      </c>
      <c r="D306" s="9">
        <f>IF(B306="","",IF(B306&lt;- $F$7,$B$5,IF(B306&lt;=$F$7,100*($F$5+$F$8*(B306+$F$7)),$B$6)))</f>
        <v/>
      </c>
      <c r="E306" s="10">
        <f>IF(B306="","",IF(B306&lt;- $F$7,$F$9+$F$5*(B306+$F$7),IF(B306&lt;=$F$7,$F$9+$F$5*(B306+$F$7)+0.5*$F$8*(B306+$F$7)^2,$F$10+$F$6*(B306-$F$7))))</f>
        <v/>
      </c>
      <c r="F306" s="10">
        <f>IF(E306="","",$B$12+E306)</f>
        <v/>
      </c>
      <c r="G306" s="10">
        <f>IF(B306="","",$B$11+B306)</f>
        <v/>
      </c>
      <c r="H306" s="8">
        <f>IF(B306="","",IF(ABS(B306)&lt;1E-9,"PVI",IF(ABS(B306+$F$7)&lt;$B$10/2,"PVC",IF(ABS(B306-$F$7)&lt;$B$10/2,"PVT",""))))</f>
        <v/>
      </c>
    </row>
    <row r="307">
      <c r="A307" s="8">
        <f>IF(B307="","",A306+1)</f>
        <v/>
      </c>
      <c r="B307" s="8">
        <f>IF(B306="","",IF(B306+$B$10&lt;=$B$9+1E-9,B306+$B$10,""))</f>
        <v/>
      </c>
      <c r="C307" s="8">
        <f>IF(B307="","",IF(B307&lt;- $F$7,"Left tangent",IF(B307&lt;=$F$7,"Parabolic curve","Right tangent")))</f>
        <v/>
      </c>
      <c r="D307" s="9">
        <f>IF(B307="","",IF(B307&lt;- $F$7,$B$5,IF(B307&lt;=$F$7,100*($F$5+$F$8*(B307+$F$7)),$B$6)))</f>
        <v/>
      </c>
      <c r="E307" s="10">
        <f>IF(B307="","",IF(B307&lt;- $F$7,$F$9+$F$5*(B307+$F$7),IF(B307&lt;=$F$7,$F$9+$F$5*(B307+$F$7)+0.5*$F$8*(B307+$F$7)^2,$F$10+$F$6*(B307-$F$7))))</f>
        <v/>
      </c>
      <c r="F307" s="10">
        <f>IF(E307="","",$B$12+E307)</f>
        <v/>
      </c>
      <c r="G307" s="10">
        <f>IF(B307="","",$B$11+B307)</f>
        <v/>
      </c>
      <c r="H307" s="8">
        <f>IF(B307="","",IF(ABS(B307)&lt;1E-9,"PVI",IF(ABS(B307+$F$7)&lt;$B$10/2,"PVC",IF(ABS(B307-$F$7)&lt;$B$10/2,"PVT",""))))</f>
        <v/>
      </c>
    </row>
    <row r="308">
      <c r="A308" s="8">
        <f>IF(B308="","",A307+1)</f>
        <v/>
      </c>
      <c r="B308" s="8">
        <f>IF(B307="","",IF(B307+$B$10&lt;=$B$9+1E-9,B307+$B$10,""))</f>
        <v/>
      </c>
      <c r="C308" s="8">
        <f>IF(B308="","",IF(B308&lt;- $F$7,"Left tangent",IF(B308&lt;=$F$7,"Parabolic curve","Right tangent")))</f>
        <v/>
      </c>
      <c r="D308" s="9">
        <f>IF(B308="","",IF(B308&lt;- $F$7,$B$5,IF(B308&lt;=$F$7,100*($F$5+$F$8*(B308+$F$7)),$B$6)))</f>
        <v/>
      </c>
      <c r="E308" s="10">
        <f>IF(B308="","",IF(B308&lt;- $F$7,$F$9+$F$5*(B308+$F$7),IF(B308&lt;=$F$7,$F$9+$F$5*(B308+$F$7)+0.5*$F$8*(B308+$F$7)^2,$F$10+$F$6*(B308-$F$7))))</f>
        <v/>
      </c>
      <c r="F308" s="10">
        <f>IF(E308="","",$B$12+E308)</f>
        <v/>
      </c>
      <c r="G308" s="10">
        <f>IF(B308="","",$B$11+B308)</f>
        <v/>
      </c>
      <c r="H308" s="8">
        <f>IF(B308="","",IF(ABS(B308)&lt;1E-9,"PVI",IF(ABS(B308+$F$7)&lt;$B$10/2,"PVC",IF(ABS(B308-$F$7)&lt;$B$10/2,"PVT",""))))</f>
        <v/>
      </c>
    </row>
    <row r="309">
      <c r="A309" s="8">
        <f>IF(B309="","",A308+1)</f>
        <v/>
      </c>
      <c r="B309" s="8">
        <f>IF(B308="","",IF(B308+$B$10&lt;=$B$9+1E-9,B308+$B$10,""))</f>
        <v/>
      </c>
      <c r="C309" s="8">
        <f>IF(B309="","",IF(B309&lt;- $F$7,"Left tangent",IF(B309&lt;=$F$7,"Parabolic curve","Right tangent")))</f>
        <v/>
      </c>
      <c r="D309" s="9">
        <f>IF(B309="","",IF(B309&lt;- $F$7,$B$5,IF(B309&lt;=$F$7,100*($F$5+$F$8*(B309+$F$7)),$B$6)))</f>
        <v/>
      </c>
      <c r="E309" s="10">
        <f>IF(B309="","",IF(B309&lt;- $F$7,$F$9+$F$5*(B309+$F$7),IF(B309&lt;=$F$7,$F$9+$F$5*(B309+$F$7)+0.5*$F$8*(B309+$F$7)^2,$F$10+$F$6*(B309-$F$7))))</f>
        <v/>
      </c>
      <c r="F309" s="10">
        <f>IF(E309="","",$B$12+E309)</f>
        <v/>
      </c>
      <c r="G309" s="10">
        <f>IF(B309="","",$B$11+B309)</f>
        <v/>
      </c>
      <c r="H309" s="8">
        <f>IF(B309="","",IF(ABS(B309)&lt;1E-9,"PVI",IF(ABS(B309+$F$7)&lt;$B$10/2,"PVC",IF(ABS(B309-$F$7)&lt;$B$10/2,"PVT",""))))</f>
        <v/>
      </c>
    </row>
    <row r="310">
      <c r="A310" s="8">
        <f>IF(B310="","",A309+1)</f>
        <v/>
      </c>
      <c r="B310" s="8">
        <f>IF(B309="","",IF(B309+$B$10&lt;=$B$9+1E-9,B309+$B$10,""))</f>
        <v/>
      </c>
      <c r="C310" s="8">
        <f>IF(B310="","",IF(B310&lt;- $F$7,"Left tangent",IF(B310&lt;=$F$7,"Parabolic curve","Right tangent")))</f>
        <v/>
      </c>
      <c r="D310" s="9">
        <f>IF(B310="","",IF(B310&lt;- $F$7,$B$5,IF(B310&lt;=$F$7,100*($F$5+$F$8*(B310+$F$7)),$B$6)))</f>
        <v/>
      </c>
      <c r="E310" s="10">
        <f>IF(B310="","",IF(B310&lt;- $F$7,$F$9+$F$5*(B310+$F$7),IF(B310&lt;=$F$7,$F$9+$F$5*(B310+$F$7)+0.5*$F$8*(B310+$F$7)^2,$F$10+$F$6*(B310-$F$7))))</f>
        <v/>
      </c>
      <c r="F310" s="10">
        <f>IF(E310="","",$B$12+E310)</f>
        <v/>
      </c>
      <c r="G310" s="10">
        <f>IF(B310="","",$B$11+B310)</f>
        <v/>
      </c>
      <c r="H310" s="8">
        <f>IF(B310="","",IF(ABS(B310)&lt;1E-9,"PVI",IF(ABS(B310+$F$7)&lt;$B$10/2,"PVC",IF(ABS(B310-$F$7)&lt;$B$10/2,"PVT",""))))</f>
        <v/>
      </c>
    </row>
    <row r="311">
      <c r="A311" s="8">
        <f>IF(B311="","",A310+1)</f>
        <v/>
      </c>
      <c r="B311" s="8">
        <f>IF(B310="","",IF(B310+$B$10&lt;=$B$9+1E-9,B310+$B$10,""))</f>
        <v/>
      </c>
      <c r="C311" s="8">
        <f>IF(B311="","",IF(B311&lt;- $F$7,"Left tangent",IF(B311&lt;=$F$7,"Parabolic curve","Right tangent")))</f>
        <v/>
      </c>
      <c r="D311" s="9">
        <f>IF(B311="","",IF(B311&lt;- $F$7,$B$5,IF(B311&lt;=$F$7,100*($F$5+$F$8*(B311+$F$7)),$B$6)))</f>
        <v/>
      </c>
      <c r="E311" s="10">
        <f>IF(B311="","",IF(B311&lt;- $F$7,$F$9+$F$5*(B311+$F$7),IF(B311&lt;=$F$7,$F$9+$F$5*(B311+$F$7)+0.5*$F$8*(B311+$F$7)^2,$F$10+$F$6*(B311-$F$7))))</f>
        <v/>
      </c>
      <c r="F311" s="10">
        <f>IF(E311="","",$B$12+E311)</f>
        <v/>
      </c>
      <c r="G311" s="10">
        <f>IF(B311="","",$B$11+B311)</f>
        <v/>
      </c>
      <c r="H311" s="8">
        <f>IF(B311="","",IF(ABS(B311)&lt;1E-9,"PVI",IF(ABS(B311+$F$7)&lt;$B$10/2,"PVC",IF(ABS(B311-$F$7)&lt;$B$10/2,"PVT",""))))</f>
        <v/>
      </c>
    </row>
    <row r="312">
      <c r="A312" s="8">
        <f>IF(B312="","",A311+1)</f>
        <v/>
      </c>
      <c r="B312" s="8">
        <f>IF(B311="","",IF(B311+$B$10&lt;=$B$9+1E-9,B311+$B$10,""))</f>
        <v/>
      </c>
      <c r="C312" s="8">
        <f>IF(B312="","",IF(B312&lt;- $F$7,"Left tangent",IF(B312&lt;=$F$7,"Parabolic curve","Right tangent")))</f>
        <v/>
      </c>
      <c r="D312" s="9">
        <f>IF(B312="","",IF(B312&lt;- $F$7,$B$5,IF(B312&lt;=$F$7,100*($F$5+$F$8*(B312+$F$7)),$B$6)))</f>
        <v/>
      </c>
      <c r="E312" s="10">
        <f>IF(B312="","",IF(B312&lt;- $F$7,$F$9+$F$5*(B312+$F$7),IF(B312&lt;=$F$7,$F$9+$F$5*(B312+$F$7)+0.5*$F$8*(B312+$F$7)^2,$F$10+$F$6*(B312-$F$7))))</f>
        <v/>
      </c>
      <c r="F312" s="10">
        <f>IF(E312="","",$B$12+E312)</f>
        <v/>
      </c>
      <c r="G312" s="10">
        <f>IF(B312="","",$B$11+B312)</f>
        <v/>
      </c>
      <c r="H312" s="8">
        <f>IF(B312="","",IF(ABS(B312)&lt;1E-9,"PVI",IF(ABS(B312+$F$7)&lt;$B$10/2,"PVC",IF(ABS(B312-$F$7)&lt;$B$10/2,"PVT",""))))</f>
        <v/>
      </c>
    </row>
    <row r="313">
      <c r="A313" s="8">
        <f>IF(B313="","",A312+1)</f>
        <v/>
      </c>
      <c r="B313" s="8">
        <f>IF(B312="","",IF(B312+$B$10&lt;=$B$9+1E-9,B312+$B$10,""))</f>
        <v/>
      </c>
      <c r="C313" s="8">
        <f>IF(B313="","",IF(B313&lt;- $F$7,"Left tangent",IF(B313&lt;=$F$7,"Parabolic curve","Right tangent")))</f>
        <v/>
      </c>
      <c r="D313" s="9">
        <f>IF(B313="","",IF(B313&lt;- $F$7,$B$5,IF(B313&lt;=$F$7,100*($F$5+$F$8*(B313+$F$7)),$B$6)))</f>
        <v/>
      </c>
      <c r="E313" s="10">
        <f>IF(B313="","",IF(B313&lt;- $F$7,$F$9+$F$5*(B313+$F$7),IF(B313&lt;=$F$7,$F$9+$F$5*(B313+$F$7)+0.5*$F$8*(B313+$F$7)^2,$F$10+$F$6*(B313-$F$7))))</f>
        <v/>
      </c>
      <c r="F313" s="10">
        <f>IF(E313="","",$B$12+E313)</f>
        <v/>
      </c>
      <c r="G313" s="10">
        <f>IF(B313="","",$B$11+B313)</f>
        <v/>
      </c>
      <c r="H313" s="8">
        <f>IF(B313="","",IF(ABS(B313)&lt;1E-9,"PVI",IF(ABS(B313+$F$7)&lt;$B$10/2,"PVC",IF(ABS(B313-$F$7)&lt;$B$10/2,"PVT",""))))</f>
        <v/>
      </c>
    </row>
    <row r="314">
      <c r="A314" s="8">
        <f>IF(B314="","",A313+1)</f>
        <v/>
      </c>
      <c r="B314" s="8">
        <f>IF(B313="","",IF(B313+$B$10&lt;=$B$9+1E-9,B313+$B$10,""))</f>
        <v/>
      </c>
      <c r="C314" s="8">
        <f>IF(B314="","",IF(B314&lt;- $F$7,"Left tangent",IF(B314&lt;=$F$7,"Parabolic curve","Right tangent")))</f>
        <v/>
      </c>
      <c r="D314" s="9">
        <f>IF(B314="","",IF(B314&lt;- $F$7,$B$5,IF(B314&lt;=$F$7,100*($F$5+$F$8*(B314+$F$7)),$B$6)))</f>
        <v/>
      </c>
      <c r="E314" s="10">
        <f>IF(B314="","",IF(B314&lt;- $F$7,$F$9+$F$5*(B314+$F$7),IF(B314&lt;=$F$7,$F$9+$F$5*(B314+$F$7)+0.5*$F$8*(B314+$F$7)^2,$F$10+$F$6*(B314-$F$7))))</f>
        <v/>
      </c>
      <c r="F314" s="10">
        <f>IF(E314="","",$B$12+E314)</f>
        <v/>
      </c>
      <c r="G314" s="10">
        <f>IF(B314="","",$B$11+B314)</f>
        <v/>
      </c>
      <c r="H314" s="8">
        <f>IF(B314="","",IF(ABS(B314)&lt;1E-9,"PVI",IF(ABS(B314+$F$7)&lt;$B$10/2,"PVC",IF(ABS(B314-$F$7)&lt;$B$10/2,"PVT",""))))</f>
        <v/>
      </c>
    </row>
    <row r="315">
      <c r="A315" s="8">
        <f>IF(B315="","",A314+1)</f>
        <v/>
      </c>
      <c r="B315" s="8">
        <f>IF(B314="","",IF(B314+$B$10&lt;=$B$9+1E-9,B314+$B$10,""))</f>
        <v/>
      </c>
      <c r="C315" s="8">
        <f>IF(B315="","",IF(B315&lt;- $F$7,"Left tangent",IF(B315&lt;=$F$7,"Parabolic curve","Right tangent")))</f>
        <v/>
      </c>
      <c r="D315" s="9">
        <f>IF(B315="","",IF(B315&lt;- $F$7,$B$5,IF(B315&lt;=$F$7,100*($F$5+$F$8*(B315+$F$7)),$B$6)))</f>
        <v/>
      </c>
      <c r="E315" s="10">
        <f>IF(B315="","",IF(B315&lt;- $F$7,$F$9+$F$5*(B315+$F$7),IF(B315&lt;=$F$7,$F$9+$F$5*(B315+$F$7)+0.5*$F$8*(B315+$F$7)^2,$F$10+$F$6*(B315-$F$7))))</f>
        <v/>
      </c>
      <c r="F315" s="10">
        <f>IF(E315="","",$B$12+E315)</f>
        <v/>
      </c>
      <c r="G315" s="10">
        <f>IF(B315="","",$B$11+B315)</f>
        <v/>
      </c>
      <c r="H315" s="8">
        <f>IF(B315="","",IF(ABS(B315)&lt;1E-9,"PVI",IF(ABS(B315+$F$7)&lt;$B$10/2,"PVC",IF(ABS(B315-$F$7)&lt;$B$10/2,"PVT",""))))</f>
        <v/>
      </c>
    </row>
    <row r="316">
      <c r="A316" s="8">
        <f>IF(B316="","",A315+1)</f>
        <v/>
      </c>
      <c r="B316" s="8">
        <f>IF(B315="","",IF(B315+$B$10&lt;=$B$9+1E-9,B315+$B$10,""))</f>
        <v/>
      </c>
      <c r="C316" s="8">
        <f>IF(B316="","",IF(B316&lt;- $F$7,"Left tangent",IF(B316&lt;=$F$7,"Parabolic curve","Right tangent")))</f>
        <v/>
      </c>
      <c r="D316" s="9">
        <f>IF(B316="","",IF(B316&lt;- $F$7,$B$5,IF(B316&lt;=$F$7,100*($F$5+$F$8*(B316+$F$7)),$B$6)))</f>
        <v/>
      </c>
      <c r="E316" s="10">
        <f>IF(B316="","",IF(B316&lt;- $F$7,$F$9+$F$5*(B316+$F$7),IF(B316&lt;=$F$7,$F$9+$F$5*(B316+$F$7)+0.5*$F$8*(B316+$F$7)^2,$F$10+$F$6*(B316-$F$7))))</f>
        <v/>
      </c>
      <c r="F316" s="10">
        <f>IF(E316="","",$B$12+E316)</f>
        <v/>
      </c>
      <c r="G316" s="10">
        <f>IF(B316="","",$B$11+B316)</f>
        <v/>
      </c>
      <c r="H316" s="8">
        <f>IF(B316="","",IF(ABS(B316)&lt;1E-9,"PVI",IF(ABS(B316+$F$7)&lt;$B$10/2,"PVC",IF(ABS(B316-$F$7)&lt;$B$10/2,"PVT",""))))</f>
        <v/>
      </c>
    </row>
    <row r="317">
      <c r="A317" s="8">
        <f>IF(B317="","",A316+1)</f>
        <v/>
      </c>
      <c r="B317" s="8">
        <f>IF(B316="","",IF(B316+$B$10&lt;=$B$9+1E-9,B316+$B$10,""))</f>
        <v/>
      </c>
      <c r="C317" s="8">
        <f>IF(B317="","",IF(B317&lt;- $F$7,"Left tangent",IF(B317&lt;=$F$7,"Parabolic curve","Right tangent")))</f>
        <v/>
      </c>
      <c r="D317" s="9">
        <f>IF(B317="","",IF(B317&lt;- $F$7,$B$5,IF(B317&lt;=$F$7,100*($F$5+$F$8*(B317+$F$7)),$B$6)))</f>
        <v/>
      </c>
      <c r="E317" s="10">
        <f>IF(B317="","",IF(B317&lt;- $F$7,$F$9+$F$5*(B317+$F$7),IF(B317&lt;=$F$7,$F$9+$F$5*(B317+$F$7)+0.5*$F$8*(B317+$F$7)^2,$F$10+$F$6*(B317-$F$7))))</f>
        <v/>
      </c>
      <c r="F317" s="10">
        <f>IF(E317="","",$B$12+E317)</f>
        <v/>
      </c>
      <c r="G317" s="10">
        <f>IF(B317="","",$B$11+B317)</f>
        <v/>
      </c>
      <c r="H317" s="8">
        <f>IF(B317="","",IF(ABS(B317)&lt;1E-9,"PVI",IF(ABS(B317+$F$7)&lt;$B$10/2,"PVC",IF(ABS(B317-$F$7)&lt;$B$10/2,"PVT",""))))</f>
        <v/>
      </c>
    </row>
    <row r="318">
      <c r="A318" s="8">
        <f>IF(B318="","",A317+1)</f>
        <v/>
      </c>
      <c r="B318" s="8">
        <f>IF(B317="","",IF(B317+$B$10&lt;=$B$9+1E-9,B317+$B$10,""))</f>
        <v/>
      </c>
      <c r="C318" s="8">
        <f>IF(B318="","",IF(B318&lt;- $F$7,"Left tangent",IF(B318&lt;=$F$7,"Parabolic curve","Right tangent")))</f>
        <v/>
      </c>
      <c r="D318" s="9">
        <f>IF(B318="","",IF(B318&lt;- $F$7,$B$5,IF(B318&lt;=$F$7,100*($F$5+$F$8*(B318+$F$7)),$B$6)))</f>
        <v/>
      </c>
      <c r="E318" s="10">
        <f>IF(B318="","",IF(B318&lt;- $F$7,$F$9+$F$5*(B318+$F$7),IF(B318&lt;=$F$7,$F$9+$F$5*(B318+$F$7)+0.5*$F$8*(B318+$F$7)^2,$F$10+$F$6*(B318-$F$7))))</f>
        <v/>
      </c>
      <c r="F318" s="10">
        <f>IF(E318="","",$B$12+E318)</f>
        <v/>
      </c>
      <c r="G318" s="10">
        <f>IF(B318="","",$B$11+B318)</f>
        <v/>
      </c>
      <c r="H318" s="8">
        <f>IF(B318="","",IF(ABS(B318)&lt;1E-9,"PVI",IF(ABS(B318+$F$7)&lt;$B$10/2,"PVC",IF(ABS(B318-$F$7)&lt;$B$10/2,"PVT",""))))</f>
        <v/>
      </c>
    </row>
    <row r="319">
      <c r="A319" s="8">
        <f>IF(B319="","",A318+1)</f>
        <v/>
      </c>
      <c r="B319" s="8">
        <f>IF(B318="","",IF(B318+$B$10&lt;=$B$9+1E-9,B318+$B$10,""))</f>
        <v/>
      </c>
      <c r="C319" s="8">
        <f>IF(B319="","",IF(B319&lt;- $F$7,"Left tangent",IF(B319&lt;=$F$7,"Parabolic curve","Right tangent")))</f>
        <v/>
      </c>
      <c r="D319" s="9">
        <f>IF(B319="","",IF(B319&lt;- $F$7,$B$5,IF(B319&lt;=$F$7,100*($F$5+$F$8*(B319+$F$7)),$B$6)))</f>
        <v/>
      </c>
      <c r="E319" s="10">
        <f>IF(B319="","",IF(B319&lt;- $F$7,$F$9+$F$5*(B319+$F$7),IF(B319&lt;=$F$7,$F$9+$F$5*(B319+$F$7)+0.5*$F$8*(B319+$F$7)^2,$F$10+$F$6*(B319-$F$7))))</f>
        <v/>
      </c>
      <c r="F319" s="10">
        <f>IF(E319="","",$B$12+E319)</f>
        <v/>
      </c>
      <c r="G319" s="10">
        <f>IF(B319="","",$B$11+B319)</f>
        <v/>
      </c>
      <c r="H319" s="8">
        <f>IF(B319="","",IF(ABS(B319)&lt;1E-9,"PVI",IF(ABS(B319+$F$7)&lt;$B$10/2,"PVC",IF(ABS(B319-$F$7)&lt;$B$10/2,"PVT",""))))</f>
        <v/>
      </c>
    </row>
    <row r="320">
      <c r="A320" s="8">
        <f>IF(B320="","",A319+1)</f>
        <v/>
      </c>
      <c r="B320" s="8">
        <f>IF(B319="","",IF(B319+$B$10&lt;=$B$9+1E-9,B319+$B$10,""))</f>
        <v/>
      </c>
      <c r="C320" s="8">
        <f>IF(B320="","",IF(B320&lt;- $F$7,"Left tangent",IF(B320&lt;=$F$7,"Parabolic curve","Right tangent")))</f>
        <v/>
      </c>
      <c r="D320" s="9">
        <f>IF(B320="","",IF(B320&lt;- $F$7,$B$5,IF(B320&lt;=$F$7,100*($F$5+$F$8*(B320+$F$7)),$B$6)))</f>
        <v/>
      </c>
      <c r="E320" s="10">
        <f>IF(B320="","",IF(B320&lt;- $F$7,$F$9+$F$5*(B320+$F$7),IF(B320&lt;=$F$7,$F$9+$F$5*(B320+$F$7)+0.5*$F$8*(B320+$F$7)^2,$F$10+$F$6*(B320-$F$7))))</f>
        <v/>
      </c>
      <c r="F320" s="10">
        <f>IF(E320="","",$B$12+E320)</f>
        <v/>
      </c>
      <c r="G320" s="10">
        <f>IF(B320="","",$B$11+B320)</f>
        <v/>
      </c>
      <c r="H320" s="8">
        <f>IF(B320="","",IF(ABS(B320)&lt;1E-9,"PVI",IF(ABS(B320+$F$7)&lt;$B$10/2,"PVC",IF(ABS(B320-$F$7)&lt;$B$10/2,"PVT",""))))</f>
        <v/>
      </c>
    </row>
    <row r="321">
      <c r="A321" s="8">
        <f>IF(B321="","",A320+1)</f>
        <v/>
      </c>
      <c r="B321" s="8">
        <f>IF(B320="","",IF(B320+$B$10&lt;=$B$9+1E-9,B320+$B$10,""))</f>
        <v/>
      </c>
      <c r="C321" s="8">
        <f>IF(B321="","",IF(B321&lt;- $F$7,"Left tangent",IF(B321&lt;=$F$7,"Parabolic curve","Right tangent")))</f>
        <v/>
      </c>
      <c r="D321" s="9">
        <f>IF(B321="","",IF(B321&lt;- $F$7,$B$5,IF(B321&lt;=$F$7,100*($F$5+$F$8*(B321+$F$7)),$B$6)))</f>
        <v/>
      </c>
      <c r="E321" s="10">
        <f>IF(B321="","",IF(B321&lt;- $F$7,$F$9+$F$5*(B321+$F$7),IF(B321&lt;=$F$7,$F$9+$F$5*(B321+$F$7)+0.5*$F$8*(B321+$F$7)^2,$F$10+$F$6*(B321-$F$7))))</f>
        <v/>
      </c>
      <c r="F321" s="10">
        <f>IF(E321="","",$B$12+E321)</f>
        <v/>
      </c>
      <c r="G321" s="10">
        <f>IF(B321="","",$B$11+B321)</f>
        <v/>
      </c>
      <c r="H321" s="8">
        <f>IF(B321="","",IF(ABS(B321)&lt;1E-9,"PVI",IF(ABS(B321+$F$7)&lt;$B$10/2,"PVC",IF(ABS(B321-$F$7)&lt;$B$10/2,"PVT",""))))</f>
        <v/>
      </c>
    </row>
    <row r="322">
      <c r="A322" s="8">
        <f>IF(B322="","",A321+1)</f>
        <v/>
      </c>
      <c r="B322" s="8">
        <f>IF(B321="","",IF(B321+$B$10&lt;=$B$9+1E-9,B321+$B$10,""))</f>
        <v/>
      </c>
      <c r="C322" s="8">
        <f>IF(B322="","",IF(B322&lt;- $F$7,"Left tangent",IF(B322&lt;=$F$7,"Parabolic curve","Right tangent")))</f>
        <v/>
      </c>
      <c r="D322" s="9">
        <f>IF(B322="","",IF(B322&lt;- $F$7,$B$5,IF(B322&lt;=$F$7,100*($F$5+$F$8*(B322+$F$7)),$B$6)))</f>
        <v/>
      </c>
      <c r="E322" s="10">
        <f>IF(B322="","",IF(B322&lt;- $F$7,$F$9+$F$5*(B322+$F$7),IF(B322&lt;=$F$7,$F$9+$F$5*(B322+$F$7)+0.5*$F$8*(B322+$F$7)^2,$F$10+$F$6*(B322-$F$7))))</f>
        <v/>
      </c>
      <c r="F322" s="10">
        <f>IF(E322="","",$B$12+E322)</f>
        <v/>
      </c>
      <c r="G322" s="10">
        <f>IF(B322="","",$B$11+B322)</f>
        <v/>
      </c>
      <c r="H322" s="8">
        <f>IF(B322="","",IF(ABS(B322)&lt;1E-9,"PVI",IF(ABS(B322+$F$7)&lt;$B$10/2,"PVC",IF(ABS(B322-$F$7)&lt;$B$10/2,"PVT",""))))</f>
        <v/>
      </c>
    </row>
    <row r="323">
      <c r="A323" s="8">
        <f>IF(B323="","",A322+1)</f>
        <v/>
      </c>
      <c r="B323" s="8">
        <f>IF(B322="","",IF(B322+$B$10&lt;=$B$9+1E-9,B322+$B$10,""))</f>
        <v/>
      </c>
      <c r="C323" s="8">
        <f>IF(B323="","",IF(B323&lt;- $F$7,"Left tangent",IF(B323&lt;=$F$7,"Parabolic curve","Right tangent")))</f>
        <v/>
      </c>
      <c r="D323" s="9">
        <f>IF(B323="","",IF(B323&lt;- $F$7,$B$5,IF(B323&lt;=$F$7,100*($F$5+$F$8*(B323+$F$7)),$B$6)))</f>
        <v/>
      </c>
      <c r="E323" s="10">
        <f>IF(B323="","",IF(B323&lt;- $F$7,$F$9+$F$5*(B323+$F$7),IF(B323&lt;=$F$7,$F$9+$F$5*(B323+$F$7)+0.5*$F$8*(B323+$F$7)^2,$F$10+$F$6*(B323-$F$7))))</f>
        <v/>
      </c>
      <c r="F323" s="10">
        <f>IF(E323="","",$B$12+E323)</f>
        <v/>
      </c>
      <c r="G323" s="10">
        <f>IF(B323="","",$B$11+B323)</f>
        <v/>
      </c>
      <c r="H323" s="8">
        <f>IF(B323="","",IF(ABS(B323)&lt;1E-9,"PVI",IF(ABS(B323+$F$7)&lt;$B$10/2,"PVC",IF(ABS(B323-$F$7)&lt;$B$10/2,"PVT",""))))</f>
        <v/>
      </c>
    </row>
    <row r="324">
      <c r="A324" s="8">
        <f>IF(B324="","",A323+1)</f>
        <v/>
      </c>
      <c r="B324" s="8">
        <f>IF(B323="","",IF(B323+$B$10&lt;=$B$9+1E-9,B323+$B$10,""))</f>
        <v/>
      </c>
      <c r="C324" s="8">
        <f>IF(B324="","",IF(B324&lt;- $F$7,"Left tangent",IF(B324&lt;=$F$7,"Parabolic curve","Right tangent")))</f>
        <v/>
      </c>
      <c r="D324" s="9">
        <f>IF(B324="","",IF(B324&lt;- $F$7,$B$5,IF(B324&lt;=$F$7,100*($F$5+$F$8*(B324+$F$7)),$B$6)))</f>
        <v/>
      </c>
      <c r="E324" s="10">
        <f>IF(B324="","",IF(B324&lt;- $F$7,$F$9+$F$5*(B324+$F$7),IF(B324&lt;=$F$7,$F$9+$F$5*(B324+$F$7)+0.5*$F$8*(B324+$F$7)^2,$F$10+$F$6*(B324-$F$7))))</f>
        <v/>
      </c>
      <c r="F324" s="10">
        <f>IF(E324="","",$B$12+E324)</f>
        <v/>
      </c>
      <c r="G324" s="10">
        <f>IF(B324="","",$B$11+B324)</f>
        <v/>
      </c>
      <c r="H324" s="8">
        <f>IF(B324="","",IF(ABS(B324)&lt;1E-9,"PVI",IF(ABS(B324+$F$7)&lt;$B$10/2,"PVC",IF(ABS(B324-$F$7)&lt;$B$10/2,"PVT",""))))</f>
        <v/>
      </c>
    </row>
    <row r="325">
      <c r="A325" s="8">
        <f>IF(B325="","",A324+1)</f>
        <v/>
      </c>
      <c r="B325" s="8">
        <f>IF(B324="","",IF(B324+$B$10&lt;=$B$9+1E-9,B324+$B$10,""))</f>
        <v/>
      </c>
      <c r="C325" s="8">
        <f>IF(B325="","",IF(B325&lt;- $F$7,"Left tangent",IF(B325&lt;=$F$7,"Parabolic curve","Right tangent")))</f>
        <v/>
      </c>
      <c r="D325" s="9">
        <f>IF(B325="","",IF(B325&lt;- $F$7,$B$5,IF(B325&lt;=$F$7,100*($F$5+$F$8*(B325+$F$7)),$B$6)))</f>
        <v/>
      </c>
      <c r="E325" s="10">
        <f>IF(B325="","",IF(B325&lt;- $F$7,$F$9+$F$5*(B325+$F$7),IF(B325&lt;=$F$7,$F$9+$F$5*(B325+$F$7)+0.5*$F$8*(B325+$F$7)^2,$F$10+$F$6*(B325-$F$7))))</f>
        <v/>
      </c>
      <c r="F325" s="10">
        <f>IF(E325="","",$B$12+E325)</f>
        <v/>
      </c>
      <c r="G325" s="10">
        <f>IF(B325="","",$B$11+B325)</f>
        <v/>
      </c>
      <c r="H325" s="8">
        <f>IF(B325="","",IF(ABS(B325)&lt;1E-9,"PVI",IF(ABS(B325+$F$7)&lt;$B$10/2,"PVC",IF(ABS(B325-$F$7)&lt;$B$10/2,"PVT",""))))</f>
        <v/>
      </c>
    </row>
    <row r="326">
      <c r="A326" s="8">
        <f>IF(B326="","",A325+1)</f>
        <v/>
      </c>
      <c r="B326" s="8">
        <f>IF(B325="","",IF(B325+$B$10&lt;=$B$9+1E-9,B325+$B$10,""))</f>
        <v/>
      </c>
      <c r="C326" s="8">
        <f>IF(B326="","",IF(B326&lt;- $F$7,"Left tangent",IF(B326&lt;=$F$7,"Parabolic curve","Right tangent")))</f>
        <v/>
      </c>
      <c r="D326" s="9">
        <f>IF(B326="","",IF(B326&lt;- $F$7,$B$5,IF(B326&lt;=$F$7,100*($F$5+$F$8*(B326+$F$7)),$B$6)))</f>
        <v/>
      </c>
      <c r="E326" s="10">
        <f>IF(B326="","",IF(B326&lt;- $F$7,$F$9+$F$5*(B326+$F$7),IF(B326&lt;=$F$7,$F$9+$F$5*(B326+$F$7)+0.5*$F$8*(B326+$F$7)^2,$F$10+$F$6*(B326-$F$7))))</f>
        <v/>
      </c>
      <c r="F326" s="10">
        <f>IF(E326="","",$B$12+E326)</f>
        <v/>
      </c>
      <c r="G326" s="10">
        <f>IF(B326="","",$B$11+B326)</f>
        <v/>
      </c>
      <c r="H326" s="8">
        <f>IF(B326="","",IF(ABS(B326)&lt;1E-9,"PVI",IF(ABS(B326+$F$7)&lt;$B$10/2,"PVC",IF(ABS(B326-$F$7)&lt;$B$10/2,"PVT",""))))</f>
        <v/>
      </c>
    </row>
    <row r="327">
      <c r="A327" s="8">
        <f>IF(B327="","",A326+1)</f>
        <v/>
      </c>
      <c r="B327" s="8">
        <f>IF(B326="","",IF(B326+$B$10&lt;=$B$9+1E-9,B326+$B$10,""))</f>
        <v/>
      </c>
      <c r="C327" s="8">
        <f>IF(B327="","",IF(B327&lt;- $F$7,"Left tangent",IF(B327&lt;=$F$7,"Parabolic curve","Right tangent")))</f>
        <v/>
      </c>
      <c r="D327" s="9">
        <f>IF(B327="","",IF(B327&lt;- $F$7,$B$5,IF(B327&lt;=$F$7,100*($F$5+$F$8*(B327+$F$7)),$B$6)))</f>
        <v/>
      </c>
      <c r="E327" s="10">
        <f>IF(B327="","",IF(B327&lt;- $F$7,$F$9+$F$5*(B327+$F$7),IF(B327&lt;=$F$7,$F$9+$F$5*(B327+$F$7)+0.5*$F$8*(B327+$F$7)^2,$F$10+$F$6*(B327-$F$7))))</f>
        <v/>
      </c>
      <c r="F327" s="10">
        <f>IF(E327="","",$B$12+E327)</f>
        <v/>
      </c>
      <c r="G327" s="10">
        <f>IF(B327="","",$B$11+B327)</f>
        <v/>
      </c>
      <c r="H327" s="8">
        <f>IF(B327="","",IF(ABS(B327)&lt;1E-9,"PVI",IF(ABS(B327+$F$7)&lt;$B$10/2,"PVC",IF(ABS(B327-$F$7)&lt;$B$10/2,"PVT",""))))</f>
        <v/>
      </c>
    </row>
    <row r="328">
      <c r="A328" s="8">
        <f>IF(B328="","",A327+1)</f>
        <v/>
      </c>
      <c r="B328" s="8">
        <f>IF(B327="","",IF(B327+$B$10&lt;=$B$9+1E-9,B327+$B$10,""))</f>
        <v/>
      </c>
      <c r="C328" s="8">
        <f>IF(B328="","",IF(B328&lt;- $F$7,"Left tangent",IF(B328&lt;=$F$7,"Parabolic curve","Right tangent")))</f>
        <v/>
      </c>
      <c r="D328" s="9">
        <f>IF(B328="","",IF(B328&lt;- $F$7,$B$5,IF(B328&lt;=$F$7,100*($F$5+$F$8*(B328+$F$7)),$B$6)))</f>
        <v/>
      </c>
      <c r="E328" s="10">
        <f>IF(B328="","",IF(B328&lt;- $F$7,$F$9+$F$5*(B328+$F$7),IF(B328&lt;=$F$7,$F$9+$F$5*(B328+$F$7)+0.5*$F$8*(B328+$F$7)^2,$F$10+$F$6*(B328-$F$7))))</f>
        <v/>
      </c>
      <c r="F328" s="10">
        <f>IF(E328="","",$B$12+E328)</f>
        <v/>
      </c>
      <c r="G328" s="10">
        <f>IF(B328="","",$B$11+B328)</f>
        <v/>
      </c>
      <c r="H328" s="8">
        <f>IF(B328="","",IF(ABS(B328)&lt;1E-9,"PVI",IF(ABS(B328+$F$7)&lt;$B$10/2,"PVC",IF(ABS(B328-$F$7)&lt;$B$10/2,"PVT",""))))</f>
        <v/>
      </c>
    </row>
    <row r="329">
      <c r="A329" s="8">
        <f>IF(B329="","",A328+1)</f>
        <v/>
      </c>
      <c r="B329" s="8">
        <f>IF(B328="","",IF(B328+$B$10&lt;=$B$9+1E-9,B328+$B$10,""))</f>
        <v/>
      </c>
      <c r="C329" s="8">
        <f>IF(B329="","",IF(B329&lt;- $F$7,"Left tangent",IF(B329&lt;=$F$7,"Parabolic curve","Right tangent")))</f>
        <v/>
      </c>
      <c r="D329" s="9">
        <f>IF(B329="","",IF(B329&lt;- $F$7,$B$5,IF(B329&lt;=$F$7,100*($F$5+$F$8*(B329+$F$7)),$B$6)))</f>
        <v/>
      </c>
      <c r="E329" s="10">
        <f>IF(B329="","",IF(B329&lt;- $F$7,$F$9+$F$5*(B329+$F$7),IF(B329&lt;=$F$7,$F$9+$F$5*(B329+$F$7)+0.5*$F$8*(B329+$F$7)^2,$F$10+$F$6*(B329-$F$7))))</f>
        <v/>
      </c>
      <c r="F329" s="10">
        <f>IF(E329="","",$B$12+E329)</f>
        <v/>
      </c>
      <c r="G329" s="10">
        <f>IF(B329="","",$B$11+B329)</f>
        <v/>
      </c>
      <c r="H329" s="8">
        <f>IF(B329="","",IF(ABS(B329)&lt;1E-9,"PVI",IF(ABS(B329+$F$7)&lt;$B$10/2,"PVC",IF(ABS(B329-$F$7)&lt;$B$10/2,"PVT",""))))</f>
        <v/>
      </c>
    </row>
    <row r="330">
      <c r="A330" s="8">
        <f>IF(B330="","",A329+1)</f>
        <v/>
      </c>
      <c r="B330" s="8">
        <f>IF(B329="","",IF(B329+$B$10&lt;=$B$9+1E-9,B329+$B$10,""))</f>
        <v/>
      </c>
      <c r="C330" s="8">
        <f>IF(B330="","",IF(B330&lt;- $F$7,"Left tangent",IF(B330&lt;=$F$7,"Parabolic curve","Right tangent")))</f>
        <v/>
      </c>
      <c r="D330" s="9">
        <f>IF(B330="","",IF(B330&lt;- $F$7,$B$5,IF(B330&lt;=$F$7,100*($F$5+$F$8*(B330+$F$7)),$B$6)))</f>
        <v/>
      </c>
      <c r="E330" s="10">
        <f>IF(B330="","",IF(B330&lt;- $F$7,$F$9+$F$5*(B330+$F$7),IF(B330&lt;=$F$7,$F$9+$F$5*(B330+$F$7)+0.5*$F$8*(B330+$F$7)^2,$F$10+$F$6*(B330-$F$7))))</f>
        <v/>
      </c>
      <c r="F330" s="10">
        <f>IF(E330="","",$B$12+E330)</f>
        <v/>
      </c>
      <c r="G330" s="10">
        <f>IF(B330="","",$B$11+B330)</f>
        <v/>
      </c>
      <c r="H330" s="8">
        <f>IF(B330="","",IF(ABS(B330)&lt;1E-9,"PVI",IF(ABS(B330+$F$7)&lt;$B$10/2,"PVC",IF(ABS(B330-$F$7)&lt;$B$10/2,"PVT",""))))</f>
        <v/>
      </c>
    </row>
    <row r="331">
      <c r="A331" s="8">
        <f>IF(B331="","",A330+1)</f>
        <v/>
      </c>
      <c r="B331" s="8">
        <f>IF(B330="","",IF(B330+$B$10&lt;=$B$9+1E-9,B330+$B$10,""))</f>
        <v/>
      </c>
      <c r="C331" s="8">
        <f>IF(B331="","",IF(B331&lt;- $F$7,"Left tangent",IF(B331&lt;=$F$7,"Parabolic curve","Right tangent")))</f>
        <v/>
      </c>
      <c r="D331" s="9">
        <f>IF(B331="","",IF(B331&lt;- $F$7,$B$5,IF(B331&lt;=$F$7,100*($F$5+$F$8*(B331+$F$7)),$B$6)))</f>
        <v/>
      </c>
      <c r="E331" s="10">
        <f>IF(B331="","",IF(B331&lt;- $F$7,$F$9+$F$5*(B331+$F$7),IF(B331&lt;=$F$7,$F$9+$F$5*(B331+$F$7)+0.5*$F$8*(B331+$F$7)^2,$F$10+$F$6*(B331-$F$7))))</f>
        <v/>
      </c>
      <c r="F331" s="10">
        <f>IF(E331="","",$B$12+E331)</f>
        <v/>
      </c>
      <c r="G331" s="10">
        <f>IF(B331="","",$B$11+B331)</f>
        <v/>
      </c>
      <c r="H331" s="8">
        <f>IF(B331="","",IF(ABS(B331)&lt;1E-9,"PVI",IF(ABS(B331+$F$7)&lt;$B$10/2,"PVC",IF(ABS(B331-$F$7)&lt;$B$10/2,"PVT",""))))</f>
        <v/>
      </c>
    </row>
    <row r="332">
      <c r="A332" s="8">
        <f>IF(B332="","",A331+1)</f>
        <v/>
      </c>
      <c r="B332" s="8">
        <f>IF(B331="","",IF(B331+$B$10&lt;=$B$9+1E-9,B331+$B$10,""))</f>
        <v/>
      </c>
      <c r="C332" s="8">
        <f>IF(B332="","",IF(B332&lt;- $F$7,"Left tangent",IF(B332&lt;=$F$7,"Parabolic curve","Right tangent")))</f>
        <v/>
      </c>
      <c r="D332" s="9">
        <f>IF(B332="","",IF(B332&lt;- $F$7,$B$5,IF(B332&lt;=$F$7,100*($F$5+$F$8*(B332+$F$7)),$B$6)))</f>
        <v/>
      </c>
      <c r="E332" s="10">
        <f>IF(B332="","",IF(B332&lt;- $F$7,$F$9+$F$5*(B332+$F$7),IF(B332&lt;=$F$7,$F$9+$F$5*(B332+$F$7)+0.5*$F$8*(B332+$F$7)^2,$F$10+$F$6*(B332-$F$7))))</f>
        <v/>
      </c>
      <c r="F332" s="10">
        <f>IF(E332="","",$B$12+E332)</f>
        <v/>
      </c>
      <c r="G332" s="10">
        <f>IF(B332="","",$B$11+B332)</f>
        <v/>
      </c>
      <c r="H332" s="8">
        <f>IF(B332="","",IF(ABS(B332)&lt;1E-9,"PVI",IF(ABS(B332+$F$7)&lt;$B$10/2,"PVC",IF(ABS(B332-$F$7)&lt;$B$10/2,"PVT",""))))</f>
        <v/>
      </c>
    </row>
    <row r="333">
      <c r="A333" s="8">
        <f>IF(B333="","",A332+1)</f>
        <v/>
      </c>
      <c r="B333" s="8">
        <f>IF(B332="","",IF(B332+$B$10&lt;=$B$9+1E-9,B332+$B$10,""))</f>
        <v/>
      </c>
      <c r="C333" s="8">
        <f>IF(B333="","",IF(B333&lt;- $F$7,"Left tangent",IF(B333&lt;=$F$7,"Parabolic curve","Right tangent")))</f>
        <v/>
      </c>
      <c r="D333" s="9">
        <f>IF(B333="","",IF(B333&lt;- $F$7,$B$5,IF(B333&lt;=$F$7,100*($F$5+$F$8*(B333+$F$7)),$B$6)))</f>
        <v/>
      </c>
      <c r="E333" s="10">
        <f>IF(B333="","",IF(B333&lt;- $F$7,$F$9+$F$5*(B333+$F$7),IF(B333&lt;=$F$7,$F$9+$F$5*(B333+$F$7)+0.5*$F$8*(B333+$F$7)^2,$F$10+$F$6*(B333-$F$7))))</f>
        <v/>
      </c>
      <c r="F333" s="10">
        <f>IF(E333="","",$B$12+E333)</f>
        <v/>
      </c>
      <c r="G333" s="10">
        <f>IF(B333="","",$B$11+B333)</f>
        <v/>
      </c>
      <c r="H333" s="8">
        <f>IF(B333="","",IF(ABS(B333)&lt;1E-9,"PVI",IF(ABS(B333+$F$7)&lt;$B$10/2,"PVC",IF(ABS(B333-$F$7)&lt;$B$10/2,"PVT",""))))</f>
        <v/>
      </c>
    </row>
    <row r="334">
      <c r="A334" s="8">
        <f>IF(B334="","",A333+1)</f>
        <v/>
      </c>
      <c r="B334" s="8">
        <f>IF(B333="","",IF(B333+$B$10&lt;=$B$9+1E-9,B333+$B$10,""))</f>
        <v/>
      </c>
      <c r="C334" s="8">
        <f>IF(B334="","",IF(B334&lt;- $F$7,"Left tangent",IF(B334&lt;=$F$7,"Parabolic curve","Right tangent")))</f>
        <v/>
      </c>
      <c r="D334" s="9">
        <f>IF(B334="","",IF(B334&lt;- $F$7,$B$5,IF(B334&lt;=$F$7,100*($F$5+$F$8*(B334+$F$7)),$B$6)))</f>
        <v/>
      </c>
      <c r="E334" s="10">
        <f>IF(B334="","",IF(B334&lt;- $F$7,$F$9+$F$5*(B334+$F$7),IF(B334&lt;=$F$7,$F$9+$F$5*(B334+$F$7)+0.5*$F$8*(B334+$F$7)^2,$F$10+$F$6*(B334-$F$7))))</f>
        <v/>
      </c>
      <c r="F334" s="10">
        <f>IF(E334="","",$B$12+E334)</f>
        <v/>
      </c>
      <c r="G334" s="10">
        <f>IF(B334="","",$B$11+B334)</f>
        <v/>
      </c>
      <c r="H334" s="8">
        <f>IF(B334="","",IF(ABS(B334)&lt;1E-9,"PVI",IF(ABS(B334+$F$7)&lt;$B$10/2,"PVC",IF(ABS(B334-$F$7)&lt;$B$10/2,"PVT",""))))</f>
        <v/>
      </c>
    </row>
    <row r="335">
      <c r="A335" s="8">
        <f>IF(B335="","",A334+1)</f>
        <v/>
      </c>
      <c r="B335" s="8">
        <f>IF(B334="","",IF(B334+$B$10&lt;=$B$9+1E-9,B334+$B$10,""))</f>
        <v/>
      </c>
      <c r="C335" s="8">
        <f>IF(B335="","",IF(B335&lt;- $F$7,"Left tangent",IF(B335&lt;=$F$7,"Parabolic curve","Right tangent")))</f>
        <v/>
      </c>
      <c r="D335" s="9">
        <f>IF(B335="","",IF(B335&lt;- $F$7,$B$5,IF(B335&lt;=$F$7,100*($F$5+$F$8*(B335+$F$7)),$B$6)))</f>
        <v/>
      </c>
      <c r="E335" s="10">
        <f>IF(B335="","",IF(B335&lt;- $F$7,$F$9+$F$5*(B335+$F$7),IF(B335&lt;=$F$7,$F$9+$F$5*(B335+$F$7)+0.5*$F$8*(B335+$F$7)^2,$F$10+$F$6*(B335-$F$7))))</f>
        <v/>
      </c>
      <c r="F335" s="10">
        <f>IF(E335="","",$B$12+E335)</f>
        <v/>
      </c>
      <c r="G335" s="10">
        <f>IF(B335="","",$B$11+B335)</f>
        <v/>
      </c>
      <c r="H335" s="8">
        <f>IF(B335="","",IF(ABS(B335)&lt;1E-9,"PVI",IF(ABS(B335+$F$7)&lt;$B$10/2,"PVC",IF(ABS(B335-$F$7)&lt;$B$10/2,"PVT",""))))</f>
        <v/>
      </c>
    </row>
    <row r="336">
      <c r="A336" s="8">
        <f>IF(B336="","",A335+1)</f>
        <v/>
      </c>
      <c r="B336" s="8">
        <f>IF(B335="","",IF(B335+$B$10&lt;=$B$9+1E-9,B335+$B$10,""))</f>
        <v/>
      </c>
      <c r="C336" s="8">
        <f>IF(B336="","",IF(B336&lt;- $F$7,"Left tangent",IF(B336&lt;=$F$7,"Parabolic curve","Right tangent")))</f>
        <v/>
      </c>
      <c r="D336" s="9">
        <f>IF(B336="","",IF(B336&lt;- $F$7,$B$5,IF(B336&lt;=$F$7,100*($F$5+$F$8*(B336+$F$7)),$B$6)))</f>
        <v/>
      </c>
      <c r="E336" s="10">
        <f>IF(B336="","",IF(B336&lt;- $F$7,$F$9+$F$5*(B336+$F$7),IF(B336&lt;=$F$7,$F$9+$F$5*(B336+$F$7)+0.5*$F$8*(B336+$F$7)^2,$F$10+$F$6*(B336-$F$7))))</f>
        <v/>
      </c>
      <c r="F336" s="10">
        <f>IF(E336="","",$B$12+E336)</f>
        <v/>
      </c>
      <c r="G336" s="10">
        <f>IF(B336="","",$B$11+B336)</f>
        <v/>
      </c>
      <c r="H336" s="8">
        <f>IF(B336="","",IF(ABS(B336)&lt;1E-9,"PVI",IF(ABS(B336+$F$7)&lt;$B$10/2,"PVC",IF(ABS(B336-$F$7)&lt;$B$10/2,"PVT",""))))</f>
        <v/>
      </c>
    </row>
    <row r="337">
      <c r="A337" s="8">
        <f>IF(B337="","",A336+1)</f>
        <v/>
      </c>
      <c r="B337" s="8">
        <f>IF(B336="","",IF(B336+$B$10&lt;=$B$9+1E-9,B336+$B$10,""))</f>
        <v/>
      </c>
      <c r="C337" s="8">
        <f>IF(B337="","",IF(B337&lt;- $F$7,"Left tangent",IF(B337&lt;=$F$7,"Parabolic curve","Right tangent")))</f>
        <v/>
      </c>
      <c r="D337" s="9">
        <f>IF(B337="","",IF(B337&lt;- $F$7,$B$5,IF(B337&lt;=$F$7,100*($F$5+$F$8*(B337+$F$7)),$B$6)))</f>
        <v/>
      </c>
      <c r="E337" s="10">
        <f>IF(B337="","",IF(B337&lt;- $F$7,$F$9+$F$5*(B337+$F$7),IF(B337&lt;=$F$7,$F$9+$F$5*(B337+$F$7)+0.5*$F$8*(B337+$F$7)^2,$F$10+$F$6*(B337-$F$7))))</f>
        <v/>
      </c>
      <c r="F337" s="10">
        <f>IF(E337="","",$B$12+E337)</f>
        <v/>
      </c>
      <c r="G337" s="10">
        <f>IF(B337="","",$B$11+B337)</f>
        <v/>
      </c>
      <c r="H337" s="8">
        <f>IF(B337="","",IF(ABS(B337)&lt;1E-9,"PVI",IF(ABS(B337+$F$7)&lt;$B$10/2,"PVC",IF(ABS(B337-$F$7)&lt;$B$10/2,"PVT",""))))</f>
        <v/>
      </c>
    </row>
    <row r="338">
      <c r="A338" s="8">
        <f>IF(B338="","",A337+1)</f>
        <v/>
      </c>
      <c r="B338" s="8">
        <f>IF(B337="","",IF(B337+$B$10&lt;=$B$9+1E-9,B337+$B$10,""))</f>
        <v/>
      </c>
      <c r="C338" s="8">
        <f>IF(B338="","",IF(B338&lt;- $F$7,"Left tangent",IF(B338&lt;=$F$7,"Parabolic curve","Right tangent")))</f>
        <v/>
      </c>
      <c r="D338" s="9">
        <f>IF(B338="","",IF(B338&lt;- $F$7,$B$5,IF(B338&lt;=$F$7,100*($F$5+$F$8*(B338+$F$7)),$B$6)))</f>
        <v/>
      </c>
      <c r="E338" s="10">
        <f>IF(B338="","",IF(B338&lt;- $F$7,$F$9+$F$5*(B338+$F$7),IF(B338&lt;=$F$7,$F$9+$F$5*(B338+$F$7)+0.5*$F$8*(B338+$F$7)^2,$F$10+$F$6*(B338-$F$7))))</f>
        <v/>
      </c>
      <c r="F338" s="10">
        <f>IF(E338="","",$B$12+E338)</f>
        <v/>
      </c>
      <c r="G338" s="10">
        <f>IF(B338="","",$B$11+B338)</f>
        <v/>
      </c>
      <c r="H338" s="8">
        <f>IF(B338="","",IF(ABS(B338)&lt;1E-9,"PVI",IF(ABS(B338+$F$7)&lt;$B$10/2,"PVC",IF(ABS(B338-$F$7)&lt;$B$10/2,"PVT",""))))</f>
        <v/>
      </c>
    </row>
    <row r="339">
      <c r="A339" s="8">
        <f>IF(B339="","",A338+1)</f>
        <v/>
      </c>
      <c r="B339" s="8">
        <f>IF(B338="","",IF(B338+$B$10&lt;=$B$9+1E-9,B338+$B$10,""))</f>
        <v/>
      </c>
      <c r="C339" s="8">
        <f>IF(B339="","",IF(B339&lt;- $F$7,"Left tangent",IF(B339&lt;=$F$7,"Parabolic curve","Right tangent")))</f>
        <v/>
      </c>
      <c r="D339" s="9">
        <f>IF(B339="","",IF(B339&lt;- $F$7,$B$5,IF(B339&lt;=$F$7,100*($F$5+$F$8*(B339+$F$7)),$B$6)))</f>
        <v/>
      </c>
      <c r="E339" s="10">
        <f>IF(B339="","",IF(B339&lt;- $F$7,$F$9+$F$5*(B339+$F$7),IF(B339&lt;=$F$7,$F$9+$F$5*(B339+$F$7)+0.5*$F$8*(B339+$F$7)^2,$F$10+$F$6*(B339-$F$7))))</f>
        <v/>
      </c>
      <c r="F339" s="10">
        <f>IF(E339="","",$B$12+E339)</f>
        <v/>
      </c>
      <c r="G339" s="10">
        <f>IF(B339="","",$B$11+B339)</f>
        <v/>
      </c>
      <c r="H339" s="8">
        <f>IF(B339="","",IF(ABS(B339)&lt;1E-9,"PVI",IF(ABS(B339+$F$7)&lt;$B$10/2,"PVC",IF(ABS(B339-$F$7)&lt;$B$10/2,"PVT",""))))</f>
        <v/>
      </c>
    </row>
    <row r="340">
      <c r="A340" s="8">
        <f>IF(B340="","",A339+1)</f>
        <v/>
      </c>
      <c r="B340" s="8">
        <f>IF(B339="","",IF(B339+$B$10&lt;=$B$9+1E-9,B339+$B$10,""))</f>
        <v/>
      </c>
      <c r="C340" s="8">
        <f>IF(B340="","",IF(B340&lt;- $F$7,"Left tangent",IF(B340&lt;=$F$7,"Parabolic curve","Right tangent")))</f>
        <v/>
      </c>
      <c r="D340" s="9">
        <f>IF(B340="","",IF(B340&lt;- $F$7,$B$5,IF(B340&lt;=$F$7,100*($F$5+$F$8*(B340+$F$7)),$B$6)))</f>
        <v/>
      </c>
      <c r="E340" s="10">
        <f>IF(B340="","",IF(B340&lt;- $F$7,$F$9+$F$5*(B340+$F$7),IF(B340&lt;=$F$7,$F$9+$F$5*(B340+$F$7)+0.5*$F$8*(B340+$F$7)^2,$F$10+$F$6*(B340-$F$7))))</f>
        <v/>
      </c>
      <c r="F340" s="10">
        <f>IF(E340="","",$B$12+E340)</f>
        <v/>
      </c>
      <c r="G340" s="10">
        <f>IF(B340="","",$B$11+B340)</f>
        <v/>
      </c>
      <c r="H340" s="8">
        <f>IF(B340="","",IF(ABS(B340)&lt;1E-9,"PVI",IF(ABS(B340+$F$7)&lt;$B$10/2,"PVC",IF(ABS(B340-$F$7)&lt;$B$10/2,"PVT",""))))</f>
        <v/>
      </c>
    </row>
    <row r="341">
      <c r="A341" s="8">
        <f>IF(B341="","",A340+1)</f>
        <v/>
      </c>
      <c r="B341" s="8">
        <f>IF(B340="","",IF(B340+$B$10&lt;=$B$9+1E-9,B340+$B$10,""))</f>
        <v/>
      </c>
      <c r="C341" s="8">
        <f>IF(B341="","",IF(B341&lt;- $F$7,"Left tangent",IF(B341&lt;=$F$7,"Parabolic curve","Right tangent")))</f>
        <v/>
      </c>
      <c r="D341" s="9">
        <f>IF(B341="","",IF(B341&lt;- $F$7,$B$5,IF(B341&lt;=$F$7,100*($F$5+$F$8*(B341+$F$7)),$B$6)))</f>
        <v/>
      </c>
      <c r="E341" s="10">
        <f>IF(B341="","",IF(B341&lt;- $F$7,$F$9+$F$5*(B341+$F$7),IF(B341&lt;=$F$7,$F$9+$F$5*(B341+$F$7)+0.5*$F$8*(B341+$F$7)^2,$F$10+$F$6*(B341-$F$7))))</f>
        <v/>
      </c>
      <c r="F341" s="10">
        <f>IF(E341="","",$B$12+E341)</f>
        <v/>
      </c>
      <c r="G341" s="10">
        <f>IF(B341="","",$B$11+B341)</f>
        <v/>
      </c>
      <c r="H341" s="8">
        <f>IF(B341="","",IF(ABS(B341)&lt;1E-9,"PVI",IF(ABS(B341+$F$7)&lt;$B$10/2,"PVC",IF(ABS(B341-$F$7)&lt;$B$10/2,"PVT",""))))</f>
        <v/>
      </c>
    </row>
    <row r="342">
      <c r="A342" s="8">
        <f>IF(B342="","",A341+1)</f>
        <v/>
      </c>
      <c r="B342" s="8">
        <f>IF(B341="","",IF(B341+$B$10&lt;=$B$9+1E-9,B341+$B$10,""))</f>
        <v/>
      </c>
      <c r="C342" s="8">
        <f>IF(B342="","",IF(B342&lt;- $F$7,"Left tangent",IF(B342&lt;=$F$7,"Parabolic curve","Right tangent")))</f>
        <v/>
      </c>
      <c r="D342" s="9">
        <f>IF(B342="","",IF(B342&lt;- $F$7,$B$5,IF(B342&lt;=$F$7,100*($F$5+$F$8*(B342+$F$7)),$B$6)))</f>
        <v/>
      </c>
      <c r="E342" s="10">
        <f>IF(B342="","",IF(B342&lt;- $F$7,$F$9+$F$5*(B342+$F$7),IF(B342&lt;=$F$7,$F$9+$F$5*(B342+$F$7)+0.5*$F$8*(B342+$F$7)^2,$F$10+$F$6*(B342-$F$7))))</f>
        <v/>
      </c>
      <c r="F342" s="10">
        <f>IF(E342="","",$B$12+E342)</f>
        <v/>
      </c>
      <c r="G342" s="10">
        <f>IF(B342="","",$B$11+B342)</f>
        <v/>
      </c>
      <c r="H342" s="8">
        <f>IF(B342="","",IF(ABS(B342)&lt;1E-9,"PVI",IF(ABS(B342+$F$7)&lt;$B$10/2,"PVC",IF(ABS(B342-$F$7)&lt;$B$10/2,"PVT",""))))</f>
        <v/>
      </c>
    </row>
    <row r="343">
      <c r="A343" s="8">
        <f>IF(B343="","",A342+1)</f>
        <v/>
      </c>
      <c r="B343" s="8">
        <f>IF(B342="","",IF(B342+$B$10&lt;=$B$9+1E-9,B342+$B$10,""))</f>
        <v/>
      </c>
      <c r="C343" s="8">
        <f>IF(B343="","",IF(B343&lt;- $F$7,"Left tangent",IF(B343&lt;=$F$7,"Parabolic curve","Right tangent")))</f>
        <v/>
      </c>
      <c r="D343" s="9">
        <f>IF(B343="","",IF(B343&lt;- $F$7,$B$5,IF(B343&lt;=$F$7,100*($F$5+$F$8*(B343+$F$7)),$B$6)))</f>
        <v/>
      </c>
      <c r="E343" s="10">
        <f>IF(B343="","",IF(B343&lt;- $F$7,$F$9+$F$5*(B343+$F$7),IF(B343&lt;=$F$7,$F$9+$F$5*(B343+$F$7)+0.5*$F$8*(B343+$F$7)^2,$F$10+$F$6*(B343-$F$7))))</f>
        <v/>
      </c>
      <c r="F343" s="10">
        <f>IF(E343="","",$B$12+E343)</f>
        <v/>
      </c>
      <c r="G343" s="10">
        <f>IF(B343="","",$B$11+B343)</f>
        <v/>
      </c>
      <c r="H343" s="8">
        <f>IF(B343="","",IF(ABS(B343)&lt;1E-9,"PVI",IF(ABS(B343+$F$7)&lt;$B$10/2,"PVC",IF(ABS(B343-$F$7)&lt;$B$10/2,"PVT",""))))</f>
        <v/>
      </c>
    </row>
    <row r="344">
      <c r="A344" s="8">
        <f>IF(B344="","",A343+1)</f>
        <v/>
      </c>
      <c r="B344" s="8">
        <f>IF(B343="","",IF(B343+$B$10&lt;=$B$9+1E-9,B343+$B$10,""))</f>
        <v/>
      </c>
      <c r="C344" s="8">
        <f>IF(B344="","",IF(B344&lt;- $F$7,"Left tangent",IF(B344&lt;=$F$7,"Parabolic curve","Right tangent")))</f>
        <v/>
      </c>
      <c r="D344" s="9">
        <f>IF(B344="","",IF(B344&lt;- $F$7,$B$5,IF(B344&lt;=$F$7,100*($F$5+$F$8*(B344+$F$7)),$B$6)))</f>
        <v/>
      </c>
      <c r="E344" s="10">
        <f>IF(B344="","",IF(B344&lt;- $F$7,$F$9+$F$5*(B344+$F$7),IF(B344&lt;=$F$7,$F$9+$F$5*(B344+$F$7)+0.5*$F$8*(B344+$F$7)^2,$F$10+$F$6*(B344-$F$7))))</f>
        <v/>
      </c>
      <c r="F344" s="10">
        <f>IF(E344="","",$B$12+E344)</f>
        <v/>
      </c>
      <c r="G344" s="10">
        <f>IF(B344="","",$B$11+B344)</f>
        <v/>
      </c>
      <c r="H344" s="8">
        <f>IF(B344="","",IF(ABS(B344)&lt;1E-9,"PVI",IF(ABS(B344+$F$7)&lt;$B$10/2,"PVC",IF(ABS(B344-$F$7)&lt;$B$10/2,"PVT",""))))</f>
        <v/>
      </c>
    </row>
    <row r="345">
      <c r="A345" s="8">
        <f>IF(B345="","",A344+1)</f>
        <v/>
      </c>
      <c r="B345" s="8">
        <f>IF(B344="","",IF(B344+$B$10&lt;=$B$9+1E-9,B344+$B$10,""))</f>
        <v/>
      </c>
      <c r="C345" s="8">
        <f>IF(B345="","",IF(B345&lt;- $F$7,"Left tangent",IF(B345&lt;=$F$7,"Parabolic curve","Right tangent")))</f>
        <v/>
      </c>
      <c r="D345" s="9">
        <f>IF(B345="","",IF(B345&lt;- $F$7,$B$5,IF(B345&lt;=$F$7,100*($F$5+$F$8*(B345+$F$7)),$B$6)))</f>
        <v/>
      </c>
      <c r="E345" s="10">
        <f>IF(B345="","",IF(B345&lt;- $F$7,$F$9+$F$5*(B345+$F$7),IF(B345&lt;=$F$7,$F$9+$F$5*(B345+$F$7)+0.5*$F$8*(B345+$F$7)^2,$F$10+$F$6*(B345-$F$7))))</f>
        <v/>
      </c>
      <c r="F345" s="10">
        <f>IF(E345="","",$B$12+E345)</f>
        <v/>
      </c>
      <c r="G345" s="10">
        <f>IF(B345="","",$B$11+B345)</f>
        <v/>
      </c>
      <c r="H345" s="8">
        <f>IF(B345="","",IF(ABS(B345)&lt;1E-9,"PVI",IF(ABS(B345+$F$7)&lt;$B$10/2,"PVC",IF(ABS(B345-$F$7)&lt;$B$10/2,"PVT",""))))</f>
        <v/>
      </c>
    </row>
    <row r="346">
      <c r="A346" s="8">
        <f>IF(B346="","",A345+1)</f>
        <v/>
      </c>
      <c r="B346" s="8">
        <f>IF(B345="","",IF(B345+$B$10&lt;=$B$9+1E-9,B345+$B$10,""))</f>
        <v/>
      </c>
      <c r="C346" s="8">
        <f>IF(B346="","",IF(B346&lt;- $F$7,"Left tangent",IF(B346&lt;=$F$7,"Parabolic curve","Right tangent")))</f>
        <v/>
      </c>
      <c r="D346" s="9">
        <f>IF(B346="","",IF(B346&lt;- $F$7,$B$5,IF(B346&lt;=$F$7,100*($F$5+$F$8*(B346+$F$7)),$B$6)))</f>
        <v/>
      </c>
      <c r="E346" s="10">
        <f>IF(B346="","",IF(B346&lt;- $F$7,$F$9+$F$5*(B346+$F$7),IF(B346&lt;=$F$7,$F$9+$F$5*(B346+$F$7)+0.5*$F$8*(B346+$F$7)^2,$F$10+$F$6*(B346-$F$7))))</f>
        <v/>
      </c>
      <c r="F346" s="10">
        <f>IF(E346="","",$B$12+E346)</f>
        <v/>
      </c>
      <c r="G346" s="10">
        <f>IF(B346="","",$B$11+B346)</f>
        <v/>
      </c>
      <c r="H346" s="8">
        <f>IF(B346="","",IF(ABS(B346)&lt;1E-9,"PVI",IF(ABS(B346+$F$7)&lt;$B$10/2,"PVC",IF(ABS(B346-$F$7)&lt;$B$10/2,"PVT",""))))</f>
        <v/>
      </c>
    </row>
    <row r="347">
      <c r="A347" s="8">
        <f>IF(B347="","",A346+1)</f>
        <v/>
      </c>
      <c r="B347" s="8">
        <f>IF(B346="","",IF(B346+$B$10&lt;=$B$9+1E-9,B346+$B$10,""))</f>
        <v/>
      </c>
      <c r="C347" s="8">
        <f>IF(B347="","",IF(B347&lt;- $F$7,"Left tangent",IF(B347&lt;=$F$7,"Parabolic curve","Right tangent")))</f>
        <v/>
      </c>
      <c r="D347" s="9">
        <f>IF(B347="","",IF(B347&lt;- $F$7,$B$5,IF(B347&lt;=$F$7,100*($F$5+$F$8*(B347+$F$7)),$B$6)))</f>
        <v/>
      </c>
      <c r="E347" s="10">
        <f>IF(B347="","",IF(B347&lt;- $F$7,$F$9+$F$5*(B347+$F$7),IF(B347&lt;=$F$7,$F$9+$F$5*(B347+$F$7)+0.5*$F$8*(B347+$F$7)^2,$F$10+$F$6*(B347-$F$7))))</f>
        <v/>
      </c>
      <c r="F347" s="10">
        <f>IF(E347="","",$B$12+E347)</f>
        <v/>
      </c>
      <c r="G347" s="10">
        <f>IF(B347="","",$B$11+B347)</f>
        <v/>
      </c>
      <c r="H347" s="8">
        <f>IF(B347="","",IF(ABS(B347)&lt;1E-9,"PVI",IF(ABS(B347+$F$7)&lt;$B$10/2,"PVC",IF(ABS(B347-$F$7)&lt;$B$10/2,"PVT",""))))</f>
        <v/>
      </c>
    </row>
    <row r="348">
      <c r="A348" s="8">
        <f>IF(B348="","",A347+1)</f>
        <v/>
      </c>
      <c r="B348" s="8">
        <f>IF(B347="","",IF(B347+$B$10&lt;=$B$9+1E-9,B347+$B$10,""))</f>
        <v/>
      </c>
      <c r="C348" s="8">
        <f>IF(B348="","",IF(B348&lt;- $F$7,"Left tangent",IF(B348&lt;=$F$7,"Parabolic curve","Right tangent")))</f>
        <v/>
      </c>
      <c r="D348" s="9">
        <f>IF(B348="","",IF(B348&lt;- $F$7,$B$5,IF(B348&lt;=$F$7,100*($F$5+$F$8*(B348+$F$7)),$B$6)))</f>
        <v/>
      </c>
      <c r="E348" s="10">
        <f>IF(B348="","",IF(B348&lt;- $F$7,$F$9+$F$5*(B348+$F$7),IF(B348&lt;=$F$7,$F$9+$F$5*(B348+$F$7)+0.5*$F$8*(B348+$F$7)^2,$F$10+$F$6*(B348-$F$7))))</f>
        <v/>
      </c>
      <c r="F348" s="10">
        <f>IF(E348="","",$B$12+E348)</f>
        <v/>
      </c>
      <c r="G348" s="10">
        <f>IF(B348="","",$B$11+B348)</f>
        <v/>
      </c>
      <c r="H348" s="8">
        <f>IF(B348="","",IF(ABS(B348)&lt;1E-9,"PVI",IF(ABS(B348+$F$7)&lt;$B$10/2,"PVC",IF(ABS(B348-$F$7)&lt;$B$10/2,"PVT",""))))</f>
        <v/>
      </c>
    </row>
    <row r="349">
      <c r="A349" s="8">
        <f>IF(B349="","",A348+1)</f>
        <v/>
      </c>
      <c r="B349" s="8">
        <f>IF(B348="","",IF(B348+$B$10&lt;=$B$9+1E-9,B348+$B$10,""))</f>
        <v/>
      </c>
      <c r="C349" s="8">
        <f>IF(B349="","",IF(B349&lt;- $F$7,"Left tangent",IF(B349&lt;=$F$7,"Parabolic curve","Right tangent")))</f>
        <v/>
      </c>
      <c r="D349" s="9">
        <f>IF(B349="","",IF(B349&lt;- $F$7,$B$5,IF(B349&lt;=$F$7,100*($F$5+$F$8*(B349+$F$7)),$B$6)))</f>
        <v/>
      </c>
      <c r="E349" s="10">
        <f>IF(B349="","",IF(B349&lt;- $F$7,$F$9+$F$5*(B349+$F$7),IF(B349&lt;=$F$7,$F$9+$F$5*(B349+$F$7)+0.5*$F$8*(B349+$F$7)^2,$F$10+$F$6*(B349-$F$7))))</f>
        <v/>
      </c>
      <c r="F349" s="10">
        <f>IF(E349="","",$B$12+E349)</f>
        <v/>
      </c>
      <c r="G349" s="10">
        <f>IF(B349="","",$B$11+B349)</f>
        <v/>
      </c>
      <c r="H349" s="8">
        <f>IF(B349="","",IF(ABS(B349)&lt;1E-9,"PVI",IF(ABS(B349+$F$7)&lt;$B$10/2,"PVC",IF(ABS(B349-$F$7)&lt;$B$10/2,"PVT",""))))</f>
        <v/>
      </c>
    </row>
    <row r="350">
      <c r="A350" s="8">
        <f>IF(B350="","",A349+1)</f>
        <v/>
      </c>
      <c r="B350" s="8">
        <f>IF(B349="","",IF(B349+$B$10&lt;=$B$9+1E-9,B349+$B$10,""))</f>
        <v/>
      </c>
      <c r="C350" s="8">
        <f>IF(B350="","",IF(B350&lt;- $F$7,"Left tangent",IF(B350&lt;=$F$7,"Parabolic curve","Right tangent")))</f>
        <v/>
      </c>
      <c r="D350" s="9">
        <f>IF(B350="","",IF(B350&lt;- $F$7,$B$5,IF(B350&lt;=$F$7,100*($F$5+$F$8*(B350+$F$7)),$B$6)))</f>
        <v/>
      </c>
      <c r="E350" s="10">
        <f>IF(B350="","",IF(B350&lt;- $F$7,$F$9+$F$5*(B350+$F$7),IF(B350&lt;=$F$7,$F$9+$F$5*(B350+$F$7)+0.5*$F$8*(B350+$F$7)^2,$F$10+$F$6*(B350-$F$7))))</f>
        <v/>
      </c>
      <c r="F350" s="10">
        <f>IF(E350="","",$B$12+E350)</f>
        <v/>
      </c>
      <c r="G350" s="10">
        <f>IF(B350="","",$B$11+B350)</f>
        <v/>
      </c>
      <c r="H350" s="8">
        <f>IF(B350="","",IF(ABS(B350)&lt;1E-9,"PVI",IF(ABS(B350+$F$7)&lt;$B$10/2,"PVC",IF(ABS(B350-$F$7)&lt;$B$10/2,"PVT",""))))</f>
        <v/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2026-06-10T09:26:51Z</dcterms:created>
  <dcterms:modified xsi:type="dcterms:W3CDTF">2026-06-10T09:37:53Z</dcterms:modified>
</cp:coreProperties>
</file>