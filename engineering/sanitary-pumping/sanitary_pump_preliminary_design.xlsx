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Design Summary" sheetId="2" state="visible" r:id="rId4"/>
    <sheet name="Pump Curve" sheetId="3" state="visible" r:id="rId5"/>
    <sheet name="Croqu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Codex</author>
  </authors>
  <commentList>
    <comment ref="B5" authorId="0">
      <text>
        <r>
          <rPr>
            <sz val="10"/>
            <rFont val="Arial"/>
            <family val="2"/>
          </rPr>
          <t xml:space="preserve">Used only as a preliminary industrial wastewater proxy, not roof runoff.</t>
        </r>
      </text>
    </comment>
    <comment ref="B6" authorId="0">
      <text>
        <r>
          <rPr>
            <sz val="10"/>
            <rFont val="Arial"/>
            <family val="2"/>
          </rPr>
          <t xml:space="preserve">Replace with company water-use data or municipal design criterion if available.</t>
        </r>
      </text>
    </comment>
    <comment ref="B7" authorId="0">
      <text>
        <r>
          <rPr>
            <sz val="10"/>
            <rFont val="Arial"/>
            <family val="2"/>
          </rPr>
          <t xml:space="preserve">Enter known staff count or test scenarios.</t>
        </r>
      </text>
    </comment>
    <comment ref="B8" authorId="0">
      <text>
        <r>
          <rPr>
            <sz val="10"/>
            <rFont val="Arial"/>
            <family val="2"/>
          </rPr>
          <t xml:space="preserve">Preliminary value for toilets/handwashing. Increase if showers/cafeteria are present.</t>
        </r>
      </text>
    </comment>
    <comment ref="B9" authorId="0">
      <text>
        <r>
          <rPr>
            <sz val="10"/>
            <rFont val="Arial"/>
            <family val="2"/>
          </rPr>
          <t xml:space="preserve">Parts washing, floor washdown, process drains, etc.</t>
        </r>
      </text>
    </comment>
    <comment ref="B10" authorId="0">
      <text>
        <r>
          <rPr>
            <sz val="10"/>
            <rFont val="Arial"/>
            <family val="2"/>
          </rPr>
          <t xml:space="preserve">Preliminary peaking factor. Confirm with municipality/design criteria.</t>
        </r>
      </text>
    </comment>
    <comment ref="B11" authorId="0">
      <text>
        <r>
          <rPr>
            <sz val="10"/>
            <rFont val="Arial"/>
            <family val="2"/>
          </rPr>
          <t xml:space="preserve">Small sewage pumps often have a practical minimum selected flow.</t>
        </r>
      </text>
    </comment>
    <comment ref="B12" authorId="0">
      <text>
        <r>
          <rPr>
            <sz val="10"/>
            <rFont val="Arial"/>
            <family val="2"/>
          </rPr>
          <t xml:space="preserve">Optional design margin.</t>
        </r>
      </text>
    </comment>
    <comment ref="B19" authorId="0">
      <text>
        <r>
          <rPr>
            <sz val="10"/>
            <rFont val="Arial"/>
            <family val="2"/>
          </rPr>
          <t xml:space="preserve">Use for settling tank, oil/grit separator, neutralization, or other industrial pretreatment.</t>
        </r>
      </text>
    </comment>
    <comment ref="B20" authorId="0">
      <text>
        <r>
          <rPr>
            <sz val="10"/>
            <rFont val="Arial"/>
            <family val="2"/>
          </rPr>
          <t xml:space="preserve">Invert entering pretreatment unit.</t>
        </r>
      </text>
    </comment>
    <comment ref="B21" authorId="0">
      <text>
        <r>
          <rPr>
            <sz val="10"/>
            <rFont val="Arial"/>
            <family val="2"/>
          </rPr>
          <t xml:space="preserve">Invert leaving pretreatment unit.</t>
        </r>
      </text>
    </comment>
    <comment ref="B22" authorId="0">
      <text>
        <r>
          <rPr>
            <sz val="10"/>
            <rFont val="Arial"/>
            <family val="2"/>
          </rPr>
          <t xml:space="preserve">Effective liquid volume.</t>
        </r>
      </text>
    </comment>
    <comment ref="B23" authorId="0">
      <text>
        <r>
          <rPr>
            <sz val="10"/>
            <rFont val="Arial"/>
            <family val="2"/>
          </rPr>
          <t xml:space="preserve">Preliminary detention target.</t>
        </r>
      </text>
    </comment>
    <comment ref="B24" authorId="0">
      <text>
        <r>
          <rPr>
            <sz val="10"/>
            <rFont val="Arial"/>
            <family val="2"/>
          </rPr>
          <t xml:space="preserve">Hydraulic loss through device/tank if applicable.</t>
        </r>
      </text>
    </comment>
    <comment ref="F5" authorId="0">
      <text>
        <r>
          <rPr>
            <sz val="10"/>
            <rFont val="Arial"/>
            <family val="2"/>
          </rPr>
          <t xml:space="preserve">Circular wet well diameter.</t>
        </r>
      </text>
    </comment>
    <comment ref="F6" authorId="0">
      <text>
        <r>
          <rPr>
            <sz val="10"/>
            <rFont val="Arial"/>
            <family val="2"/>
          </rPr>
          <t xml:space="preserve">Use project datum or temporary relative datum.</t>
        </r>
      </text>
    </comment>
    <comment ref="F7" authorId="0">
      <text>
        <r>
          <rPr>
            <sz val="10"/>
            <rFont val="Arial"/>
            <family val="2"/>
          </rPr>
          <t xml:space="preserve">Water level where pump stops.</t>
        </r>
      </text>
    </comment>
    <comment ref="F8" authorId="0">
      <text>
        <r>
          <rPr>
            <sz val="10"/>
            <rFont val="Arial"/>
            <family val="2"/>
          </rPr>
          <t xml:space="preserve">Water level where lead pump starts.</t>
        </r>
      </text>
    </comment>
    <comment ref="F9" authorId="0">
      <text>
        <r>
          <rPr>
            <sz val="10"/>
            <rFont val="Arial"/>
            <family val="2"/>
          </rPr>
          <t xml:space="preserve">Alarm level above pump start.</t>
        </r>
      </text>
    </comment>
    <comment ref="F10" authorId="0">
      <text>
        <r>
          <rPr>
            <sz val="10"/>
            <rFont val="Arial"/>
            <family val="2"/>
          </rPr>
          <t xml:space="preserve">Gravity inlet invert entering wet well.</t>
        </r>
      </text>
    </comment>
    <comment ref="F11" authorId="0">
      <text>
        <r>
          <rPr>
            <sz val="10"/>
            <rFont val="Arial"/>
            <family val="2"/>
          </rPr>
          <t xml:space="preserve">Approximate force-main outlet from station.</t>
        </r>
      </text>
    </comment>
    <comment ref="F12" authorId="0">
      <text>
        <r>
          <rPr>
            <sz val="10"/>
            <rFont val="Arial"/>
            <family val="2"/>
          </rPr>
          <t xml:space="preserve">Overall preliminary efficiency.</t>
        </r>
      </text>
    </comment>
    <comment ref="F19" authorId="0">
      <text>
        <r>
          <rPr>
            <sz val="10"/>
            <rFont val="Arial"/>
            <family val="2"/>
          </rPr>
          <t xml:space="preserve">Use downstream hydraulic grade/tailwater if known.</t>
        </r>
      </text>
    </comment>
    <comment ref="F20" authorId="0">
      <text>
        <r>
          <rPr>
            <sz val="10"/>
            <rFont val="Arial"/>
            <family val="2"/>
          </rPr>
          <t xml:space="preserve">Invert in receiving manhole.</t>
        </r>
      </text>
    </comment>
    <comment ref="F21" authorId="0">
      <text>
        <r>
          <rPr>
            <sz val="10"/>
            <rFont val="Arial"/>
            <family val="2"/>
          </rPr>
          <t xml:space="preserve">Total discharge pipe length.</t>
        </r>
      </text>
    </comment>
    <comment ref="F22" authorId="0">
      <text>
        <r>
          <rPr>
            <sz val="10"/>
            <rFont val="Arial"/>
            <family val="2"/>
          </rPr>
          <t xml:space="preserve">Use actual internal diameter.</t>
        </r>
      </text>
    </comment>
    <comment ref="F23" authorId="0">
      <text>
        <r>
          <rPr>
            <sz val="10"/>
            <rFont val="Arial"/>
            <family val="2"/>
          </rPr>
          <t xml:space="preserve">Preliminary value; revise with pipe material/roughness.</t>
        </r>
      </text>
    </comment>
    <comment ref="F24" authorId="0">
      <text>
        <r>
          <rPr>
            <sz val="10"/>
            <rFont val="Arial"/>
            <family val="2"/>
          </rPr>
          <t xml:space="preserve">Valves, bends, entrance, exit, check valve.</t>
        </r>
      </text>
    </comment>
    <comment ref="F25" authorId="0">
      <text>
        <r>
          <rPr>
            <sz val="10"/>
            <rFont val="Arial"/>
            <family val="2"/>
          </rPr>
          <t xml:space="preserve">Common preliminary lower check for solids transport.</t>
        </r>
      </text>
    </comment>
    <comment ref="F26" authorId="0">
      <text>
        <r>
          <rPr>
            <sz val="10"/>
            <rFont val="Arial"/>
            <family val="2"/>
          </rPr>
          <t xml:space="preserve">Common preliminary upper check for excessive losses.</t>
        </r>
      </text>
    </comment>
  </commentList>
</comments>
</file>

<file path=xl/sharedStrings.xml><?xml version="1.0" encoding="utf-8"?>
<sst xmlns="http://schemas.openxmlformats.org/spreadsheetml/2006/main" count="222" uniqueCount="157">
  <si>
    <t xml:space="preserve">Sanitary / Industrial Wastewater Pump Station - Preliminary Design Inputs</t>
  </si>
  <si>
    <t xml:space="preserve">Yellow cells are editable. Values shown are placeholders until survey, municipal criteria, and process water data are confirmed.</t>
  </si>
  <si>
    <t xml:space="preserve">Wastewater Flow Inputs</t>
  </si>
  <si>
    <t xml:space="preserve">Pump Sump / Control Inputs</t>
  </si>
  <si>
    <t xml:space="preserve">Floor / contributing industrial area</t>
  </si>
  <si>
    <t xml:space="preserve">m2</t>
  </si>
  <si>
    <t xml:space="preserve">Used only as a preliminary industrial wastewater proxy, not roof runoff.</t>
  </si>
  <si>
    <t xml:space="preserve">Sump internal diameter</t>
  </si>
  <si>
    <t xml:space="preserve">m</t>
  </si>
  <si>
    <t xml:space="preserve">Circular wet well diameter.</t>
  </si>
  <si>
    <t xml:space="preserve">Unit wastewater allowance by area</t>
  </si>
  <si>
    <t xml:space="preserve">L/m2/d</t>
  </si>
  <si>
    <t xml:space="preserve">Replace with company water-use data or municipal design criterion if available.</t>
  </si>
  <si>
    <t xml:space="preserve">Sump bottom elevation</t>
  </si>
  <si>
    <t xml:space="preserve">Use project datum or temporary relative datum.</t>
  </si>
  <si>
    <t xml:space="preserve">Number of employees</t>
  </si>
  <si>
    <t xml:space="preserve">persons</t>
  </si>
  <si>
    <t xml:space="preserve">Enter known staff count or test scenarios.</t>
  </si>
  <si>
    <t xml:space="preserve">Pump stop elevation</t>
  </si>
  <si>
    <t xml:space="preserve">Water level where pump stops.</t>
  </si>
  <si>
    <t xml:space="preserve">Domestic flow per employee</t>
  </si>
  <si>
    <t xml:space="preserve">L/p/d</t>
  </si>
  <si>
    <t xml:space="preserve">Preliminary value for toilets/handwashing. Increase if showers/cafeteria are present.</t>
  </si>
  <si>
    <t xml:space="preserve">Pump start elevation</t>
  </si>
  <si>
    <t xml:space="preserve">Water level where lead pump starts.</t>
  </si>
  <si>
    <t xml:space="preserve">Process wastewater</t>
  </si>
  <si>
    <t xml:space="preserve">m3/d</t>
  </si>
  <si>
    <t xml:space="preserve">Parts washing, floor washdown, process drains, etc.</t>
  </si>
  <si>
    <t xml:space="preserve">High alarm elevation</t>
  </si>
  <si>
    <t xml:space="preserve">Alarm level above pump start.</t>
  </si>
  <si>
    <t xml:space="preserve">Peak factor</t>
  </si>
  <si>
    <t xml:space="preserve">-</t>
  </si>
  <si>
    <t xml:space="preserve">Preliminary peaking factor. Confirm with municipality/design criteria.</t>
  </si>
  <si>
    <t xml:space="preserve">Inlet pipe invert at sump</t>
  </si>
  <si>
    <t xml:space="preserve">Gravity inlet invert entering wet well.</t>
  </si>
  <si>
    <t xml:space="preserve">Minimum practical pump flow</t>
  </si>
  <si>
    <t xml:space="preserve">L/s</t>
  </si>
  <si>
    <t xml:space="preserve">Small sewage pumps often have a practical minimum selected flow.</t>
  </si>
  <si>
    <t xml:space="preserve">Pump discharge/force main invert</t>
  </si>
  <si>
    <t xml:space="preserve">Approximate force-main outlet from station.</t>
  </si>
  <si>
    <t xml:space="preserve">Design safety factor on flow</t>
  </si>
  <si>
    <t xml:space="preserve">Optional design margin.</t>
  </si>
  <si>
    <t xml:space="preserve">Pump efficiency</t>
  </si>
  <si>
    <t xml:space="preserve">Overall preliminary efficiency.</t>
  </si>
  <si>
    <t xml:space="preserve">Pretreatment / Settling Inputs</t>
  </si>
  <si>
    <t xml:space="preserve">Force Main / Discharge Inputs</t>
  </si>
  <si>
    <t xml:space="preserve">Pretreatment provided?</t>
  </si>
  <si>
    <t xml:space="preserve">Yes/No</t>
  </si>
  <si>
    <t xml:space="preserve">Use for settling tank, oil/grit separator, neutralization, or other industrial pretreatment.</t>
  </si>
  <si>
    <t xml:space="preserve">Receiving MH water elevation</t>
  </si>
  <si>
    <t xml:space="preserve">Use downstream hydraulic grade/tailwater if known.</t>
  </si>
  <si>
    <t xml:space="preserve">Pretreatment inlet invert</t>
  </si>
  <si>
    <t xml:space="preserve">Invert entering pretreatment unit.</t>
  </si>
  <si>
    <t xml:space="preserve">Receiving MH invert</t>
  </si>
  <si>
    <t xml:space="preserve">Invert in receiving manhole.</t>
  </si>
  <si>
    <t xml:space="preserve">Pretreatment outlet invert</t>
  </si>
  <si>
    <t xml:space="preserve">Invert leaving pretreatment unit.</t>
  </si>
  <si>
    <t xml:space="preserve">Force main length</t>
  </si>
  <si>
    <t xml:space="preserve">Total discharge pipe length.</t>
  </si>
  <si>
    <t xml:space="preserve">Provided tank volume</t>
  </si>
  <si>
    <t xml:space="preserve">m3</t>
  </si>
  <si>
    <t xml:space="preserve">Effective liquid volume.</t>
  </si>
  <si>
    <t xml:space="preserve">Force main internal diameter</t>
  </si>
  <si>
    <t xml:space="preserve">Use actual internal diameter.</t>
  </si>
  <si>
    <t xml:space="preserve">Target detention at peak</t>
  </si>
  <si>
    <t xml:space="preserve">min</t>
  </si>
  <si>
    <t xml:space="preserve">Preliminary detention target.</t>
  </si>
  <si>
    <t xml:space="preserve">Darcy friction factor f</t>
  </si>
  <si>
    <t xml:space="preserve">Preliminary value; revise with pipe material/roughness.</t>
  </si>
  <si>
    <t xml:space="preserve">Pretreatment headloss</t>
  </si>
  <si>
    <t xml:space="preserve">Hydraulic loss through device/tank if applicable.</t>
  </si>
  <si>
    <t xml:space="preserve">Minor loss coefficient K</t>
  </si>
  <si>
    <t xml:space="preserve">Valves, bends, entrance, exit, check valve.</t>
  </si>
  <si>
    <t xml:space="preserve">Minimum target velocity</t>
  </si>
  <si>
    <t xml:space="preserve">m/s</t>
  </si>
  <si>
    <t xml:space="preserve">Common preliminary lower check for solids transport.</t>
  </si>
  <si>
    <t xml:space="preserve">Maximum target velocity</t>
  </si>
  <si>
    <t xml:space="preserve">Common preliminary upper check for excessive losses.</t>
  </si>
  <si>
    <t xml:space="preserve">Preliminary Pump Station Design Summary</t>
  </si>
  <si>
    <t xml:space="preserve">Flow Results</t>
  </si>
  <si>
    <t xml:space="preserve">Wet-Well / Pump Cycle Results</t>
  </si>
  <si>
    <t xml:space="preserve">Area-based flow</t>
  </si>
  <si>
    <t xml:space="preserve">A preliminary proxy only.</t>
  </si>
  <si>
    <t xml:space="preserve">Active depth</t>
  </si>
  <si>
    <t xml:space="preserve">Start minus stop.</t>
  </si>
  <si>
    <t xml:space="preserve">Employee domestic flow</t>
  </si>
  <si>
    <t xml:space="preserve">Active wet-well volume</t>
  </si>
  <si>
    <t xml:space="preserve">Total average flow</t>
  </si>
  <si>
    <t xml:space="preserve">Storage above alarm to inlet</t>
  </si>
  <si>
    <t xml:space="preserve">Simple emergency buffer before inlet surcharge.</t>
  </si>
  <si>
    <t xml:space="preserve">Peak influent flow</t>
  </si>
  <si>
    <t xml:space="preserve">Fill time pump off</t>
  </si>
  <si>
    <t xml:space="preserve">Selected pump flow</t>
  </si>
  <si>
    <t xml:space="preserve">Drawdown time pump on</t>
  </si>
  <si>
    <t xml:space="preserve">m3/s</t>
  </si>
  <si>
    <t xml:space="preserve">Approx starts per hour</t>
  </si>
  <si>
    <t xml:space="preserve">starts/hr</t>
  </si>
  <si>
    <t xml:space="preserve">Average daily volume</t>
  </si>
  <si>
    <t xml:space="preserve">Start level above inlet invert</t>
  </si>
  <si>
    <t xml:space="preserve">Positive means start level above inlet invert.</t>
  </si>
  <si>
    <t xml:space="preserve">Stop submergence above bottom</t>
  </si>
  <si>
    <t xml:space="preserve">Force Main / TDH Results</t>
  </si>
  <si>
    <t xml:space="preserve">Pretreatment Results</t>
  </si>
  <si>
    <t xml:space="preserve">Force main area</t>
  </si>
  <si>
    <t xml:space="preserve">Pretreatment invert drop</t>
  </si>
  <si>
    <t xml:space="preserve">Force main velocity</t>
  </si>
  <si>
    <t xml:space="preserve">Average detention</t>
  </si>
  <si>
    <t xml:space="preserve">Velocity head</t>
  </si>
  <si>
    <t xml:space="preserve">Peak detention</t>
  </si>
  <si>
    <t xml:space="preserve">Friction headloss</t>
  </si>
  <si>
    <t xml:space="preserve">Darcy-Weisbach.</t>
  </si>
  <si>
    <t xml:space="preserve">Required volume at target</t>
  </si>
  <si>
    <t xml:space="preserve">Minor losses</t>
  </si>
  <si>
    <t xml:space="preserve">Volume margin</t>
  </si>
  <si>
    <t xml:space="preserve">Positive is OK.</t>
  </si>
  <si>
    <t xml:space="preserve">Static lift</t>
  </si>
  <si>
    <t xml:space="preserve">Receiving water level minus pump stop elevation.</t>
  </si>
  <si>
    <t xml:space="preserve">Pretreatment status</t>
  </si>
  <si>
    <t xml:space="preserve">Total dynamic head</t>
  </si>
  <si>
    <t xml:space="preserve">Approx hydraulic power</t>
  </si>
  <si>
    <t xml:space="preserve">kW</t>
  </si>
  <si>
    <t xml:space="preserve">Water power only.</t>
  </si>
  <si>
    <t xml:space="preserve">Approx motor power</t>
  </si>
  <si>
    <t xml:space="preserve">Preliminary.</t>
  </si>
  <si>
    <t xml:space="preserve">Design Flags</t>
  </si>
  <si>
    <t xml:space="preserve">Velocity check</t>
  </si>
  <si>
    <t xml:space="preserve">Pump cycling check</t>
  </si>
  <si>
    <t xml:space="preserve">Wet well level check</t>
  </si>
  <si>
    <t xml:space="preserve">Inlet surcharge warning</t>
  </si>
  <si>
    <t xml:space="preserve">Pretreatment check</t>
  </si>
  <si>
    <t xml:space="preserve">System Curve and Trial Pump Curve</t>
  </si>
  <si>
    <t xml:space="preserve">Flow</t>
  </si>
  <si>
    <t xml:space="preserve">Velocity</t>
  </si>
  <si>
    <t xml:space="preserve">Static Head</t>
  </si>
  <si>
    <t xml:space="preserve">Friction + Minor</t>
  </si>
  <si>
    <t xml:space="preserve">System TDH</t>
  </si>
  <si>
    <t xml:space="preserve">Trial Pump Head</t>
  </si>
  <si>
    <t xml:space="preserve">Difference</t>
  </si>
  <si>
    <t xml:space="preserve">Trial pump curve note</t>
  </si>
  <si>
    <t xml:space="preserve">The trial pump head is only an editable placeholder formula. Replace it with manufacturer pump curve points.</t>
  </si>
  <si>
    <t xml:space="preserve">Concept Croquis - Sanitary / Industrial Wastewater Pumping System</t>
  </si>
  <si>
    <t xml:space="preserve">Pump Sump / Wet Well
lead pump + standby pump
start/stop controls</t>
  </si>
  <si>
    <t xml:space="preserve">Industrial Building
floor drains / sanitary fixtures
process wastewater if connected</t>
  </si>
  <si>
    <t xml:space="preserve">Pretreatment / Settling
(optional or municipal requirement)</t>
  </si>
  <si>
    <t xml:space="preserve">Receiving Manhole</t>
  </si>
  <si>
    <t xml:space="preserve">Municipal Sewer /
Approved Discharge</t>
  </si>
  <si>
    <t xml:space="preserve">gravity</t>
  </si>
  <si>
    <t xml:space="preserve">force main</t>
  </si>
  <si>
    <t xml:space="preserve">gravity / pressure</t>
  </si>
  <si>
    <t xml:space="preserve">Flow inputs</t>
  </si>
  <si>
    <t xml:space="preserve">Pretreatment volume</t>
  </si>
  <si>
    <t xml:space="preserve">Receiving water level</t>
  </si>
  <si>
    <t xml:space="preserve">m2 industrial area</t>
  </si>
  <si>
    <t xml:space="preserve">Pump start</t>
  </si>
  <si>
    <t xml:space="preserve">Force main diameter</t>
  </si>
  <si>
    <t xml:space="preserve">Pump stop</t>
  </si>
  <si>
    <t xml:space="preserve">Sump bottom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</si>
</sst>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@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Cambria"/>
      <family val="0"/>
      <charset val="1"/>
    </font>
    <font>
      <i val="true"/>
      <sz val="11"/>
      <color rgb="FF666666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name val="Cambria"/>
      <family val="0"/>
      <charset val="1"/>
    </font>
    <font>
      <sz val="10"/>
      <name val="Arial"/>
      <family val="2"/>
    </font>
    <font>
      <b val="true"/>
      <sz val="11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rgb="FF0070C0"/>
      <name val="Cambria"/>
      <family val="0"/>
      <charset val="1"/>
    </font>
    <font>
      <b val="true"/>
      <sz val="14"/>
      <color rgb="FF0070C0"/>
      <name val="Cambria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548235"/>
        <bgColor rgb="FF666666"/>
      </patternFill>
    </fill>
    <fill>
      <patternFill patternType="solid">
        <fgColor rgb="FFFFF2CC"/>
        <bgColor rgb="FFFCE4D6"/>
      </patternFill>
    </fill>
    <fill>
      <patternFill patternType="solid">
        <fgColor rgb="FFC65911"/>
        <bgColor rgb="FFBE4B48"/>
      </patternFill>
    </fill>
    <fill>
      <patternFill patternType="solid">
        <fgColor rgb="FFE2F0D9"/>
        <bgColor rgb="FFDDEBF7"/>
      </patternFill>
    </fill>
    <fill>
      <patternFill patternType="solid">
        <fgColor rgb="FF7F6000"/>
        <bgColor rgb="FF666666"/>
      </patternFill>
    </fill>
    <fill>
      <patternFill patternType="solid">
        <fgColor rgb="FFD9EAF7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EADCF8"/>
        <bgColor rgb="FFDDEBF7"/>
      </patternFill>
    </fill>
    <fill>
      <patternFill patternType="solid">
        <fgColor rgb="FFDDEBF7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777777"/>
      </left>
      <right style="thin">
        <color rgb="FF777777"/>
      </right>
      <top style="thin">
        <color rgb="FF777777"/>
      </top>
      <bottom style="thin">
        <color rgb="FF777777"/>
      </bottom>
      <diagonal/>
    </border>
    <border diagonalUp="false" diagonalDown="false">
      <left style="thin">
        <color rgb="FF777777"/>
      </left>
      <right/>
      <top style="thin">
        <color rgb="FF777777"/>
      </top>
      <bottom style="thin">
        <color rgb="FF77777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4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6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6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6" borderId="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EADCF8"/>
      <rgbColor rgb="FF878787"/>
      <rgbColor rgb="FF9999FF"/>
      <rgbColor rgb="FFBE4B48"/>
      <rgbColor rgb="FFFFF2CC"/>
      <rgbColor rgb="FFD9EAF7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2F0D9"/>
      <rgbColor rgb="FFFFFF99"/>
      <rgbColor rgb="FF99CCFF"/>
      <rgbColor rgb="FFFF99CC"/>
      <rgbColor rgb="FFCC99FF"/>
      <rgbColor rgb="FFFCE4D6"/>
      <rgbColor rgb="FF4A7EBB"/>
      <rgbColor rgb="FF33CCCC"/>
      <rgbColor rgb="FF99CC00"/>
      <rgbColor rgb="FFFFCC00"/>
      <rgbColor rgb="FFFF9900"/>
      <rgbColor rgb="FFC65911"/>
      <rgbColor rgb="FF666666"/>
      <rgbColor rgb="FF777777"/>
      <rgbColor rgb="FF003366"/>
      <rgbColor rgb="FF548235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System Curve vs Trial Pump Curve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"System TDH"</c:f>
              <c:strCache>
                <c:ptCount val="1"/>
                <c:pt idx="0">
                  <c:v>System TDH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'Pump Curve'!$A$5:$A$25</c:f>
              <c:numCache>
                <c:formatCode>0.00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'Pump Curve'!$F$5:$F$25</c:f>
              <c:numCache>
                <c:formatCode>0.00</c:formatCode>
                <c:ptCount val="21"/>
                <c:pt idx="0">
                  <c:v>2.7</c:v>
                </c:pt>
                <c:pt idx="1">
                  <c:v>2.70913995852492</c:v>
                </c:pt>
                <c:pt idx="2">
                  <c:v>2.73655983409966</c:v>
                </c:pt>
                <c:pt idx="3">
                  <c:v>2.78225962672424</c:v>
                </c:pt>
                <c:pt idx="4">
                  <c:v>2.84623933639864</c:v>
                </c:pt>
                <c:pt idx="5">
                  <c:v>2.92849896312288</c:v>
                </c:pt>
                <c:pt idx="6">
                  <c:v>3.02903850689695</c:v>
                </c:pt>
                <c:pt idx="7">
                  <c:v>3.14785796772084</c:v>
                </c:pt>
                <c:pt idx="8">
                  <c:v>3.28495734559457</c:v>
                </c:pt>
                <c:pt idx="9">
                  <c:v>3.44033664051812</c:v>
                </c:pt>
                <c:pt idx="10">
                  <c:v>3.61399585249151</c:v>
                </c:pt>
                <c:pt idx="11">
                  <c:v>3.80593498151473</c:v>
                </c:pt>
                <c:pt idx="12">
                  <c:v>4.01615402758777</c:v>
                </c:pt>
                <c:pt idx="13">
                  <c:v>4.24465299071065</c:v>
                </c:pt>
                <c:pt idx="14">
                  <c:v>4.49143187088336</c:v>
                </c:pt>
                <c:pt idx="15">
                  <c:v>4.7564906681059</c:v>
                </c:pt>
                <c:pt idx="16">
                  <c:v>5.03982938237826</c:v>
                </c:pt>
                <c:pt idx="17">
                  <c:v>5.34144801370046</c:v>
                </c:pt>
                <c:pt idx="18">
                  <c:v>5.66134656207249</c:v>
                </c:pt>
                <c:pt idx="19">
                  <c:v>5.99952502749435</c:v>
                </c:pt>
                <c:pt idx="20">
                  <c:v>6.35598340996604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"Trial pump head"</c:f>
              <c:strCache>
                <c:ptCount val="1"/>
                <c:pt idx="0">
                  <c:v>Trial pump head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'Pump Curve'!$A$5:$A$25</c:f>
              <c:numCache>
                <c:formatCode>0.00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'Pump Curve'!$G$5:$G$25</c:f>
              <c:numCache>
                <c:formatCode>0.00</c:formatCode>
                <c:ptCount val="21"/>
                <c:pt idx="0">
                  <c:v>12</c:v>
                </c:pt>
                <c:pt idx="1">
                  <c:v>11.9125</c:v>
                </c:pt>
                <c:pt idx="2">
                  <c:v>11.65</c:v>
                </c:pt>
                <c:pt idx="3">
                  <c:v>11.2125</c:v>
                </c:pt>
                <c:pt idx="4">
                  <c:v>10.6</c:v>
                </c:pt>
                <c:pt idx="5">
                  <c:v>9.8125</c:v>
                </c:pt>
                <c:pt idx="6">
                  <c:v>8.85</c:v>
                </c:pt>
                <c:pt idx="7">
                  <c:v>7.7125</c:v>
                </c:pt>
                <c:pt idx="8">
                  <c:v>6.4</c:v>
                </c:pt>
                <c:pt idx="9">
                  <c:v>4.9125</c:v>
                </c:pt>
                <c:pt idx="10">
                  <c:v>3.25</c:v>
                </c:pt>
                <c:pt idx="11">
                  <c:v>1.4125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1"/>
        </c:ser>
        <c:axId val="54597356"/>
        <c:axId val="6901910"/>
      </c:scatterChart>
      <c:valAx>
        <c:axId val="5459735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Flow (L/s)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01910"/>
        <c:crosses val="autoZero"/>
        <c:crossBetween val="midCat"/>
      </c:valAx>
      <c:valAx>
        <c:axId val="69019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Head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597356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7</xdr:row>
      <xdr:rowOff>0</xdr:rowOff>
    </xdr:from>
    <xdr:to>
      <xdr:col>19</xdr:col>
      <xdr:colOff>364680</xdr:colOff>
      <xdr:row>21</xdr:row>
      <xdr:rowOff>225720</xdr:rowOff>
    </xdr:to>
    <xdr:graphicFrame>
      <xdr:nvGraphicFramePr>
        <xdr:cNvPr id="0" name="Chart 1"/>
        <xdr:cNvGraphicFramePr/>
      </xdr:nvGraphicFramePr>
      <xdr:xfrm>
        <a:off x="9915480" y="186696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7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45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42"/>
  </cols>
  <sheetData>
    <row r="1" customFormat="false" ht="21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21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21" hidden="false" customHeight="true" outlineLevel="0" collapsed="false"/>
    <row r="4" customFormat="false" ht="21" hidden="false" customHeight="true" outlineLevel="0" collapsed="false">
      <c r="A4" s="3" t="s">
        <v>2</v>
      </c>
      <c r="B4" s="3"/>
      <c r="C4" s="3"/>
      <c r="D4" s="3"/>
      <c r="E4" s="4" t="s">
        <v>3</v>
      </c>
      <c r="F4" s="4"/>
      <c r="G4" s="4"/>
      <c r="H4" s="4"/>
    </row>
    <row r="5" customFormat="false" ht="21" hidden="false" customHeight="true" outlineLevel="0" collapsed="false">
      <c r="A5" s="5" t="s">
        <v>4</v>
      </c>
      <c r="B5" s="6" t="n">
        <v>7600</v>
      </c>
      <c r="C5" s="5" t="s">
        <v>5</v>
      </c>
      <c r="D5" s="7" t="s">
        <v>6</v>
      </c>
      <c r="E5" s="5" t="s">
        <v>7</v>
      </c>
      <c r="F5" s="6" t="n">
        <v>1.5</v>
      </c>
      <c r="G5" s="5" t="s">
        <v>8</v>
      </c>
      <c r="H5" s="7" t="s">
        <v>9</v>
      </c>
    </row>
    <row r="6" customFormat="false" ht="21" hidden="false" customHeight="true" outlineLevel="0" collapsed="false">
      <c r="A6" s="5" t="s">
        <v>10</v>
      </c>
      <c r="B6" s="6" t="n">
        <v>0.5</v>
      </c>
      <c r="C6" s="5" t="s">
        <v>11</v>
      </c>
      <c r="D6" s="7" t="s">
        <v>12</v>
      </c>
      <c r="E6" s="5" t="s">
        <v>13</v>
      </c>
      <c r="F6" s="6" t="n">
        <v>100</v>
      </c>
      <c r="G6" s="5" t="s">
        <v>8</v>
      </c>
      <c r="H6" s="7" t="s">
        <v>14</v>
      </c>
    </row>
    <row r="7" customFormat="false" ht="21" hidden="false" customHeight="true" outlineLevel="0" collapsed="false">
      <c r="A7" s="5" t="s">
        <v>15</v>
      </c>
      <c r="B7" s="6" t="n">
        <v>0</v>
      </c>
      <c r="C7" s="5" t="s">
        <v>16</v>
      </c>
      <c r="D7" s="7" t="s">
        <v>17</v>
      </c>
      <c r="E7" s="5" t="s">
        <v>18</v>
      </c>
      <c r="F7" s="6" t="n">
        <v>100.3</v>
      </c>
      <c r="G7" s="5" t="s">
        <v>8</v>
      </c>
      <c r="H7" s="7" t="s">
        <v>19</v>
      </c>
    </row>
    <row r="8" customFormat="false" ht="21" hidden="false" customHeight="true" outlineLevel="0" collapsed="false">
      <c r="A8" s="5" t="s">
        <v>20</v>
      </c>
      <c r="B8" s="6" t="n">
        <v>75</v>
      </c>
      <c r="C8" s="5" t="s">
        <v>21</v>
      </c>
      <c r="D8" s="7" t="s">
        <v>22</v>
      </c>
      <c r="E8" s="5" t="s">
        <v>23</v>
      </c>
      <c r="F8" s="6" t="n">
        <v>100.9</v>
      </c>
      <c r="G8" s="5" t="s">
        <v>8</v>
      </c>
      <c r="H8" s="7" t="s">
        <v>24</v>
      </c>
    </row>
    <row r="9" customFormat="false" ht="21" hidden="false" customHeight="true" outlineLevel="0" collapsed="false">
      <c r="A9" s="5" t="s">
        <v>25</v>
      </c>
      <c r="B9" s="6" t="n">
        <v>0</v>
      </c>
      <c r="C9" s="5" t="s">
        <v>26</v>
      </c>
      <c r="D9" s="7" t="s">
        <v>27</v>
      </c>
      <c r="E9" s="5" t="s">
        <v>28</v>
      </c>
      <c r="F9" s="6" t="n">
        <v>101.1</v>
      </c>
      <c r="G9" s="5" t="s">
        <v>8</v>
      </c>
      <c r="H9" s="7" t="s">
        <v>29</v>
      </c>
    </row>
    <row r="10" customFormat="false" ht="21" hidden="false" customHeight="true" outlineLevel="0" collapsed="false">
      <c r="A10" s="5" t="s">
        <v>30</v>
      </c>
      <c r="B10" s="6" t="n">
        <v>4</v>
      </c>
      <c r="C10" s="5" t="s">
        <v>31</v>
      </c>
      <c r="D10" s="7" t="s">
        <v>32</v>
      </c>
      <c r="E10" s="5" t="s">
        <v>33</v>
      </c>
      <c r="F10" s="6" t="n">
        <v>100.8</v>
      </c>
      <c r="G10" s="5" t="s">
        <v>8</v>
      </c>
      <c r="H10" s="7" t="s">
        <v>34</v>
      </c>
    </row>
    <row r="11" customFormat="false" ht="21" hidden="false" customHeight="true" outlineLevel="0" collapsed="false">
      <c r="A11" s="5" t="s">
        <v>35</v>
      </c>
      <c r="B11" s="6" t="n">
        <v>2</v>
      </c>
      <c r="C11" s="5" t="s">
        <v>36</v>
      </c>
      <c r="D11" s="7" t="s">
        <v>37</v>
      </c>
      <c r="E11" s="5" t="s">
        <v>38</v>
      </c>
      <c r="F11" s="6" t="n">
        <v>100.75</v>
      </c>
      <c r="G11" s="5" t="s">
        <v>8</v>
      </c>
      <c r="H11" s="7" t="s">
        <v>39</v>
      </c>
    </row>
    <row r="12" customFormat="false" ht="21" hidden="false" customHeight="true" outlineLevel="0" collapsed="false">
      <c r="A12" s="5" t="s">
        <v>40</v>
      </c>
      <c r="B12" s="6" t="n">
        <v>1</v>
      </c>
      <c r="C12" s="5" t="s">
        <v>31</v>
      </c>
      <c r="D12" s="7" t="s">
        <v>41</v>
      </c>
      <c r="E12" s="5" t="s">
        <v>42</v>
      </c>
      <c r="F12" s="6" t="n">
        <v>0.6</v>
      </c>
      <c r="G12" s="5" t="s">
        <v>31</v>
      </c>
      <c r="H12" s="7" t="s">
        <v>43</v>
      </c>
    </row>
    <row r="13" customFormat="false" ht="21" hidden="false" customHeight="true" outlineLevel="0" collapsed="false"/>
    <row r="14" customFormat="false" ht="21" hidden="false" customHeight="true" outlineLevel="0" collapsed="false"/>
    <row r="15" customFormat="false" ht="21" hidden="false" customHeight="true" outlineLevel="0" collapsed="false"/>
    <row r="16" customFormat="false" ht="21" hidden="false" customHeight="true" outlineLevel="0" collapsed="false"/>
    <row r="17" customFormat="false" ht="21" hidden="false" customHeight="true" outlineLevel="0" collapsed="false"/>
    <row r="18" customFormat="false" ht="21" hidden="false" customHeight="true" outlineLevel="0" collapsed="false">
      <c r="A18" s="8" t="s">
        <v>44</v>
      </c>
      <c r="B18" s="8"/>
      <c r="C18" s="8"/>
      <c r="D18" s="8"/>
      <c r="E18" s="3" t="s">
        <v>45</v>
      </c>
      <c r="F18" s="3"/>
      <c r="G18" s="3"/>
      <c r="H18" s="3"/>
    </row>
    <row r="19" customFormat="false" ht="21" hidden="false" customHeight="true" outlineLevel="0" collapsed="false">
      <c r="A19" s="5" t="s">
        <v>46</v>
      </c>
      <c r="B19" s="9" t="s">
        <v>47</v>
      </c>
      <c r="C19" s="5" t="s">
        <v>31</v>
      </c>
      <c r="D19" s="7" t="s">
        <v>48</v>
      </c>
      <c r="E19" s="5" t="s">
        <v>49</v>
      </c>
      <c r="F19" s="6" t="n">
        <v>103</v>
      </c>
      <c r="G19" s="5" t="s">
        <v>8</v>
      </c>
      <c r="H19" s="7" t="s">
        <v>50</v>
      </c>
    </row>
    <row r="20" customFormat="false" ht="21" hidden="false" customHeight="true" outlineLevel="0" collapsed="false">
      <c r="A20" s="5" t="s">
        <v>51</v>
      </c>
      <c r="B20" s="6" t="n">
        <v>100.95</v>
      </c>
      <c r="C20" s="5" t="s">
        <v>8</v>
      </c>
      <c r="D20" s="7" t="s">
        <v>52</v>
      </c>
      <c r="E20" s="5" t="s">
        <v>53</v>
      </c>
      <c r="F20" s="6" t="n">
        <v>102.7</v>
      </c>
      <c r="G20" s="5" t="s">
        <v>8</v>
      </c>
      <c r="H20" s="7" t="s">
        <v>54</v>
      </c>
    </row>
    <row r="21" customFormat="false" ht="21" hidden="false" customHeight="true" outlineLevel="0" collapsed="false">
      <c r="A21" s="5" t="s">
        <v>55</v>
      </c>
      <c r="B21" s="6" t="n">
        <v>100.85</v>
      </c>
      <c r="C21" s="5" t="s">
        <v>8</v>
      </c>
      <c r="D21" s="7" t="s">
        <v>56</v>
      </c>
      <c r="E21" s="5" t="s">
        <v>57</v>
      </c>
      <c r="F21" s="6" t="n">
        <v>30</v>
      </c>
      <c r="G21" s="5" t="s">
        <v>8</v>
      </c>
      <c r="H21" s="7" t="s">
        <v>58</v>
      </c>
    </row>
    <row r="22" customFormat="false" ht="21" hidden="false" customHeight="true" outlineLevel="0" collapsed="false">
      <c r="A22" s="5" t="s">
        <v>59</v>
      </c>
      <c r="B22" s="6" t="n">
        <v>1.5</v>
      </c>
      <c r="C22" s="5" t="s">
        <v>60</v>
      </c>
      <c r="D22" s="7" t="s">
        <v>61</v>
      </c>
      <c r="E22" s="5" t="s">
        <v>62</v>
      </c>
      <c r="F22" s="6" t="n">
        <v>0.075</v>
      </c>
      <c r="G22" s="5" t="s">
        <v>8</v>
      </c>
      <c r="H22" s="7" t="s">
        <v>63</v>
      </c>
    </row>
    <row r="23" customFormat="false" ht="21" hidden="false" customHeight="true" outlineLevel="0" collapsed="false">
      <c r="A23" s="5" t="s">
        <v>64</v>
      </c>
      <c r="B23" s="6" t="n">
        <v>10</v>
      </c>
      <c r="C23" s="5" t="s">
        <v>65</v>
      </c>
      <c r="D23" s="7" t="s">
        <v>66</v>
      </c>
      <c r="E23" s="5" t="s">
        <v>67</v>
      </c>
      <c r="F23" s="6" t="n">
        <v>0.025</v>
      </c>
      <c r="G23" s="5" t="s">
        <v>31</v>
      </c>
      <c r="H23" s="7" t="s">
        <v>68</v>
      </c>
    </row>
    <row r="24" customFormat="false" ht="21" hidden="false" customHeight="true" outlineLevel="0" collapsed="false">
      <c r="A24" s="5" t="s">
        <v>69</v>
      </c>
      <c r="B24" s="6" t="n">
        <v>0.1</v>
      </c>
      <c r="C24" s="5" t="s">
        <v>8</v>
      </c>
      <c r="D24" s="7" t="s">
        <v>70</v>
      </c>
      <c r="E24" s="5" t="s">
        <v>71</v>
      </c>
      <c r="F24" s="6" t="n">
        <v>4</v>
      </c>
      <c r="G24" s="5" t="s">
        <v>31</v>
      </c>
      <c r="H24" s="7" t="s">
        <v>72</v>
      </c>
    </row>
    <row r="25" customFormat="false" ht="21" hidden="false" customHeight="true" outlineLevel="0" collapsed="false">
      <c r="E25" s="5" t="s">
        <v>73</v>
      </c>
      <c r="F25" s="6" t="n">
        <v>0.6</v>
      </c>
      <c r="G25" s="5" t="s">
        <v>74</v>
      </c>
      <c r="H25" s="7" t="s">
        <v>75</v>
      </c>
    </row>
    <row r="26" customFormat="false" ht="21" hidden="false" customHeight="true" outlineLevel="0" collapsed="false">
      <c r="E26" s="5" t="s">
        <v>76</v>
      </c>
      <c r="F26" s="6" t="n">
        <v>2.5</v>
      </c>
      <c r="G26" s="5" t="s">
        <v>74</v>
      </c>
      <c r="H26" s="7" t="s">
        <v>77</v>
      </c>
    </row>
    <row r="27" customFormat="false" ht="21" hidden="false" customHeight="true" outlineLevel="0" collapsed="false"/>
    <row r="28" customFormat="false" ht="21" hidden="false" customHeight="true" outlineLevel="0" collapsed="false"/>
    <row r="29" customFormat="false" ht="21" hidden="false" customHeight="true" outlineLevel="0" collapsed="false"/>
    <row r="30" customFormat="false" ht="21" hidden="false" customHeight="true" outlineLevel="0" collapsed="false"/>
    <row r="31" customFormat="false" ht="21" hidden="false" customHeight="true" outlineLevel="0" collapsed="false"/>
    <row r="32" customFormat="false" ht="21" hidden="false" customHeight="true" outlineLevel="0" collapsed="false"/>
    <row r="33" customFormat="false" ht="21" hidden="false" customHeight="true" outlineLevel="0" collapsed="false"/>
    <row r="34" customFormat="false" ht="21" hidden="false" customHeight="true" outlineLevel="0" collapsed="false"/>
    <row r="35" customFormat="false" ht="21" hidden="false" customHeight="true" outlineLevel="0" collapsed="false"/>
    <row r="36" customFormat="false" ht="21" hidden="false" customHeight="true" outlineLevel="0" collapsed="false"/>
    <row r="37" customFormat="false" ht="21" hidden="false" customHeight="true" outlineLevel="0" collapsed="false"/>
    <row r="38" customFormat="false" ht="21" hidden="false" customHeight="true" outlineLevel="0" collapsed="false"/>
    <row r="39" customFormat="false" ht="21" hidden="false" customHeight="true" outlineLevel="0" collapsed="false"/>
    <row r="40" customFormat="false" ht="21" hidden="false" customHeight="true" outlineLevel="0" collapsed="false"/>
    <row r="41" customFormat="false" ht="21" hidden="false" customHeight="true" outlineLevel="0" collapsed="false"/>
    <row r="42" customFormat="false" ht="21" hidden="false" customHeight="true" outlineLevel="0" collapsed="false"/>
    <row r="43" customFormat="false" ht="21" hidden="false" customHeight="true" outlineLevel="0" collapsed="false"/>
    <row r="44" customFormat="false" ht="21" hidden="false" customHeight="true" outlineLevel="0" collapsed="false"/>
    <row r="45" customFormat="false" ht="21" hidden="false" customHeight="true" outlineLevel="0" collapsed="false"/>
    <row r="46" customFormat="false" ht="21" hidden="false" customHeight="true" outlineLevel="0" collapsed="false"/>
    <row r="47" customFormat="false" ht="21" hidden="false" customHeight="true" outlineLevel="0" collapsed="false"/>
    <row r="48" customFormat="false" ht="21" hidden="false" customHeight="true" outlineLevel="0" collapsed="false"/>
    <row r="49" customFormat="false" ht="21" hidden="false" customHeight="true" outlineLevel="0" collapsed="false"/>
    <row r="50" customFormat="false" ht="21" hidden="false" customHeight="true" outlineLevel="0" collapsed="false"/>
    <row r="51" customFormat="false" ht="21" hidden="false" customHeight="true" outlineLevel="0" collapsed="false"/>
    <row r="52" customFormat="false" ht="21" hidden="false" customHeight="true" outlineLevel="0" collapsed="false"/>
    <row r="53" customFormat="false" ht="21" hidden="false" customHeight="true" outlineLevel="0" collapsed="false"/>
    <row r="54" customFormat="false" ht="21" hidden="false" customHeight="true" outlineLevel="0" collapsed="false"/>
    <row r="55" customFormat="false" ht="21" hidden="false" customHeight="true" outlineLevel="0" collapsed="false"/>
    <row r="56" customFormat="false" ht="21" hidden="false" customHeight="true" outlineLevel="0" collapsed="false"/>
    <row r="57" customFormat="false" ht="21" hidden="false" customHeight="true" outlineLevel="0" collapsed="false"/>
    <row r="58" customFormat="false" ht="21" hidden="false" customHeight="true" outlineLevel="0" collapsed="false"/>
    <row r="59" customFormat="false" ht="21" hidden="false" customHeight="true" outlineLevel="0" collapsed="false"/>
    <row r="60" customFormat="false" ht="21" hidden="false" customHeight="true" outlineLevel="0" collapsed="false"/>
    <row r="61" customFormat="false" ht="21" hidden="false" customHeight="true" outlineLevel="0" collapsed="false"/>
    <row r="62" customFormat="false" ht="21" hidden="false" customHeight="true" outlineLevel="0" collapsed="false"/>
    <row r="63" customFormat="false" ht="21" hidden="false" customHeight="true" outlineLevel="0" collapsed="false"/>
    <row r="64" customFormat="false" ht="21" hidden="false" customHeight="true" outlineLevel="0" collapsed="false"/>
    <row r="65" customFormat="false" ht="21" hidden="false" customHeight="true" outlineLevel="0" collapsed="false"/>
    <row r="66" customFormat="false" ht="21" hidden="false" customHeight="true" outlineLevel="0" collapsed="false"/>
    <row r="67" customFormat="false" ht="21" hidden="false" customHeight="true" outlineLevel="0" collapsed="false"/>
    <row r="68" customFormat="false" ht="21" hidden="false" customHeight="true" outlineLevel="0" collapsed="false"/>
    <row r="69" customFormat="false" ht="21" hidden="false" customHeight="true" outlineLevel="0" collapsed="false"/>
    <row r="70" customFormat="false" ht="21" hidden="false" customHeight="true" outlineLevel="0" collapsed="false"/>
    <row r="71" customFormat="false" ht="21" hidden="false" customHeight="true" outlineLevel="0" collapsed="false"/>
    <row r="72" customFormat="false" ht="21" hidden="false" customHeight="true" outlineLevel="0" collapsed="false"/>
    <row r="73" customFormat="false" ht="21" hidden="false" customHeight="true" outlineLevel="0" collapsed="false"/>
    <row r="74" customFormat="false" ht="21" hidden="false" customHeight="true" outlineLevel="0" collapsed="false"/>
    <row r="75" customFormat="false" ht="21" hidden="false" customHeight="true" outlineLevel="0" collapsed="false"/>
    <row r="76" customFormat="false" ht="21" hidden="false" customHeight="true" outlineLevel="0" collapsed="false"/>
    <row r="77" customFormat="false" ht="21" hidden="false" customHeight="true" outlineLevel="0" collapsed="false"/>
    <row r="78" customFormat="false" ht="21" hidden="false" customHeight="true" outlineLevel="0" collapsed="false"/>
    <row r="79" customFormat="false" ht="21" hidden="false" customHeight="true" outlineLevel="0" collapsed="false"/>
  </sheetData>
  <mergeCells count="6">
    <mergeCell ref="A1:H1"/>
    <mergeCell ref="A2:H2"/>
    <mergeCell ref="A4:D4"/>
    <mergeCell ref="E4:H4"/>
    <mergeCell ref="A18:D18"/>
    <mergeCell ref="E18:H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1"/>
    <col collapsed="false" customWidth="true" hidden="false" outlineLevel="0" max="2" min="2" style="0" width="17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31"/>
    <col collapsed="false" customWidth="true" hidden="false" outlineLevel="0" max="6" min="6" style="0" width="17"/>
    <col collapsed="false" customWidth="true" hidden="false" outlineLevel="0" max="7" min="7" style="0" width="12"/>
    <col collapsed="false" customWidth="true" hidden="false" outlineLevel="0" max="8" min="8" style="0" width="40"/>
  </cols>
  <sheetData>
    <row r="1" customFormat="false" ht="21" hidden="false" customHeight="true" outlineLevel="0" collapsed="false">
      <c r="A1" s="1" t="s">
        <v>78</v>
      </c>
      <c r="B1" s="1"/>
      <c r="C1" s="1"/>
      <c r="D1" s="1"/>
      <c r="E1" s="1"/>
      <c r="F1" s="1"/>
      <c r="G1" s="1"/>
      <c r="H1" s="1"/>
    </row>
    <row r="2" customFormat="false" ht="21" hidden="false" customHeight="true" outlineLevel="0" collapsed="false"/>
    <row r="3" customFormat="false" ht="21" hidden="false" customHeight="true" outlineLevel="0" collapsed="false">
      <c r="A3" s="3" t="s">
        <v>79</v>
      </c>
      <c r="B3" s="3"/>
      <c r="C3" s="3"/>
      <c r="D3" s="3"/>
      <c r="E3" s="4" t="s">
        <v>80</v>
      </c>
      <c r="F3" s="4"/>
      <c r="G3" s="4"/>
      <c r="H3" s="4"/>
    </row>
    <row r="4" customFormat="false" ht="21" hidden="false" customHeight="true" outlineLevel="0" collapsed="false">
      <c r="A4" s="5" t="s">
        <v>81</v>
      </c>
      <c r="B4" s="10" t="n">
        <f aca="false">Inputs!B5*Inputs!B6/1000</f>
        <v>3.8</v>
      </c>
      <c r="C4" s="5" t="s">
        <v>26</v>
      </c>
      <c r="D4" s="0" t="s">
        <v>82</v>
      </c>
      <c r="E4" s="5" t="s">
        <v>83</v>
      </c>
      <c r="F4" s="10" t="n">
        <f aca="false">Inputs!F8-Inputs!F7</f>
        <v>0.600000000000009</v>
      </c>
      <c r="G4" s="5" t="s">
        <v>8</v>
      </c>
      <c r="H4" s="0" t="s">
        <v>84</v>
      </c>
    </row>
    <row r="5" customFormat="false" ht="21" hidden="false" customHeight="true" outlineLevel="0" collapsed="false">
      <c r="A5" s="5" t="s">
        <v>85</v>
      </c>
      <c r="B5" s="10" t="n">
        <f aca="false">Inputs!B7*Inputs!B8/1000</f>
        <v>0</v>
      </c>
      <c r="C5" s="5" t="s">
        <v>26</v>
      </c>
      <c r="E5" s="5" t="s">
        <v>86</v>
      </c>
      <c r="F5" s="10" t="n">
        <f aca="false">PI()*Inputs!F5^2/4*F4</f>
        <v>1.06028752058657</v>
      </c>
      <c r="G5" s="5" t="s">
        <v>60</v>
      </c>
    </row>
    <row r="6" customFormat="false" ht="21" hidden="false" customHeight="true" outlineLevel="0" collapsed="false">
      <c r="A6" s="5" t="s">
        <v>87</v>
      </c>
      <c r="B6" s="10" t="n">
        <f aca="false">B4+B5+Inputs!B9</f>
        <v>3.8</v>
      </c>
      <c r="C6" s="5" t="s">
        <v>26</v>
      </c>
      <c r="E6" s="5" t="s">
        <v>88</v>
      </c>
      <c r="F6" s="10" t="n">
        <f aca="false">MAX(0,Inputs!F10-Inputs!F9)*PI()*Inputs!F5^2/4</f>
        <v>0</v>
      </c>
      <c r="G6" s="5" t="s">
        <v>60</v>
      </c>
      <c r="H6" s="0" t="s">
        <v>89</v>
      </c>
    </row>
    <row r="7" customFormat="false" ht="21" hidden="false" customHeight="true" outlineLevel="0" collapsed="false">
      <c r="A7" s="5" t="s">
        <v>90</v>
      </c>
      <c r="B7" s="10" t="n">
        <f aca="false">B6*Inputs!B10*1000/86400*Inputs!B12</f>
        <v>0.175925925925926</v>
      </c>
      <c r="C7" s="5" t="s">
        <v>36</v>
      </c>
      <c r="E7" s="5" t="s">
        <v>91</v>
      </c>
      <c r="F7" s="10" t="n">
        <f aca="false">IF(B7&gt;0,F5/(B7/1000)/60,"")</f>
        <v>100.448291423991</v>
      </c>
      <c r="G7" s="5" t="s">
        <v>65</v>
      </c>
    </row>
    <row r="8" customFormat="false" ht="21" hidden="false" customHeight="true" outlineLevel="0" collapsed="false">
      <c r="A8" s="5" t="s">
        <v>92</v>
      </c>
      <c r="B8" s="10" t="n">
        <f aca="false">MAX(B7,Inputs!B11)</f>
        <v>2</v>
      </c>
      <c r="C8" s="5" t="s">
        <v>36</v>
      </c>
      <c r="E8" s="5" t="s">
        <v>93</v>
      </c>
      <c r="F8" s="10" t="n">
        <f aca="false">IF(B8&gt;B7,F5/((B8-B7)/1000)/60,"")</f>
        <v>9.6879062794712</v>
      </c>
      <c r="G8" s="5" t="s">
        <v>65</v>
      </c>
    </row>
    <row r="9" customFormat="false" ht="21" hidden="false" customHeight="true" outlineLevel="0" collapsed="false">
      <c r="A9" s="5" t="s">
        <v>92</v>
      </c>
      <c r="B9" s="10" t="n">
        <f aca="false">B8/1000</f>
        <v>0.002</v>
      </c>
      <c r="C9" s="5" t="s">
        <v>94</v>
      </c>
      <c r="E9" s="5" t="s">
        <v>95</v>
      </c>
      <c r="F9" s="10" t="n">
        <f aca="false">IF(AND(F7&gt;0,F8&gt;0),60/(F7+F8),"")</f>
        <v>0.544780020112442</v>
      </c>
      <c r="G9" s="5" t="s">
        <v>96</v>
      </c>
    </row>
    <row r="10" customFormat="false" ht="21" hidden="false" customHeight="true" outlineLevel="0" collapsed="false">
      <c r="A10" s="5" t="s">
        <v>97</v>
      </c>
      <c r="B10" s="10" t="n">
        <f aca="false">B6</f>
        <v>3.8</v>
      </c>
      <c r="C10" s="5" t="s">
        <v>26</v>
      </c>
      <c r="E10" s="5" t="s">
        <v>98</v>
      </c>
      <c r="F10" s="10" t="n">
        <f aca="false">Inputs!F8-Inputs!F10</f>
        <v>0.100000000000009</v>
      </c>
      <c r="G10" s="5" t="s">
        <v>8</v>
      </c>
      <c r="H10" s="0" t="s">
        <v>99</v>
      </c>
    </row>
    <row r="11" customFormat="false" ht="21" hidden="false" customHeight="true" outlineLevel="0" collapsed="false">
      <c r="E11" s="5" t="s">
        <v>100</v>
      </c>
      <c r="F11" s="10" t="n">
        <f aca="false">Inputs!F7-Inputs!F6</f>
        <v>0.299999999999997</v>
      </c>
      <c r="G11" s="5" t="s">
        <v>8</v>
      </c>
    </row>
    <row r="12" customFormat="false" ht="21" hidden="false" customHeight="true" outlineLevel="0" collapsed="false"/>
    <row r="13" customFormat="false" ht="21" hidden="false" customHeight="true" outlineLevel="0" collapsed="false"/>
    <row r="14" customFormat="false" ht="21" hidden="false" customHeight="true" outlineLevel="0" collapsed="false"/>
    <row r="15" customFormat="false" ht="21" hidden="false" customHeight="true" outlineLevel="0" collapsed="false"/>
    <row r="16" customFormat="false" ht="21" hidden="false" customHeight="true" outlineLevel="0" collapsed="false">
      <c r="A16" s="3" t="s">
        <v>101</v>
      </c>
      <c r="B16" s="3"/>
      <c r="C16" s="3"/>
      <c r="D16" s="3"/>
      <c r="E16" s="8" t="s">
        <v>102</v>
      </c>
      <c r="F16" s="8"/>
      <c r="G16" s="8"/>
      <c r="H16" s="8"/>
    </row>
    <row r="17" customFormat="false" ht="21" hidden="false" customHeight="true" outlineLevel="0" collapsed="false">
      <c r="A17" s="5" t="s">
        <v>103</v>
      </c>
      <c r="B17" s="10" t="n">
        <f aca="false">PI()*Inputs!F22^2/4</f>
        <v>0.00441786466911065</v>
      </c>
      <c r="C17" s="5" t="s">
        <v>5</v>
      </c>
      <c r="E17" s="5" t="s">
        <v>104</v>
      </c>
      <c r="F17" s="10" t="n">
        <f aca="false">Inputs!B20-Inputs!B21</f>
        <v>0.100000000000009</v>
      </c>
      <c r="G17" s="5" t="s">
        <v>8</v>
      </c>
    </row>
    <row r="18" customFormat="false" ht="21" hidden="false" customHeight="true" outlineLevel="0" collapsed="false">
      <c r="A18" s="5" t="s">
        <v>105</v>
      </c>
      <c r="B18" s="10" t="n">
        <f aca="false">B9/B17</f>
        <v>0.452707393683613</v>
      </c>
      <c r="C18" s="5" t="s">
        <v>74</v>
      </c>
      <c r="E18" s="5" t="s">
        <v>106</v>
      </c>
      <c r="F18" s="10" t="n">
        <f aca="false">IF(B6&gt;0,Inputs!B22/B6*1440,"")</f>
        <v>568.421052631579</v>
      </c>
      <c r="G18" s="5" t="s">
        <v>65</v>
      </c>
    </row>
    <row r="19" customFormat="false" ht="21" hidden="false" customHeight="true" outlineLevel="0" collapsed="false">
      <c r="A19" s="5" t="s">
        <v>107</v>
      </c>
      <c r="B19" s="10" t="n">
        <f aca="false">B18^2/(2*9.81)</f>
        <v>0.0104456668856172</v>
      </c>
      <c r="C19" s="5" t="s">
        <v>8</v>
      </c>
      <c r="E19" s="5" t="s">
        <v>108</v>
      </c>
      <c r="F19" s="10" t="n">
        <f aca="false">IF(B7&gt;0,Inputs!B22/(B7/1000)/60,"")</f>
        <v>142.105263157895</v>
      </c>
      <c r="G19" s="5" t="s">
        <v>65</v>
      </c>
    </row>
    <row r="20" customFormat="false" ht="21" hidden="false" customHeight="true" outlineLevel="0" collapsed="false">
      <c r="A20" s="5" t="s">
        <v>109</v>
      </c>
      <c r="B20" s="10" t="n">
        <f aca="false">Inputs!F23*(Inputs!F21/Inputs!F22)*B19</f>
        <v>0.104456668856172</v>
      </c>
      <c r="C20" s="5" t="s">
        <v>8</v>
      </c>
      <c r="D20" s="0" t="s">
        <v>110</v>
      </c>
      <c r="E20" s="5" t="s">
        <v>111</v>
      </c>
      <c r="F20" s="10" t="n">
        <f aca="false">Inputs!B23*(B7/1000)*60</f>
        <v>0.105555555555556</v>
      </c>
      <c r="G20" s="5" t="s">
        <v>60</v>
      </c>
    </row>
    <row r="21" customFormat="false" ht="21" hidden="false" customHeight="true" outlineLevel="0" collapsed="false">
      <c r="A21" s="5" t="s">
        <v>112</v>
      </c>
      <c r="B21" s="10" t="n">
        <f aca="false">Inputs!F24*B19</f>
        <v>0.0417826675424689</v>
      </c>
      <c r="C21" s="5" t="s">
        <v>8</v>
      </c>
      <c r="E21" s="5" t="s">
        <v>113</v>
      </c>
      <c r="F21" s="10" t="n">
        <f aca="false">Inputs!B22-F20</f>
        <v>1.39444444444444</v>
      </c>
      <c r="G21" s="5" t="s">
        <v>60</v>
      </c>
      <c r="H21" s="0" t="s">
        <v>114</v>
      </c>
    </row>
    <row r="22" customFormat="false" ht="21" hidden="false" customHeight="true" outlineLevel="0" collapsed="false">
      <c r="A22" s="5" t="s">
        <v>115</v>
      </c>
      <c r="B22" s="10" t="n">
        <f aca="false">MAX(0,Inputs!F19-Inputs!F7)</f>
        <v>2.7</v>
      </c>
      <c r="C22" s="5" t="s">
        <v>8</v>
      </c>
      <c r="D22" s="0" t="s">
        <v>116</v>
      </c>
      <c r="E22" s="5" t="s">
        <v>117</v>
      </c>
      <c r="F22" s="11" t="str">
        <f aca="false">IF(Inputs!B22=0,"No pretreatment volume entered",IF(F21&gt;=0,"OK for target detention","Increase pretreatment volume"))</f>
        <v>OK for target detention</v>
      </c>
      <c r="G22" s="5" t="s">
        <v>31</v>
      </c>
    </row>
    <row r="23" customFormat="false" ht="21" hidden="false" customHeight="true" outlineLevel="0" collapsed="false">
      <c r="A23" s="5" t="s">
        <v>118</v>
      </c>
      <c r="B23" s="10" t="n">
        <f aca="false">B20+B21+B22</f>
        <v>2.84623933639864</v>
      </c>
      <c r="C23" s="5" t="s">
        <v>8</v>
      </c>
    </row>
    <row r="24" customFormat="false" ht="21" hidden="false" customHeight="true" outlineLevel="0" collapsed="false">
      <c r="A24" s="5" t="s">
        <v>119</v>
      </c>
      <c r="B24" s="10" t="n">
        <f aca="false">B9*9.81*1000*B23/1000</f>
        <v>0.0558432157801414</v>
      </c>
      <c r="C24" s="5" t="s">
        <v>120</v>
      </c>
      <c r="D24" s="0" t="s">
        <v>121</v>
      </c>
    </row>
    <row r="25" customFormat="false" ht="21" hidden="false" customHeight="true" outlineLevel="0" collapsed="false">
      <c r="A25" s="5" t="s">
        <v>122</v>
      </c>
      <c r="B25" s="10" t="n">
        <f aca="false">IF(Inputs!F12&gt;0,B24/Inputs!F12,"")</f>
        <v>0.0930720263002357</v>
      </c>
      <c r="C25" s="5" t="s">
        <v>120</v>
      </c>
      <c r="D25" s="0" t="s">
        <v>123</v>
      </c>
    </row>
    <row r="26" customFormat="false" ht="21" hidden="false" customHeight="true" outlineLevel="0" collapsed="false"/>
    <row r="27" customFormat="false" ht="21" hidden="false" customHeight="true" outlineLevel="0" collapsed="false"/>
    <row r="28" customFormat="false" ht="21" hidden="false" customHeight="true" outlineLevel="0" collapsed="false"/>
    <row r="29" customFormat="false" ht="21" hidden="false" customHeight="true" outlineLevel="0" collapsed="false"/>
    <row r="30" customFormat="false" ht="21" hidden="false" customHeight="true" outlineLevel="0" collapsed="false">
      <c r="A30" s="12" t="s">
        <v>124</v>
      </c>
      <c r="B30" s="12"/>
      <c r="C30" s="12"/>
      <c r="D30" s="12"/>
      <c r="E30" s="12"/>
      <c r="F30" s="12"/>
      <c r="G30" s="12"/>
      <c r="H30" s="12"/>
    </row>
    <row r="31" customFormat="false" ht="21" hidden="false" customHeight="true" outlineLevel="0" collapsed="false">
      <c r="A31" s="5" t="s">
        <v>125</v>
      </c>
      <c r="B31" s="13" t="str">
        <f aca="false">IF(B18&lt;Inputs!F25,"Velocity low",IF(B18&gt;Inputs!F26,"Velocity high","Velocity OK"))</f>
        <v>Velocity low</v>
      </c>
      <c r="C31" s="13"/>
      <c r="D31" s="13"/>
      <c r="E31" s="13"/>
      <c r="F31" s="13"/>
      <c r="G31" s="13"/>
      <c r="H31" s="13"/>
    </row>
    <row r="32" customFormat="false" ht="21" hidden="false" customHeight="true" outlineLevel="0" collapsed="false">
      <c r="A32" s="5" t="s">
        <v>126</v>
      </c>
      <c r="B32" s="13" t="str">
        <f aca="false">IF(F9&gt;10,"Too many starts/hr",IF(F9="","Check inputs","Starts/hr preliminary OK"))</f>
        <v>Starts/hr preliminary OK</v>
      </c>
      <c r="C32" s="13"/>
      <c r="D32" s="13"/>
      <c r="E32" s="13"/>
      <c r="F32" s="13"/>
      <c r="G32" s="13"/>
      <c r="H32" s="13"/>
    </row>
    <row r="33" customFormat="false" ht="21" hidden="false" customHeight="true" outlineLevel="0" collapsed="false">
      <c r="A33" s="5" t="s">
        <v>127</v>
      </c>
      <c r="B33" s="13" t="str">
        <f aca="false">IF(F4&lt;=0,"Start elevation must be above stop elevation","Wet well levels OK")</f>
        <v>Wet well levels OK</v>
      </c>
      <c r="C33" s="13"/>
      <c r="D33" s="13"/>
      <c r="E33" s="13"/>
      <c r="F33" s="13"/>
      <c r="G33" s="13"/>
      <c r="H33" s="13"/>
    </row>
    <row r="34" customFormat="false" ht="21" hidden="false" customHeight="true" outlineLevel="0" collapsed="false">
      <c r="A34" s="5" t="s">
        <v>128</v>
      </c>
      <c r="B34" s="13" t="str">
        <f aca="false">IF(F10&gt;0,"Pump start is above inlet invert - check surcharge","Pump start below inlet invert")</f>
        <v>Pump start is above inlet invert - check surcharge</v>
      </c>
      <c r="C34" s="13"/>
      <c r="D34" s="13"/>
      <c r="E34" s="13"/>
      <c r="F34" s="13"/>
      <c r="G34" s="13"/>
      <c r="H34" s="13"/>
    </row>
    <row r="35" customFormat="false" ht="21" hidden="false" customHeight="true" outlineLevel="0" collapsed="false">
      <c r="A35" s="5" t="s">
        <v>129</v>
      </c>
      <c r="B35" s="13" t="str">
        <f aca="false">F22</f>
        <v>OK for target detention</v>
      </c>
      <c r="C35" s="13"/>
      <c r="D35" s="13"/>
      <c r="E35" s="13"/>
      <c r="F35" s="13"/>
      <c r="G35" s="13"/>
      <c r="H35" s="13"/>
    </row>
    <row r="36" customFormat="false" ht="21" hidden="false" customHeight="true" outlineLevel="0" collapsed="false"/>
    <row r="37" customFormat="false" ht="21" hidden="false" customHeight="true" outlineLevel="0" collapsed="false"/>
    <row r="38" customFormat="false" ht="21" hidden="false" customHeight="true" outlineLevel="0" collapsed="false"/>
    <row r="39" customFormat="false" ht="21" hidden="false" customHeight="true" outlineLevel="0" collapsed="false"/>
    <row r="40" customFormat="false" ht="21" hidden="false" customHeight="true" outlineLevel="0" collapsed="false"/>
    <row r="41" customFormat="false" ht="21" hidden="false" customHeight="true" outlineLevel="0" collapsed="false"/>
    <row r="42" customFormat="false" ht="21" hidden="false" customHeight="true" outlineLevel="0" collapsed="false"/>
    <row r="43" customFormat="false" ht="21" hidden="false" customHeight="true" outlineLevel="0" collapsed="false"/>
    <row r="44" customFormat="false" ht="21" hidden="false" customHeight="true" outlineLevel="0" collapsed="false"/>
    <row r="45" customFormat="false" ht="21" hidden="false" customHeight="true" outlineLevel="0" collapsed="false"/>
    <row r="46" customFormat="false" ht="21" hidden="false" customHeight="true" outlineLevel="0" collapsed="false"/>
    <row r="47" customFormat="false" ht="21" hidden="false" customHeight="true" outlineLevel="0" collapsed="false"/>
    <row r="48" customFormat="false" ht="21" hidden="false" customHeight="true" outlineLevel="0" collapsed="false"/>
    <row r="49" customFormat="false" ht="21" hidden="false" customHeight="true" outlineLevel="0" collapsed="false"/>
    <row r="50" customFormat="false" ht="21" hidden="false" customHeight="true" outlineLevel="0" collapsed="false"/>
    <row r="51" customFormat="false" ht="21" hidden="false" customHeight="true" outlineLevel="0" collapsed="false"/>
    <row r="52" customFormat="false" ht="21" hidden="false" customHeight="true" outlineLevel="0" collapsed="false"/>
    <row r="53" customFormat="false" ht="21" hidden="false" customHeight="true" outlineLevel="0" collapsed="false"/>
    <row r="54" customFormat="false" ht="21" hidden="false" customHeight="true" outlineLevel="0" collapsed="false"/>
    <row r="55" customFormat="false" ht="21" hidden="false" customHeight="true" outlineLevel="0" collapsed="false"/>
    <row r="56" customFormat="false" ht="21" hidden="false" customHeight="true" outlineLevel="0" collapsed="false"/>
    <row r="57" customFormat="false" ht="21" hidden="false" customHeight="true" outlineLevel="0" collapsed="false"/>
    <row r="58" customFormat="false" ht="21" hidden="false" customHeight="true" outlineLevel="0" collapsed="false"/>
    <row r="59" customFormat="false" ht="21" hidden="false" customHeight="true" outlineLevel="0" collapsed="false"/>
    <row r="60" customFormat="false" ht="21" hidden="false" customHeight="true" outlineLevel="0" collapsed="false"/>
    <row r="61" customFormat="false" ht="21" hidden="false" customHeight="true" outlineLevel="0" collapsed="false"/>
    <row r="62" customFormat="false" ht="21" hidden="false" customHeight="true" outlineLevel="0" collapsed="false"/>
    <row r="63" customFormat="false" ht="21" hidden="false" customHeight="true" outlineLevel="0" collapsed="false"/>
    <row r="64" customFormat="false" ht="21" hidden="false" customHeight="true" outlineLevel="0" collapsed="false"/>
    <row r="65" customFormat="false" ht="21" hidden="false" customHeight="true" outlineLevel="0" collapsed="false"/>
    <row r="66" customFormat="false" ht="21" hidden="false" customHeight="true" outlineLevel="0" collapsed="false"/>
    <row r="67" customFormat="false" ht="21" hidden="false" customHeight="true" outlineLevel="0" collapsed="false"/>
    <row r="68" customFormat="false" ht="21" hidden="false" customHeight="true" outlineLevel="0" collapsed="false"/>
    <row r="69" customFormat="false" ht="21" hidden="false" customHeight="true" outlineLevel="0" collapsed="false"/>
    <row r="70" customFormat="false" ht="21" hidden="false" customHeight="true" outlineLevel="0" collapsed="false"/>
    <row r="71" customFormat="false" ht="21" hidden="false" customHeight="true" outlineLevel="0" collapsed="false"/>
    <row r="72" customFormat="false" ht="21" hidden="false" customHeight="true" outlineLevel="0" collapsed="false"/>
    <row r="73" customFormat="false" ht="21" hidden="false" customHeight="true" outlineLevel="0" collapsed="false"/>
    <row r="74" customFormat="false" ht="21" hidden="false" customHeight="true" outlineLevel="0" collapsed="false"/>
    <row r="75" customFormat="false" ht="21" hidden="false" customHeight="true" outlineLevel="0" collapsed="false"/>
    <row r="76" customFormat="false" ht="21" hidden="false" customHeight="true" outlineLevel="0" collapsed="false"/>
    <row r="77" customFormat="false" ht="21" hidden="false" customHeight="true" outlineLevel="0" collapsed="false"/>
    <row r="78" customFormat="false" ht="21" hidden="false" customHeight="true" outlineLevel="0" collapsed="false"/>
    <row r="79" customFormat="false" ht="21" hidden="false" customHeight="true" outlineLevel="0" collapsed="false"/>
  </sheetData>
  <mergeCells count="11">
    <mergeCell ref="A1:H1"/>
    <mergeCell ref="A3:D3"/>
    <mergeCell ref="E3:H3"/>
    <mergeCell ref="A16:D16"/>
    <mergeCell ref="E16:H16"/>
    <mergeCell ref="A30:H30"/>
    <mergeCell ref="B31:H31"/>
    <mergeCell ref="B32:H32"/>
    <mergeCell ref="B33:H33"/>
    <mergeCell ref="B34:H34"/>
    <mergeCell ref="B35:H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6"/>
    <col collapsed="false" customWidth="true" hidden="false" outlineLevel="0" max="8" min="5" style="0" width="18"/>
  </cols>
  <sheetData>
    <row r="1" customFormat="false" ht="21" hidden="false" customHeight="true" outlineLevel="0" collapsed="false">
      <c r="A1" s="1" t="s">
        <v>130</v>
      </c>
      <c r="B1" s="1"/>
      <c r="C1" s="1"/>
      <c r="D1" s="1"/>
      <c r="E1" s="1"/>
      <c r="F1" s="1"/>
      <c r="G1" s="1"/>
      <c r="H1" s="1"/>
    </row>
    <row r="2" customFormat="false" ht="21" hidden="false" customHeight="true" outlineLevel="0" collapsed="false"/>
    <row r="3" customFormat="false" ht="21" hidden="false" customHeight="true" outlineLevel="0" collapsed="false">
      <c r="A3" s="14" t="s">
        <v>131</v>
      </c>
      <c r="B3" s="14" t="s">
        <v>131</v>
      </c>
      <c r="C3" s="14" t="s">
        <v>132</v>
      </c>
      <c r="D3" s="14" t="s">
        <v>133</v>
      </c>
      <c r="E3" s="14" t="s">
        <v>134</v>
      </c>
      <c r="F3" s="14" t="s">
        <v>135</v>
      </c>
      <c r="G3" s="14" t="s">
        <v>136</v>
      </c>
      <c r="H3" s="14" t="s">
        <v>137</v>
      </c>
      <c r="J3" s="15" t="s">
        <v>138</v>
      </c>
    </row>
    <row r="4" customFormat="false" ht="21" hidden="false" customHeight="true" outlineLevel="0" collapsed="false">
      <c r="A4" s="16" t="s">
        <v>36</v>
      </c>
      <c r="B4" s="16" t="s">
        <v>94</v>
      </c>
      <c r="C4" s="16" t="s">
        <v>74</v>
      </c>
      <c r="D4" s="16" t="s">
        <v>8</v>
      </c>
      <c r="E4" s="16" t="s">
        <v>8</v>
      </c>
      <c r="F4" s="16" t="s">
        <v>8</v>
      </c>
      <c r="G4" s="16" t="s">
        <v>8</v>
      </c>
      <c r="H4" s="16" t="s">
        <v>8</v>
      </c>
      <c r="J4" s="17" t="s">
        <v>139</v>
      </c>
      <c r="K4" s="17"/>
      <c r="L4" s="17"/>
      <c r="M4" s="17"/>
      <c r="N4" s="17"/>
    </row>
    <row r="5" customFormat="false" ht="21" hidden="false" customHeight="true" outlineLevel="0" collapsed="false">
      <c r="A5" s="18" t="n">
        <v>0</v>
      </c>
      <c r="B5" s="18" t="n">
        <f aca="false">A5/1000</f>
        <v>0</v>
      </c>
      <c r="C5" s="18" t="n">
        <f aca="false">IF(Inputs!F22&gt;0,B5/(PI()*Inputs!F22^2/4),"")</f>
        <v>0</v>
      </c>
      <c r="D5" s="18" t="n">
        <f aca="false">MAX(0,Inputs!F19-Inputs!F7)</f>
        <v>2.7</v>
      </c>
      <c r="E5" s="18" t="n">
        <f aca="false">(Inputs!F23*(Inputs!F21/Inputs!F22)+Inputs!F24)*(C5^2/(2*9.81))</f>
        <v>0</v>
      </c>
      <c r="F5" s="18" t="n">
        <f aca="false">D5+E5</f>
        <v>2.7</v>
      </c>
      <c r="G5" s="18" t="n">
        <f aca="false">MAX(0,12-0.35*A5^2)</f>
        <v>12</v>
      </c>
      <c r="H5" s="18" t="n">
        <f aca="false">G5-F5</f>
        <v>9.3</v>
      </c>
      <c r="J5" s="17"/>
      <c r="K5" s="17"/>
      <c r="L5" s="17"/>
      <c r="M5" s="17"/>
      <c r="N5" s="17"/>
    </row>
    <row r="6" customFormat="false" ht="21" hidden="false" customHeight="true" outlineLevel="0" collapsed="false">
      <c r="A6" s="18" t="n">
        <v>0.5</v>
      </c>
      <c r="B6" s="18" t="n">
        <f aca="false">A6/1000</f>
        <v>0.0005</v>
      </c>
      <c r="C6" s="18" t="n">
        <f aca="false">IF(Inputs!F22&gt;0,B6/(PI()*Inputs!F22^2/4),"")</f>
        <v>0.113176848420903</v>
      </c>
      <c r="D6" s="18" t="n">
        <f aca="false">MAX(0,Inputs!F19-Inputs!F7)</f>
        <v>2.7</v>
      </c>
      <c r="E6" s="18" t="n">
        <f aca="false">(Inputs!F23*(Inputs!F21/Inputs!F22)+Inputs!F24)*(C6^2/(2*9.81))</f>
        <v>0.00913995852491508</v>
      </c>
      <c r="F6" s="18" t="n">
        <f aca="false">D6+E6</f>
        <v>2.70913995852492</v>
      </c>
      <c r="G6" s="18" t="n">
        <f aca="false">MAX(0,12-0.35*A6^2)</f>
        <v>11.9125</v>
      </c>
      <c r="H6" s="18" t="n">
        <f aca="false">G6-F6</f>
        <v>9.20336004147508</v>
      </c>
      <c r="J6" s="17"/>
      <c r="K6" s="17"/>
      <c r="L6" s="17"/>
      <c r="M6" s="17"/>
      <c r="N6" s="17"/>
    </row>
    <row r="7" customFormat="false" ht="21" hidden="false" customHeight="true" outlineLevel="0" collapsed="false">
      <c r="A7" s="18" t="n">
        <v>1</v>
      </c>
      <c r="B7" s="18" t="n">
        <f aca="false">A7/1000</f>
        <v>0.001</v>
      </c>
      <c r="C7" s="18" t="n">
        <f aca="false">IF(Inputs!F22&gt;0,B7/(PI()*Inputs!F22^2/4),"")</f>
        <v>0.226353696841807</v>
      </c>
      <c r="D7" s="18" t="n">
        <f aca="false">MAX(0,Inputs!F19-Inputs!F7)</f>
        <v>2.7</v>
      </c>
      <c r="E7" s="18" t="n">
        <f aca="false">(Inputs!F23*(Inputs!F21/Inputs!F22)+Inputs!F24)*(C7^2/(2*9.81))</f>
        <v>0.0365598340996603</v>
      </c>
      <c r="F7" s="18" t="n">
        <f aca="false">D7+E7</f>
        <v>2.73655983409966</v>
      </c>
      <c r="G7" s="18" t="n">
        <f aca="false">MAX(0,12-0.35*A7^2)</f>
        <v>11.65</v>
      </c>
      <c r="H7" s="18" t="n">
        <f aca="false">G7-F7</f>
        <v>8.91344016590034</v>
      </c>
    </row>
    <row r="8" customFormat="false" ht="21" hidden="false" customHeight="true" outlineLevel="0" collapsed="false">
      <c r="A8" s="18" t="n">
        <v>1.5</v>
      </c>
      <c r="B8" s="18" t="n">
        <f aca="false">A8/1000</f>
        <v>0.0015</v>
      </c>
      <c r="C8" s="18" t="n">
        <f aca="false">IF(Inputs!F22&gt;0,B8/(PI()*Inputs!F22^2/4),"")</f>
        <v>0.33953054526271</v>
      </c>
      <c r="D8" s="18" t="n">
        <f aca="false">MAX(0,Inputs!F19-Inputs!F7)</f>
        <v>2.7</v>
      </c>
      <c r="E8" s="18" t="n">
        <f aca="false">(Inputs!F23*(Inputs!F21/Inputs!F22)+Inputs!F24)*(C8^2/(2*9.81))</f>
        <v>0.0822596267242357</v>
      </c>
      <c r="F8" s="18" t="n">
        <f aca="false">D8+E8</f>
        <v>2.78225962672424</v>
      </c>
      <c r="G8" s="18" t="n">
        <f aca="false">MAX(0,12-0.35*A8^2)</f>
        <v>11.2125</v>
      </c>
      <c r="H8" s="18" t="n">
        <f aca="false">G8-F8</f>
        <v>8.43024037327576</v>
      </c>
    </row>
    <row r="9" customFormat="false" ht="21" hidden="false" customHeight="true" outlineLevel="0" collapsed="false">
      <c r="A9" s="18" t="n">
        <v>2</v>
      </c>
      <c r="B9" s="18" t="n">
        <f aca="false">A9/1000</f>
        <v>0.002</v>
      </c>
      <c r="C9" s="18" t="n">
        <f aca="false">IF(Inputs!F22&gt;0,B9/(PI()*Inputs!F22^2/4),"")</f>
        <v>0.452707393683613</v>
      </c>
      <c r="D9" s="18" t="n">
        <f aca="false">MAX(0,Inputs!F19-Inputs!F7)</f>
        <v>2.7</v>
      </c>
      <c r="E9" s="18" t="n">
        <f aca="false">(Inputs!F23*(Inputs!F21/Inputs!F22)+Inputs!F24)*(C9^2/(2*9.81))</f>
        <v>0.146239336398641</v>
      </c>
      <c r="F9" s="18" t="n">
        <f aca="false">D9+E9</f>
        <v>2.84623933639864</v>
      </c>
      <c r="G9" s="18" t="n">
        <f aca="false">MAX(0,12-0.35*A9^2)</f>
        <v>10.6</v>
      </c>
      <c r="H9" s="18" t="n">
        <f aca="false">G9-F9</f>
        <v>7.75376066360136</v>
      </c>
    </row>
    <row r="10" customFormat="false" ht="21" hidden="false" customHeight="true" outlineLevel="0" collapsed="false">
      <c r="A10" s="18" t="n">
        <v>2.5</v>
      </c>
      <c r="B10" s="18" t="n">
        <f aca="false">A10/1000</f>
        <v>0.0025</v>
      </c>
      <c r="C10" s="18" t="n">
        <f aca="false">IF(Inputs!F22&gt;0,B10/(PI()*Inputs!F22^2/4),"")</f>
        <v>0.565884242104517</v>
      </c>
      <c r="D10" s="18" t="n">
        <f aca="false">MAX(0,Inputs!F19-Inputs!F7)</f>
        <v>2.7</v>
      </c>
      <c r="E10" s="18" t="n">
        <f aca="false">(Inputs!F23*(Inputs!F21/Inputs!F22)+Inputs!F24)*(C10^2/(2*9.81))</f>
        <v>0.228498963122877</v>
      </c>
      <c r="F10" s="18" t="n">
        <f aca="false">D10+E10</f>
        <v>2.92849896312288</v>
      </c>
      <c r="G10" s="18" t="n">
        <f aca="false">MAX(0,12-0.35*A10^2)</f>
        <v>9.8125</v>
      </c>
      <c r="H10" s="18" t="n">
        <f aca="false">G10-F10</f>
        <v>6.88400103687712</v>
      </c>
    </row>
    <row r="11" customFormat="false" ht="21" hidden="false" customHeight="true" outlineLevel="0" collapsed="false">
      <c r="A11" s="18" t="n">
        <v>3</v>
      </c>
      <c r="B11" s="18" t="n">
        <f aca="false">A11/1000</f>
        <v>0.003</v>
      </c>
      <c r="C11" s="18" t="n">
        <f aca="false">IF(Inputs!F22&gt;0,B11/(PI()*Inputs!F22^2/4),"")</f>
        <v>0.67906109052542</v>
      </c>
      <c r="D11" s="18" t="n">
        <f aca="false">MAX(0,Inputs!F19-Inputs!F7)</f>
        <v>2.7</v>
      </c>
      <c r="E11" s="18" t="n">
        <f aca="false">(Inputs!F23*(Inputs!F21/Inputs!F22)+Inputs!F24)*(C11^2/(2*9.81))</f>
        <v>0.329038506896943</v>
      </c>
      <c r="F11" s="18" t="n">
        <f aca="false">D11+E11</f>
        <v>3.02903850689695</v>
      </c>
      <c r="G11" s="18" t="n">
        <f aca="false">MAX(0,12-0.35*A11^2)</f>
        <v>8.85</v>
      </c>
      <c r="H11" s="18" t="n">
        <f aca="false">G11-F11</f>
        <v>5.82096149310305</v>
      </c>
    </row>
    <row r="12" customFormat="false" ht="21" hidden="false" customHeight="true" outlineLevel="0" collapsed="false">
      <c r="A12" s="18" t="n">
        <v>3.5</v>
      </c>
      <c r="B12" s="18" t="n">
        <f aca="false">A12/1000</f>
        <v>0.0035</v>
      </c>
      <c r="C12" s="18" t="n">
        <f aca="false">IF(Inputs!F22&gt;0,B12/(PI()*Inputs!F22^2/4),"")</f>
        <v>0.792237938946323</v>
      </c>
      <c r="D12" s="18" t="n">
        <f aca="false">MAX(0,Inputs!F19-Inputs!F7)</f>
        <v>2.7</v>
      </c>
      <c r="E12" s="18" t="n">
        <f aca="false">(Inputs!F23*(Inputs!F21/Inputs!F22)+Inputs!F24)*(C12^2/(2*9.81))</f>
        <v>0.447857967720839</v>
      </c>
      <c r="F12" s="18" t="n">
        <f aca="false">D12+E12</f>
        <v>3.14785796772084</v>
      </c>
      <c r="G12" s="18" t="n">
        <f aca="false">MAX(0,12-0.35*A12^2)</f>
        <v>7.7125</v>
      </c>
      <c r="H12" s="18" t="n">
        <f aca="false">G12-F12</f>
        <v>4.56464203227916</v>
      </c>
    </row>
    <row r="13" customFormat="false" ht="21" hidden="false" customHeight="true" outlineLevel="0" collapsed="false">
      <c r="A13" s="18" t="n">
        <v>4</v>
      </c>
      <c r="B13" s="18" t="n">
        <f aca="false">A13/1000</f>
        <v>0.004</v>
      </c>
      <c r="C13" s="18" t="n">
        <f aca="false">IF(Inputs!F22&gt;0,B13/(PI()*Inputs!F22^2/4),"")</f>
        <v>0.905414787367227</v>
      </c>
      <c r="D13" s="18" t="n">
        <f aca="false">MAX(0,Inputs!F19-Inputs!F7)</f>
        <v>2.7</v>
      </c>
      <c r="E13" s="18" t="n">
        <f aca="false">(Inputs!F23*(Inputs!F21/Inputs!F22)+Inputs!F24)*(C13^2/(2*9.81))</f>
        <v>0.584957345594565</v>
      </c>
      <c r="F13" s="18" t="n">
        <f aca="false">D13+E13</f>
        <v>3.28495734559457</v>
      </c>
      <c r="G13" s="18" t="n">
        <f aca="false">MAX(0,12-0.35*A13^2)</f>
        <v>6.4</v>
      </c>
      <c r="H13" s="18" t="n">
        <f aca="false">G13-F13</f>
        <v>3.11504265440543</v>
      </c>
    </row>
    <row r="14" customFormat="false" ht="21" hidden="false" customHeight="true" outlineLevel="0" collapsed="false">
      <c r="A14" s="18" t="n">
        <v>4.5</v>
      </c>
      <c r="B14" s="18" t="n">
        <f aca="false">A14/1000</f>
        <v>0.0045</v>
      </c>
      <c r="C14" s="18" t="n">
        <f aca="false">IF(Inputs!F22&gt;0,B14/(PI()*Inputs!F22^2/4),"")</f>
        <v>1.01859163578813</v>
      </c>
      <c r="D14" s="18" t="n">
        <f aca="false">MAX(0,Inputs!F19-Inputs!F7)</f>
        <v>2.7</v>
      </c>
      <c r="E14" s="18" t="n">
        <f aca="false">(Inputs!F23*(Inputs!F21/Inputs!F22)+Inputs!F24)*(C14^2/(2*9.81))</f>
        <v>0.740336640518121</v>
      </c>
      <c r="F14" s="18" t="n">
        <f aca="false">D14+E14</f>
        <v>3.44033664051812</v>
      </c>
      <c r="G14" s="18" t="n">
        <f aca="false">MAX(0,12-0.35*A14^2)</f>
        <v>4.9125</v>
      </c>
      <c r="H14" s="18" t="n">
        <f aca="false">G14-F14</f>
        <v>1.47216335948188</v>
      </c>
    </row>
    <row r="15" customFormat="false" ht="21" hidden="false" customHeight="true" outlineLevel="0" collapsed="false">
      <c r="A15" s="18" t="n">
        <v>5</v>
      </c>
      <c r="B15" s="18" t="n">
        <f aca="false">A15/1000</f>
        <v>0.005</v>
      </c>
      <c r="C15" s="18" t="n">
        <f aca="false">IF(Inputs!F22&gt;0,B15/(PI()*Inputs!F22^2/4),"")</f>
        <v>1.13176848420903</v>
      </c>
      <c r="D15" s="18" t="n">
        <f aca="false">MAX(0,Inputs!F19-Inputs!F7)</f>
        <v>2.7</v>
      </c>
      <c r="E15" s="18" t="n">
        <f aca="false">(Inputs!F23*(Inputs!F21/Inputs!F22)+Inputs!F24)*(C15^2/(2*9.81))</f>
        <v>0.913995852491508</v>
      </c>
      <c r="F15" s="18" t="n">
        <f aca="false">D15+E15</f>
        <v>3.61399585249151</v>
      </c>
      <c r="G15" s="18" t="n">
        <f aca="false">MAX(0,12-0.35*A15^2)</f>
        <v>3.25</v>
      </c>
      <c r="H15" s="18" t="n">
        <f aca="false">G15-F15</f>
        <v>-0.363995852491511</v>
      </c>
    </row>
    <row r="16" customFormat="false" ht="21" hidden="false" customHeight="true" outlineLevel="0" collapsed="false">
      <c r="A16" s="18" t="n">
        <v>5.5</v>
      </c>
      <c r="B16" s="18" t="n">
        <f aca="false">A16/1000</f>
        <v>0.0055</v>
      </c>
      <c r="C16" s="18" t="n">
        <f aca="false">IF(Inputs!F22&gt;0,B16/(PI()*Inputs!F22^2/4),"")</f>
        <v>1.24494533262994</v>
      </c>
      <c r="D16" s="18" t="n">
        <f aca="false">MAX(0,Inputs!F19-Inputs!F7)</f>
        <v>2.7</v>
      </c>
      <c r="E16" s="18" t="n">
        <f aca="false">(Inputs!F23*(Inputs!F21/Inputs!F22)+Inputs!F24)*(C16^2/(2*9.81))</f>
        <v>1.10593498151472</v>
      </c>
      <c r="F16" s="18" t="n">
        <f aca="false">D16+E16</f>
        <v>3.80593498151473</v>
      </c>
      <c r="G16" s="18" t="n">
        <f aca="false">MAX(0,12-0.35*A16^2)</f>
        <v>1.4125</v>
      </c>
      <c r="H16" s="18" t="n">
        <f aca="false">G16-F16</f>
        <v>-2.39343498151473</v>
      </c>
    </row>
    <row r="17" customFormat="false" ht="21" hidden="false" customHeight="true" outlineLevel="0" collapsed="false">
      <c r="A17" s="18" t="n">
        <v>6</v>
      </c>
      <c r="B17" s="18" t="n">
        <f aca="false">A17/1000</f>
        <v>0.006</v>
      </c>
      <c r="C17" s="18" t="n">
        <f aca="false">IF(Inputs!F22&gt;0,B17/(PI()*Inputs!F22^2/4),"")</f>
        <v>1.35812218105084</v>
      </c>
      <c r="D17" s="18" t="n">
        <f aca="false">MAX(0,Inputs!F19-Inputs!F7)</f>
        <v>2.7</v>
      </c>
      <c r="E17" s="18" t="n">
        <f aca="false">(Inputs!F23*(Inputs!F21/Inputs!F22)+Inputs!F24)*(C17^2/(2*9.81))</f>
        <v>1.31615402758777</v>
      </c>
      <c r="F17" s="18" t="n">
        <f aca="false">D17+E17</f>
        <v>4.01615402758777</v>
      </c>
      <c r="G17" s="18" t="n">
        <f aca="false">MAX(0,12-0.35*A17^2)</f>
        <v>0</v>
      </c>
      <c r="H17" s="18" t="n">
        <f aca="false">G17-F17</f>
        <v>-4.01615402758777</v>
      </c>
    </row>
    <row r="18" customFormat="false" ht="21" hidden="false" customHeight="true" outlineLevel="0" collapsed="false">
      <c r="A18" s="18" t="n">
        <v>6.5</v>
      </c>
      <c r="B18" s="18" t="n">
        <f aca="false">A18/1000</f>
        <v>0.0065</v>
      </c>
      <c r="C18" s="18" t="n">
        <f aca="false">IF(Inputs!F22&gt;0,B18/(PI()*Inputs!F22^2/4),"")</f>
        <v>1.47129902947174</v>
      </c>
      <c r="D18" s="18" t="n">
        <f aca="false">MAX(0,Inputs!F19-Inputs!F7)</f>
        <v>2.7</v>
      </c>
      <c r="E18" s="18" t="n">
        <f aca="false">(Inputs!F23*(Inputs!F21/Inputs!F22)+Inputs!F24)*(C18^2/(2*9.81))</f>
        <v>1.54465299071065</v>
      </c>
      <c r="F18" s="18" t="n">
        <f aca="false">D18+E18</f>
        <v>4.24465299071065</v>
      </c>
      <c r="G18" s="18" t="n">
        <f aca="false">MAX(0,12-0.35*A18^2)</f>
        <v>0</v>
      </c>
      <c r="H18" s="18" t="n">
        <f aca="false">G18-F18</f>
        <v>-4.24465299071065</v>
      </c>
    </row>
    <row r="19" customFormat="false" ht="21" hidden="false" customHeight="true" outlineLevel="0" collapsed="false">
      <c r="A19" s="18" t="n">
        <v>7</v>
      </c>
      <c r="B19" s="18" t="n">
        <f aca="false">A19/1000</f>
        <v>0.007</v>
      </c>
      <c r="C19" s="18" t="n">
        <f aca="false">IF(Inputs!F22&gt;0,B19/(PI()*Inputs!F22^2/4),"")</f>
        <v>1.58447587789265</v>
      </c>
      <c r="D19" s="18" t="n">
        <f aca="false">MAX(0,Inputs!F19-Inputs!F7)</f>
        <v>2.7</v>
      </c>
      <c r="E19" s="18" t="n">
        <f aca="false">(Inputs!F23*(Inputs!F21/Inputs!F22)+Inputs!F24)*(C19^2/(2*9.81))</f>
        <v>1.79143187088336</v>
      </c>
      <c r="F19" s="18" t="n">
        <f aca="false">D19+E19</f>
        <v>4.49143187088336</v>
      </c>
      <c r="G19" s="18" t="n">
        <f aca="false">MAX(0,12-0.35*A19^2)</f>
        <v>0</v>
      </c>
      <c r="H19" s="18" t="n">
        <f aca="false">G19-F19</f>
        <v>-4.49143187088336</v>
      </c>
    </row>
    <row r="20" customFormat="false" ht="21" hidden="false" customHeight="true" outlineLevel="0" collapsed="false">
      <c r="A20" s="18" t="n">
        <v>7.5</v>
      </c>
      <c r="B20" s="18" t="n">
        <f aca="false">A20/1000</f>
        <v>0.0075</v>
      </c>
      <c r="C20" s="18" t="n">
        <f aca="false">IF(Inputs!F22&gt;0,B20/(PI()*Inputs!F22^2/4),"")</f>
        <v>1.69765272631355</v>
      </c>
      <c r="D20" s="18" t="n">
        <f aca="false">MAX(0,Inputs!F19-Inputs!F7)</f>
        <v>2.7</v>
      </c>
      <c r="E20" s="18" t="n">
        <f aca="false">(Inputs!F23*(Inputs!F21/Inputs!F22)+Inputs!F24)*(C20^2/(2*9.81))</f>
        <v>2.05649066810589</v>
      </c>
      <c r="F20" s="18" t="n">
        <f aca="false">D20+E20</f>
        <v>4.7564906681059</v>
      </c>
      <c r="G20" s="18" t="n">
        <f aca="false">MAX(0,12-0.35*A20^2)</f>
        <v>0</v>
      </c>
      <c r="H20" s="18" t="n">
        <f aca="false">G20-F20</f>
        <v>-4.7564906681059</v>
      </c>
    </row>
    <row r="21" customFormat="false" ht="21" hidden="false" customHeight="true" outlineLevel="0" collapsed="false">
      <c r="A21" s="18" t="n">
        <v>8</v>
      </c>
      <c r="B21" s="18" t="n">
        <f aca="false">A21/1000</f>
        <v>0.008</v>
      </c>
      <c r="C21" s="18" t="n">
        <f aca="false">IF(Inputs!F22&gt;0,B21/(PI()*Inputs!F22^2/4),"")</f>
        <v>1.81082957473445</v>
      </c>
      <c r="D21" s="18" t="n">
        <f aca="false">MAX(0,Inputs!F19-Inputs!F7)</f>
        <v>2.7</v>
      </c>
      <c r="E21" s="18" t="n">
        <f aca="false">(Inputs!F23*(Inputs!F21/Inputs!F22)+Inputs!F24)*(C21^2/(2*9.81))</f>
        <v>2.33982938237826</v>
      </c>
      <c r="F21" s="18" t="n">
        <f aca="false">D21+E21</f>
        <v>5.03982938237826</v>
      </c>
      <c r="G21" s="18" t="n">
        <f aca="false">MAX(0,12-0.35*A21^2)</f>
        <v>0</v>
      </c>
      <c r="H21" s="18" t="n">
        <f aca="false">G21-F21</f>
        <v>-5.03982938237826</v>
      </c>
    </row>
    <row r="22" customFormat="false" ht="21" hidden="false" customHeight="true" outlineLevel="0" collapsed="false">
      <c r="A22" s="18" t="n">
        <v>8.5</v>
      </c>
      <c r="B22" s="18" t="n">
        <f aca="false">A22/1000</f>
        <v>0.0085</v>
      </c>
      <c r="C22" s="18" t="n">
        <f aca="false">IF(Inputs!F22&gt;0,B22/(PI()*Inputs!F22^2/4),"")</f>
        <v>1.92400642315536</v>
      </c>
      <c r="D22" s="18" t="n">
        <f aca="false">MAX(0,Inputs!F19-Inputs!F7)</f>
        <v>2.7</v>
      </c>
      <c r="E22" s="18" t="n">
        <f aca="false">(Inputs!F23*(Inputs!F21/Inputs!F22)+Inputs!F24)*(C22^2/(2*9.81))</f>
        <v>2.64144801370046</v>
      </c>
      <c r="F22" s="18" t="n">
        <f aca="false">D22+E22</f>
        <v>5.34144801370046</v>
      </c>
      <c r="G22" s="18" t="n">
        <f aca="false">MAX(0,12-0.35*A22^2)</f>
        <v>0</v>
      </c>
      <c r="H22" s="18" t="n">
        <f aca="false">G22-F22</f>
        <v>-5.34144801370046</v>
      </c>
    </row>
    <row r="23" customFormat="false" ht="21" hidden="false" customHeight="true" outlineLevel="0" collapsed="false">
      <c r="A23" s="18" t="n">
        <v>9</v>
      </c>
      <c r="B23" s="18" t="n">
        <f aca="false">A23/1000</f>
        <v>0.009</v>
      </c>
      <c r="C23" s="18" t="n">
        <f aca="false">IF(Inputs!F22&gt;0,B23/(PI()*Inputs!F22^2/4),"")</f>
        <v>2.03718327157626</v>
      </c>
      <c r="D23" s="18" t="n">
        <f aca="false">MAX(0,Inputs!F19-Inputs!F7)</f>
        <v>2.7</v>
      </c>
      <c r="E23" s="18" t="n">
        <f aca="false">(Inputs!F23*(Inputs!F21/Inputs!F22)+Inputs!F24)*(C23^2/(2*9.81))</f>
        <v>2.96134656207249</v>
      </c>
      <c r="F23" s="18" t="n">
        <f aca="false">D23+E23</f>
        <v>5.66134656207249</v>
      </c>
      <c r="G23" s="18" t="n">
        <f aca="false">MAX(0,12-0.35*A23^2)</f>
        <v>0</v>
      </c>
      <c r="H23" s="18" t="n">
        <f aca="false">G23-F23</f>
        <v>-5.66134656207249</v>
      </c>
    </row>
    <row r="24" customFormat="false" ht="21" hidden="false" customHeight="true" outlineLevel="0" collapsed="false">
      <c r="A24" s="18" t="n">
        <v>9.5</v>
      </c>
      <c r="B24" s="18" t="n">
        <f aca="false">A24/1000</f>
        <v>0.0095</v>
      </c>
      <c r="C24" s="18" t="n">
        <f aca="false">IF(Inputs!F22&gt;0,B24/(PI()*Inputs!F22^2/4),"")</f>
        <v>2.15036011999716</v>
      </c>
      <c r="D24" s="18" t="n">
        <f aca="false">MAX(0,Inputs!F19-Inputs!F7)</f>
        <v>2.7</v>
      </c>
      <c r="E24" s="18" t="n">
        <f aca="false">(Inputs!F23*(Inputs!F21/Inputs!F22)+Inputs!F24)*(C24^2/(2*9.81))</f>
        <v>3.29952502749434</v>
      </c>
      <c r="F24" s="18" t="n">
        <f aca="false">D24+E24</f>
        <v>5.99952502749435</v>
      </c>
      <c r="G24" s="18" t="n">
        <f aca="false">MAX(0,12-0.35*A24^2)</f>
        <v>0</v>
      </c>
      <c r="H24" s="18" t="n">
        <f aca="false">G24-F24</f>
        <v>-5.99952502749435</v>
      </c>
    </row>
    <row r="25" customFormat="false" ht="21" hidden="false" customHeight="true" outlineLevel="0" collapsed="false">
      <c r="A25" s="18" t="n">
        <v>10</v>
      </c>
      <c r="B25" s="18" t="n">
        <f aca="false">A25/1000</f>
        <v>0.01</v>
      </c>
      <c r="C25" s="18" t="n">
        <f aca="false">IF(Inputs!F22&gt;0,B25/(PI()*Inputs!F22^2/4),"")</f>
        <v>2.26353696841807</v>
      </c>
      <c r="D25" s="18" t="n">
        <f aca="false">MAX(0,Inputs!F19-Inputs!F7)</f>
        <v>2.7</v>
      </c>
      <c r="E25" s="18" t="n">
        <f aca="false">(Inputs!F23*(Inputs!F21/Inputs!F22)+Inputs!F24)*(C25^2/(2*9.81))</f>
        <v>3.65598340996603</v>
      </c>
      <c r="F25" s="18" t="n">
        <f aca="false">D25+E25</f>
        <v>6.35598340996604</v>
      </c>
      <c r="G25" s="18" t="n">
        <f aca="false">MAX(0,12-0.35*A25^2)</f>
        <v>0</v>
      </c>
      <c r="H25" s="18" t="n">
        <f aca="false">G25-F25</f>
        <v>-6.35598340996604</v>
      </c>
    </row>
    <row r="26" customFormat="false" ht="21" hidden="false" customHeight="true" outlineLevel="0" collapsed="false"/>
    <row r="27" customFormat="false" ht="21" hidden="false" customHeight="true" outlineLevel="0" collapsed="false"/>
    <row r="28" customFormat="false" ht="21" hidden="false" customHeight="true" outlineLevel="0" collapsed="false"/>
    <row r="29" customFormat="false" ht="21" hidden="false" customHeight="true" outlineLevel="0" collapsed="false"/>
    <row r="30" customFormat="false" ht="21" hidden="false" customHeight="true" outlineLevel="0" collapsed="false"/>
    <row r="31" customFormat="false" ht="21" hidden="false" customHeight="true" outlineLevel="0" collapsed="false"/>
    <row r="32" customFormat="false" ht="21" hidden="false" customHeight="true" outlineLevel="0" collapsed="false"/>
    <row r="33" customFormat="false" ht="21" hidden="false" customHeight="true" outlineLevel="0" collapsed="false"/>
    <row r="34" customFormat="false" ht="21" hidden="false" customHeight="true" outlineLevel="0" collapsed="false"/>
    <row r="35" customFormat="false" ht="21" hidden="false" customHeight="true" outlineLevel="0" collapsed="false"/>
    <row r="36" customFormat="false" ht="21" hidden="false" customHeight="true" outlineLevel="0" collapsed="false"/>
    <row r="37" customFormat="false" ht="21" hidden="false" customHeight="true" outlineLevel="0" collapsed="false"/>
    <row r="38" customFormat="false" ht="21" hidden="false" customHeight="true" outlineLevel="0" collapsed="false"/>
    <row r="39" customFormat="false" ht="21" hidden="false" customHeight="true" outlineLevel="0" collapsed="false"/>
    <row r="40" customFormat="false" ht="21" hidden="false" customHeight="true" outlineLevel="0" collapsed="false"/>
    <row r="41" customFormat="false" ht="21" hidden="false" customHeight="true" outlineLevel="0" collapsed="false"/>
    <row r="42" customFormat="false" ht="21" hidden="false" customHeight="true" outlineLevel="0" collapsed="false"/>
    <row r="43" customFormat="false" ht="21" hidden="false" customHeight="true" outlineLevel="0" collapsed="false"/>
    <row r="44" customFormat="false" ht="21" hidden="false" customHeight="true" outlineLevel="0" collapsed="false"/>
    <row r="45" customFormat="false" ht="21" hidden="false" customHeight="true" outlineLevel="0" collapsed="false"/>
    <row r="46" customFormat="false" ht="21" hidden="false" customHeight="true" outlineLevel="0" collapsed="false"/>
    <row r="47" customFormat="false" ht="21" hidden="false" customHeight="true" outlineLevel="0" collapsed="false"/>
    <row r="48" customFormat="false" ht="21" hidden="false" customHeight="true" outlineLevel="0" collapsed="false"/>
    <row r="49" customFormat="false" ht="21" hidden="false" customHeight="true" outlineLevel="0" collapsed="false"/>
    <row r="50" customFormat="false" ht="21" hidden="false" customHeight="true" outlineLevel="0" collapsed="false"/>
    <row r="51" customFormat="false" ht="21" hidden="false" customHeight="true" outlineLevel="0" collapsed="false"/>
    <row r="52" customFormat="false" ht="21" hidden="false" customHeight="true" outlineLevel="0" collapsed="false"/>
    <row r="53" customFormat="false" ht="21" hidden="false" customHeight="true" outlineLevel="0" collapsed="false"/>
    <row r="54" customFormat="false" ht="21" hidden="false" customHeight="true" outlineLevel="0" collapsed="false"/>
    <row r="55" customFormat="false" ht="21" hidden="false" customHeight="true" outlineLevel="0" collapsed="false"/>
    <row r="56" customFormat="false" ht="21" hidden="false" customHeight="true" outlineLevel="0" collapsed="false"/>
    <row r="57" customFormat="false" ht="21" hidden="false" customHeight="true" outlineLevel="0" collapsed="false"/>
    <row r="58" customFormat="false" ht="21" hidden="false" customHeight="true" outlineLevel="0" collapsed="false"/>
    <row r="59" customFormat="false" ht="21" hidden="false" customHeight="true" outlineLevel="0" collapsed="false"/>
    <row r="60" customFormat="false" ht="21" hidden="false" customHeight="true" outlineLevel="0" collapsed="false"/>
    <row r="61" customFormat="false" ht="21" hidden="false" customHeight="true" outlineLevel="0" collapsed="false"/>
    <row r="62" customFormat="false" ht="21" hidden="false" customHeight="true" outlineLevel="0" collapsed="false"/>
    <row r="63" customFormat="false" ht="21" hidden="false" customHeight="true" outlineLevel="0" collapsed="false"/>
    <row r="64" customFormat="false" ht="21" hidden="false" customHeight="true" outlineLevel="0" collapsed="false"/>
    <row r="65" customFormat="false" ht="21" hidden="false" customHeight="true" outlineLevel="0" collapsed="false"/>
    <row r="66" customFormat="false" ht="21" hidden="false" customHeight="true" outlineLevel="0" collapsed="false"/>
    <row r="67" customFormat="false" ht="21" hidden="false" customHeight="true" outlineLevel="0" collapsed="false"/>
    <row r="68" customFormat="false" ht="21" hidden="false" customHeight="true" outlineLevel="0" collapsed="false"/>
    <row r="69" customFormat="false" ht="21" hidden="false" customHeight="true" outlineLevel="0" collapsed="false"/>
    <row r="70" customFormat="false" ht="21" hidden="false" customHeight="true" outlineLevel="0" collapsed="false"/>
    <row r="71" customFormat="false" ht="21" hidden="false" customHeight="true" outlineLevel="0" collapsed="false"/>
    <row r="72" customFormat="false" ht="21" hidden="false" customHeight="true" outlineLevel="0" collapsed="false"/>
    <row r="73" customFormat="false" ht="21" hidden="false" customHeight="true" outlineLevel="0" collapsed="false"/>
    <row r="74" customFormat="false" ht="21" hidden="false" customHeight="true" outlineLevel="0" collapsed="false"/>
    <row r="75" customFormat="false" ht="21" hidden="false" customHeight="true" outlineLevel="0" collapsed="false"/>
    <row r="76" customFormat="false" ht="21" hidden="false" customHeight="true" outlineLevel="0" collapsed="false"/>
    <row r="77" customFormat="false" ht="21" hidden="false" customHeight="true" outlineLevel="0" collapsed="false"/>
    <row r="78" customFormat="false" ht="21" hidden="false" customHeight="true" outlineLevel="0" collapsed="false"/>
    <row r="79" customFormat="false" ht="21" hidden="false" customHeight="true" outlineLevel="0" collapsed="false"/>
  </sheetData>
  <mergeCells count="2">
    <mergeCell ref="A1:H1"/>
    <mergeCell ref="J4:N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.3"/>
    <col collapsed="false" customWidth="true" hidden="false" outlineLevel="0" max="6" min="3" style="0" width="4.3"/>
    <col collapsed="false" customWidth="true" hidden="false" outlineLevel="0" max="7" min="7" style="0" width="10.57"/>
    <col collapsed="false" customWidth="true" hidden="false" outlineLevel="0" max="8" min="8" style="0" width="5.71"/>
    <col collapsed="false" customWidth="true" hidden="false" outlineLevel="0" max="12" min="9" style="0" width="4.3"/>
    <col collapsed="false" customWidth="true" hidden="false" outlineLevel="0" max="13" min="13" style="0" width="12.51"/>
    <col collapsed="false" customWidth="true" hidden="false" outlineLevel="0" max="14" min="14" style="0" width="7.5"/>
    <col collapsed="false" customWidth="true" hidden="false" outlineLevel="0" max="18" min="15" style="0" width="4.3"/>
    <col collapsed="false" customWidth="true" hidden="false" outlineLevel="0" max="19" min="19" style="0" width="14.19"/>
    <col collapsed="false" customWidth="true" hidden="false" outlineLevel="0" max="20" min="20" style="0" width="8.21"/>
    <col collapsed="false" customWidth="true" hidden="false" outlineLevel="0" max="24" min="21" style="0" width="4.3"/>
    <col collapsed="false" customWidth="true" hidden="false" outlineLevel="0" max="25" min="25" style="0" width="13.22"/>
    <col collapsed="false" customWidth="true" hidden="false" outlineLevel="0" max="30" min="26" style="0" width="4.3"/>
  </cols>
  <sheetData>
    <row r="1" customFormat="false" ht="21" hidden="false" customHeight="true" outlineLevel="0" collapsed="false">
      <c r="A1" s="1" t="s">
        <v>140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customFormat="false" ht="21" hidden="false" customHeight="true" outlineLevel="0" collapsed="false"/>
    <row r="3" customFormat="false" ht="21" hidden="false" customHeight="true" outlineLevel="0" collapsed="false"/>
    <row r="4" customFormat="false" ht="21" hidden="false" customHeight="true" outlineLevel="0" collapsed="false"/>
    <row r="5" customFormat="false" ht="21" hidden="false" customHeight="true" outlineLevel="0" collapsed="false"/>
    <row r="6" customFormat="false" ht="21" hidden="false" customHeight="true" outlineLevel="0" collapsed="false">
      <c r="N6" s="19" t="s">
        <v>141</v>
      </c>
      <c r="O6" s="19"/>
      <c r="P6" s="19"/>
      <c r="Q6" s="19"/>
      <c r="R6" s="19"/>
    </row>
    <row r="7" customFormat="false" ht="21" hidden="false" customHeight="true" outlineLevel="0" collapsed="false">
      <c r="B7" s="20" t="s">
        <v>142</v>
      </c>
      <c r="C7" s="20"/>
      <c r="D7" s="20"/>
      <c r="E7" s="20"/>
      <c r="F7" s="20"/>
      <c r="H7" s="21" t="s">
        <v>143</v>
      </c>
      <c r="I7" s="21"/>
      <c r="J7" s="21"/>
      <c r="K7" s="21"/>
      <c r="L7" s="21"/>
      <c r="N7" s="19"/>
      <c r="O7" s="19"/>
      <c r="P7" s="19"/>
      <c r="Q7" s="19"/>
      <c r="R7" s="19"/>
      <c r="T7" s="22" t="s">
        <v>144</v>
      </c>
      <c r="U7" s="22"/>
      <c r="V7" s="22"/>
      <c r="W7" s="22"/>
      <c r="X7" s="22"/>
      <c r="Z7" s="23" t="s">
        <v>145</v>
      </c>
      <c r="AA7" s="23"/>
      <c r="AB7" s="23"/>
      <c r="AC7" s="23"/>
      <c r="AD7" s="23"/>
    </row>
    <row r="8" customFormat="false" ht="21" hidden="false" customHeight="true" outlineLevel="0" collapsed="false">
      <c r="B8" s="20"/>
      <c r="C8" s="20"/>
      <c r="D8" s="20"/>
      <c r="E8" s="20"/>
      <c r="F8" s="20"/>
      <c r="H8" s="21"/>
      <c r="I8" s="21"/>
      <c r="J8" s="21"/>
      <c r="K8" s="21"/>
      <c r="L8" s="21"/>
      <c r="N8" s="19"/>
      <c r="O8" s="19"/>
      <c r="P8" s="19"/>
      <c r="Q8" s="19"/>
      <c r="R8" s="19"/>
      <c r="T8" s="22"/>
      <c r="U8" s="22"/>
      <c r="V8" s="22"/>
      <c r="W8" s="22"/>
      <c r="X8" s="22"/>
      <c r="Z8" s="23"/>
      <c r="AA8" s="23"/>
      <c r="AB8" s="23"/>
      <c r="AC8" s="23"/>
      <c r="AD8" s="23"/>
    </row>
    <row r="9" customFormat="false" ht="21" hidden="false" customHeight="true" outlineLevel="0" collapsed="false">
      <c r="B9" s="20"/>
      <c r="C9" s="20"/>
      <c r="D9" s="20"/>
      <c r="E9" s="20"/>
      <c r="F9" s="20"/>
      <c r="G9" s="24" t="s">
        <v>146</v>
      </c>
      <c r="H9" s="21"/>
      <c r="I9" s="21"/>
      <c r="J9" s="21"/>
      <c r="K9" s="21"/>
      <c r="L9" s="21"/>
      <c r="M9" s="24" t="s">
        <v>146</v>
      </c>
      <c r="N9" s="19"/>
      <c r="O9" s="19"/>
      <c r="P9" s="19"/>
      <c r="Q9" s="19"/>
      <c r="R9" s="19"/>
      <c r="S9" s="24" t="s">
        <v>147</v>
      </c>
      <c r="T9" s="22"/>
      <c r="U9" s="22"/>
      <c r="V9" s="22"/>
      <c r="W9" s="22"/>
      <c r="X9" s="22"/>
      <c r="Y9" s="24" t="s">
        <v>148</v>
      </c>
      <c r="Z9" s="23"/>
      <c r="AA9" s="23"/>
      <c r="AB9" s="23"/>
      <c r="AC9" s="23"/>
      <c r="AD9" s="23"/>
    </row>
    <row r="10" customFormat="false" ht="21" hidden="false" customHeight="true" outlineLevel="0" collapsed="false">
      <c r="B10" s="20"/>
      <c r="C10" s="20"/>
      <c r="D10" s="20"/>
      <c r="E10" s="20"/>
      <c r="F10" s="20"/>
      <c r="G10" s="25" t="e">
        <f aca="false">&gt;</f>
        <v>#VALUE!</v>
      </c>
      <c r="H10" s="21"/>
      <c r="I10" s="21"/>
      <c r="J10" s="21"/>
      <c r="K10" s="21"/>
      <c r="L10" s="21"/>
      <c r="M10" s="25" t="e">
        <f aca="false">&gt;</f>
        <v>#VALUE!</v>
      </c>
      <c r="N10" s="19"/>
      <c r="O10" s="19"/>
      <c r="P10" s="19"/>
      <c r="Q10" s="19"/>
      <c r="R10" s="19"/>
      <c r="S10" s="25" t="e">
        <f aca="false">&gt;</f>
        <v>#VALUE!</v>
      </c>
      <c r="T10" s="22"/>
      <c r="U10" s="22"/>
      <c r="V10" s="22"/>
      <c r="W10" s="22"/>
      <c r="X10" s="22"/>
      <c r="Y10" s="25" t="e">
        <f aca="false">&gt;</f>
        <v>#VALUE!</v>
      </c>
      <c r="Z10" s="23"/>
      <c r="AA10" s="23"/>
      <c r="AB10" s="23"/>
      <c r="AC10" s="23"/>
      <c r="AD10" s="23"/>
    </row>
    <row r="11" customFormat="false" ht="21" hidden="false" customHeight="true" outlineLevel="0" collapsed="false">
      <c r="B11" s="20"/>
      <c r="C11" s="20"/>
      <c r="D11" s="20"/>
      <c r="E11" s="20"/>
      <c r="F11" s="20"/>
      <c r="H11" s="21"/>
      <c r="I11" s="21"/>
      <c r="J11" s="21"/>
      <c r="K11" s="21"/>
      <c r="L11" s="21"/>
      <c r="N11" s="19"/>
      <c r="O11" s="19"/>
      <c r="P11" s="19"/>
      <c r="Q11" s="19"/>
      <c r="R11" s="19"/>
      <c r="T11" s="22"/>
      <c r="U11" s="22"/>
      <c r="V11" s="22"/>
      <c r="W11" s="22"/>
      <c r="X11" s="22"/>
      <c r="Z11" s="23"/>
      <c r="AA11" s="23"/>
      <c r="AB11" s="23"/>
      <c r="AC11" s="23"/>
      <c r="AD11" s="23"/>
    </row>
    <row r="12" customFormat="false" ht="21" hidden="false" customHeight="true" outlineLevel="0" collapsed="false">
      <c r="B12" s="20"/>
      <c r="C12" s="20"/>
      <c r="D12" s="20"/>
      <c r="E12" s="20"/>
      <c r="F12" s="20"/>
      <c r="H12" s="21"/>
      <c r="I12" s="21"/>
      <c r="J12" s="21"/>
      <c r="K12" s="21"/>
      <c r="L12" s="21"/>
      <c r="N12" s="19"/>
      <c r="O12" s="19"/>
      <c r="P12" s="19"/>
      <c r="Q12" s="19"/>
      <c r="R12" s="19"/>
      <c r="T12" s="22"/>
      <c r="U12" s="22"/>
      <c r="V12" s="22"/>
      <c r="W12" s="22"/>
      <c r="X12" s="22"/>
      <c r="Z12" s="23"/>
      <c r="AA12" s="23"/>
      <c r="AB12" s="23"/>
      <c r="AC12" s="23"/>
      <c r="AD12" s="23"/>
    </row>
    <row r="13" customFormat="false" ht="21" hidden="false" customHeight="true" outlineLevel="0" collapsed="false">
      <c r="B13" s="20"/>
      <c r="C13" s="20"/>
      <c r="D13" s="20"/>
      <c r="E13" s="20"/>
      <c r="F13" s="20"/>
      <c r="H13" s="21"/>
      <c r="I13" s="21"/>
      <c r="J13" s="21"/>
      <c r="K13" s="21"/>
      <c r="L13" s="21"/>
      <c r="N13" s="19"/>
      <c r="O13" s="19"/>
      <c r="P13" s="19"/>
      <c r="Q13" s="19"/>
      <c r="R13" s="19"/>
      <c r="T13" s="22"/>
      <c r="U13" s="22"/>
      <c r="V13" s="22"/>
      <c r="W13" s="22"/>
      <c r="X13" s="22"/>
      <c r="Z13" s="23"/>
      <c r="AA13" s="23"/>
      <c r="AB13" s="23"/>
      <c r="AC13" s="23"/>
      <c r="AD13" s="23"/>
    </row>
    <row r="14" customFormat="false" ht="21" hidden="false" customHeight="true" outlineLevel="0" collapsed="false">
      <c r="B14" s="20"/>
      <c r="C14" s="20"/>
      <c r="D14" s="20"/>
      <c r="E14" s="20"/>
      <c r="F14" s="20"/>
      <c r="H14" s="21"/>
      <c r="I14" s="21"/>
      <c r="J14" s="21"/>
      <c r="K14" s="21"/>
      <c r="L14" s="21"/>
      <c r="N14" s="19"/>
      <c r="O14" s="19"/>
      <c r="P14" s="19"/>
      <c r="Q14" s="19"/>
      <c r="R14" s="19"/>
      <c r="T14" s="22"/>
      <c r="U14" s="22"/>
      <c r="V14" s="22"/>
      <c r="W14" s="22"/>
      <c r="X14" s="22"/>
      <c r="Z14" s="23"/>
      <c r="AA14" s="23"/>
      <c r="AB14" s="23"/>
      <c r="AC14" s="23"/>
      <c r="AD14" s="23"/>
    </row>
    <row r="15" customFormat="false" ht="21" hidden="false" customHeight="true" outlineLevel="0" collapsed="false">
      <c r="N15" s="19"/>
      <c r="O15" s="19"/>
      <c r="P15" s="19"/>
      <c r="Q15" s="19"/>
      <c r="R15" s="19"/>
    </row>
    <row r="16" customFormat="false" ht="21" hidden="false" customHeight="true" outlineLevel="0" collapsed="false">
      <c r="N16" s="19"/>
      <c r="O16" s="19"/>
      <c r="P16" s="19"/>
      <c r="Q16" s="19"/>
      <c r="R16" s="19"/>
    </row>
    <row r="17" customFormat="false" ht="21" hidden="false" customHeight="true" outlineLevel="0" collapsed="false">
      <c r="B17" s="26" t="s">
        <v>149</v>
      </c>
      <c r="C17" s="26"/>
      <c r="D17" s="26"/>
      <c r="H17" s="27" t="s">
        <v>150</v>
      </c>
      <c r="I17" s="27"/>
      <c r="J17" s="27"/>
      <c r="T17" s="28" t="s">
        <v>151</v>
      </c>
      <c r="U17" s="28"/>
      <c r="V17" s="28"/>
    </row>
    <row r="18" customFormat="false" ht="21" hidden="false" customHeight="true" outlineLevel="0" collapsed="false">
      <c r="B18" s="29" t="n">
        <f aca="false">Inputs!B5</f>
        <v>7600</v>
      </c>
      <c r="C18" s="0" t="s">
        <v>152</v>
      </c>
      <c r="H18" s="29" t="n">
        <f aca="false">Inputs!B22</f>
        <v>1.5</v>
      </c>
      <c r="I18" s="0" t="s">
        <v>60</v>
      </c>
      <c r="N18" s="30" t="s">
        <v>153</v>
      </c>
      <c r="O18" s="30"/>
      <c r="P18" s="30"/>
      <c r="T18" s="29" t="n">
        <f aca="false">Inputs!F19</f>
        <v>103</v>
      </c>
      <c r="U18" s="0" t="s">
        <v>8</v>
      </c>
    </row>
    <row r="19" customFormat="false" ht="21" hidden="false" customHeight="true" outlineLevel="0" collapsed="false">
      <c r="N19" s="29" t="n">
        <f aca="false">Inputs!F8</f>
        <v>100.9</v>
      </c>
      <c r="O19" s="0" t="s">
        <v>8</v>
      </c>
      <c r="T19" s="28" t="s">
        <v>154</v>
      </c>
      <c r="U19" s="28"/>
      <c r="V19" s="28"/>
    </row>
    <row r="20" customFormat="false" ht="21" hidden="false" customHeight="true" outlineLevel="0" collapsed="false">
      <c r="N20" s="30" t="s">
        <v>155</v>
      </c>
      <c r="O20" s="30"/>
      <c r="P20" s="30"/>
      <c r="T20" s="29" t="n">
        <f aca="false">Inputs!F22</f>
        <v>0.075</v>
      </c>
      <c r="U20" s="0" t="s">
        <v>8</v>
      </c>
    </row>
    <row r="21" customFormat="false" ht="21" hidden="false" customHeight="true" outlineLevel="0" collapsed="false">
      <c r="N21" s="29" t="n">
        <f aca="false">Inputs!F7</f>
        <v>100.3</v>
      </c>
      <c r="O21" s="0" t="s">
        <v>8</v>
      </c>
      <c r="T21" s="28" t="s">
        <v>57</v>
      </c>
      <c r="U21" s="28"/>
      <c r="V21" s="28"/>
    </row>
    <row r="22" customFormat="false" ht="21" hidden="false" customHeight="true" outlineLevel="0" collapsed="false">
      <c r="N22" s="30" t="s">
        <v>156</v>
      </c>
      <c r="O22" s="30"/>
      <c r="P22" s="30"/>
      <c r="T22" s="29" t="n">
        <f aca="false">Inputs!F21</f>
        <v>30</v>
      </c>
      <c r="U22" s="0" t="s">
        <v>8</v>
      </c>
    </row>
    <row r="23" customFormat="false" ht="21" hidden="false" customHeight="true" outlineLevel="0" collapsed="false">
      <c r="N23" s="29" t="n">
        <f aca="false">Inputs!F6</f>
        <v>100</v>
      </c>
      <c r="O23" s="0" t="s">
        <v>8</v>
      </c>
    </row>
    <row r="24" customFormat="false" ht="21" hidden="false" customHeight="true" outlineLevel="0" collapsed="false"/>
    <row r="25" customFormat="false" ht="21" hidden="false" customHeight="true" outlineLevel="0" collapsed="false"/>
    <row r="26" customFormat="false" ht="21" hidden="false" customHeight="true" outlineLevel="0" collapsed="false"/>
    <row r="27" customFormat="false" ht="21" hidden="false" customHeight="true" outlineLevel="0" collapsed="false"/>
    <row r="28" customFormat="false" ht="21" hidden="false" customHeight="true" outlineLevel="0" collapsed="false"/>
    <row r="29" customFormat="false" ht="21" hidden="false" customHeight="true" outlineLevel="0" collapsed="false"/>
    <row r="30" customFormat="false" ht="21" hidden="false" customHeight="true" outlineLevel="0" collapsed="false"/>
    <row r="31" customFormat="false" ht="21" hidden="false" customHeight="true" outlineLevel="0" collapsed="false"/>
    <row r="32" customFormat="false" ht="21" hidden="false" customHeight="true" outlineLevel="0" collapsed="false"/>
    <row r="33" customFormat="false" ht="21" hidden="false" customHeight="true" outlineLevel="0" collapsed="false"/>
    <row r="34" customFormat="false" ht="21" hidden="false" customHeight="true" outlineLevel="0" collapsed="false"/>
    <row r="35" customFormat="false" ht="21" hidden="false" customHeight="true" outlineLevel="0" collapsed="false"/>
    <row r="36" customFormat="false" ht="21" hidden="false" customHeight="true" outlineLevel="0" collapsed="false"/>
    <row r="37" customFormat="false" ht="21" hidden="false" customHeight="true" outlineLevel="0" collapsed="false"/>
    <row r="38" customFormat="false" ht="21" hidden="false" customHeight="true" outlineLevel="0" collapsed="false"/>
    <row r="39" customFormat="false" ht="21" hidden="false" customHeight="true" outlineLevel="0" collapsed="false"/>
    <row r="40" customFormat="false" ht="21" hidden="false" customHeight="true" outlineLevel="0" collapsed="false"/>
    <row r="41" customFormat="false" ht="21" hidden="false" customHeight="true" outlineLevel="0" collapsed="false"/>
    <row r="42" customFormat="false" ht="21" hidden="false" customHeight="true" outlineLevel="0" collapsed="false"/>
    <row r="43" customFormat="false" ht="21" hidden="false" customHeight="true" outlineLevel="0" collapsed="false"/>
    <row r="44" customFormat="false" ht="21" hidden="false" customHeight="true" outlineLevel="0" collapsed="false"/>
    <row r="45" customFormat="false" ht="21" hidden="false" customHeight="true" outlineLevel="0" collapsed="false"/>
    <row r="46" customFormat="false" ht="21" hidden="false" customHeight="true" outlineLevel="0" collapsed="false"/>
    <row r="47" customFormat="false" ht="21" hidden="false" customHeight="true" outlineLevel="0" collapsed="false"/>
    <row r="48" customFormat="false" ht="21" hidden="false" customHeight="true" outlineLevel="0" collapsed="false"/>
    <row r="49" customFormat="false" ht="21" hidden="false" customHeight="true" outlineLevel="0" collapsed="false"/>
    <row r="50" customFormat="false" ht="21" hidden="false" customHeight="true" outlineLevel="0" collapsed="false"/>
    <row r="51" customFormat="false" ht="21" hidden="false" customHeight="true" outlineLevel="0" collapsed="false"/>
    <row r="52" customFormat="false" ht="21" hidden="false" customHeight="true" outlineLevel="0" collapsed="false"/>
    <row r="53" customFormat="false" ht="21" hidden="false" customHeight="true" outlineLevel="0" collapsed="false"/>
    <row r="54" customFormat="false" ht="21" hidden="false" customHeight="true" outlineLevel="0" collapsed="false"/>
    <row r="55" customFormat="false" ht="21" hidden="false" customHeight="true" outlineLevel="0" collapsed="false"/>
    <row r="56" customFormat="false" ht="21" hidden="false" customHeight="true" outlineLevel="0" collapsed="false"/>
    <row r="57" customFormat="false" ht="21" hidden="false" customHeight="true" outlineLevel="0" collapsed="false"/>
    <row r="58" customFormat="false" ht="21" hidden="false" customHeight="true" outlineLevel="0" collapsed="false"/>
    <row r="59" customFormat="false" ht="21" hidden="false" customHeight="true" outlineLevel="0" collapsed="false"/>
    <row r="60" customFormat="false" ht="21" hidden="false" customHeight="true" outlineLevel="0" collapsed="false"/>
    <row r="61" customFormat="false" ht="21" hidden="false" customHeight="true" outlineLevel="0" collapsed="false"/>
    <row r="62" customFormat="false" ht="21" hidden="false" customHeight="true" outlineLevel="0" collapsed="false"/>
    <row r="63" customFormat="false" ht="21" hidden="false" customHeight="true" outlineLevel="0" collapsed="false"/>
    <row r="64" customFormat="false" ht="21" hidden="false" customHeight="true" outlineLevel="0" collapsed="false"/>
    <row r="65" customFormat="false" ht="21" hidden="false" customHeight="true" outlineLevel="0" collapsed="false"/>
    <row r="66" customFormat="false" ht="21" hidden="false" customHeight="true" outlineLevel="0" collapsed="false"/>
    <row r="67" customFormat="false" ht="21" hidden="false" customHeight="true" outlineLevel="0" collapsed="false"/>
    <row r="68" customFormat="false" ht="21" hidden="false" customHeight="true" outlineLevel="0" collapsed="false"/>
    <row r="69" customFormat="false" ht="21" hidden="false" customHeight="true" outlineLevel="0" collapsed="false"/>
    <row r="70" customFormat="false" ht="21" hidden="false" customHeight="true" outlineLevel="0" collapsed="false"/>
    <row r="71" customFormat="false" ht="21" hidden="false" customHeight="true" outlineLevel="0" collapsed="false"/>
    <row r="72" customFormat="false" ht="21" hidden="false" customHeight="true" outlineLevel="0" collapsed="false"/>
    <row r="73" customFormat="false" ht="21" hidden="false" customHeight="true" outlineLevel="0" collapsed="false"/>
    <row r="74" customFormat="false" ht="21" hidden="false" customHeight="true" outlineLevel="0" collapsed="false"/>
    <row r="75" customFormat="false" ht="21" hidden="false" customHeight="true" outlineLevel="0" collapsed="false"/>
    <row r="76" customFormat="false" ht="21" hidden="false" customHeight="true" outlineLevel="0" collapsed="false"/>
    <row r="77" customFormat="false" ht="21" hidden="false" customHeight="true" outlineLevel="0" collapsed="false"/>
    <row r="78" customFormat="false" ht="21" hidden="false" customHeight="true" outlineLevel="0" collapsed="false"/>
    <row r="79" customFormat="false" ht="21" hidden="false" customHeight="true" outlineLevel="0" collapsed="false"/>
  </sheetData>
  <mergeCells count="14">
    <mergeCell ref="A1:AD1"/>
    <mergeCell ref="N6:R16"/>
    <mergeCell ref="B7:F14"/>
    <mergeCell ref="H7:L14"/>
    <mergeCell ref="T7:X14"/>
    <mergeCell ref="Z7:AD14"/>
    <mergeCell ref="B17:D17"/>
    <mergeCell ref="H17:J17"/>
    <mergeCell ref="T17:V17"/>
    <mergeCell ref="N18:P18"/>
    <mergeCell ref="T19:V19"/>
    <mergeCell ref="N20:P20"/>
    <mergeCell ref="T21:V21"/>
    <mergeCell ref="N22:P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2026-05-26T12:23:39Z</dcterms:created>
  <dc:creator>openpyxl</dc:creator>
  <dc:description/>
  <dc:language>en-CA</dc:language>
  <cp:lastModifiedBy/>
  <dcterms:modified xsi:type="dcterms:W3CDTF">2026-06-09T05:30:15Z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