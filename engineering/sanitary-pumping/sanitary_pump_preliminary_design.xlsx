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Inputs" sheetId="1" state="visible" r:id="rId1"/>
    <sheet name="Design Summary" sheetId="2" state="visible" r:id="rId2"/>
    <sheet name="Pump Curve" sheetId="3" state="visible" r:id="rId3"/>
    <sheet name="Croquis" sheetId="4" state="visible" r:id="rId4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[&lt;1]0.000;0.00"/>
  </numFmts>
  <fonts count="1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5"/>
    </font>
    <font>
      <name val="Cambria"/>
      <charset val="1"/>
      <family val="0"/>
      <i val="1"/>
      <color rgb="FF666666"/>
      <sz val="11"/>
    </font>
    <font>
      <name val="Cambria"/>
      <charset val="1"/>
      <family val="0"/>
      <b val="1"/>
      <color rgb="FFFFFFFF"/>
      <sz val="11"/>
    </font>
    <font>
      <name val="Cambria"/>
      <charset val="1"/>
      <family val="0"/>
      <sz val="11"/>
    </font>
    <font>
      <name val="Arial"/>
      <family val="2"/>
      <sz val="10"/>
    </font>
    <font>
      <name val="Cambria"/>
      <charset val="1"/>
      <family val="0"/>
      <b val="1"/>
      <sz val="11"/>
    </font>
    <font>
      <name val="Cambria"/>
      <charset val="1"/>
      <family val="0"/>
      <i val="1"/>
      <sz val="11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mbria"/>
      <charset val="1"/>
      <family val="0"/>
      <b val="1"/>
      <color rgb="FF0070C0"/>
      <sz val="11"/>
    </font>
    <font>
      <name val="Cambria"/>
      <charset val="1"/>
      <family val="0"/>
      <b val="1"/>
      <color rgb="FF0070C0"/>
      <sz val="14"/>
    </font>
  </fonts>
  <fills count="12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48235"/>
        <bgColor rgb="FF666666"/>
      </patternFill>
    </fill>
    <fill>
      <patternFill patternType="solid">
        <fgColor rgb="FFFFF2CC"/>
        <bgColor rgb="FFFCE4D6"/>
      </patternFill>
    </fill>
    <fill>
      <patternFill patternType="solid">
        <fgColor rgb="FFC65911"/>
        <bgColor rgb="FFBE4B48"/>
      </patternFill>
    </fill>
    <fill>
      <patternFill patternType="solid">
        <fgColor rgb="FFE2F0D9"/>
        <bgColor rgb="FFDDEBF7"/>
      </patternFill>
    </fill>
    <fill>
      <patternFill patternType="solid">
        <fgColor rgb="FF7F6000"/>
        <bgColor rgb="FF666666"/>
      </patternFill>
    </fill>
    <fill>
      <patternFill patternType="solid">
        <fgColor rgb="FFD9EAF7"/>
        <bgColor rgb="FFDDEBF7"/>
      </patternFill>
    </fill>
    <fill>
      <patternFill patternType="solid">
        <fgColor rgb="FFFCE4D6"/>
        <bgColor rgb="FFFFF2CC"/>
      </patternFill>
    </fill>
    <fill>
      <patternFill patternType="solid">
        <fgColor rgb="FFEADCF8"/>
        <bgColor rgb="FFDDEBF7"/>
      </patternFill>
    </fill>
    <fill>
      <patternFill patternType="solid">
        <fgColor rgb="FFDDEBF7"/>
        <bgColor rgb="FFD9EAF7"/>
      </patternFill>
    </fill>
  </fills>
  <borders count="11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 style="thin">
        <color rgb="FF777777"/>
      </top>
      <bottom style="thin">
        <color rgb="FF777777"/>
      </bottom>
      <diagonal/>
    </border>
    <border>
      <left/>
      <right/>
      <top style="thin">
        <color rgb="FF777777"/>
      </top>
      <bottom/>
      <diagonal/>
    </border>
    <border>
      <left/>
      <right/>
      <top style="thin">
        <color rgb="FF777777"/>
      </top>
      <bottom style="thin">
        <color rgb="FF777777"/>
      </bottom>
      <diagonal/>
    </border>
    <border>
      <left style="thin">
        <color rgb="FF777777"/>
      </left>
      <right/>
      <top/>
      <bottom/>
      <diagonal/>
    </border>
    <border>
      <left/>
      <right style="thin">
        <color rgb="FF777777"/>
      </right>
      <top style="thin">
        <color rgb="FF777777"/>
      </top>
      <bottom/>
      <diagonal/>
    </border>
    <border>
      <left/>
      <right style="thin">
        <color rgb="FF777777"/>
      </right>
      <top/>
      <bottom/>
      <diagonal/>
    </border>
    <border>
      <left style="thin">
        <color rgb="FF777777"/>
      </left>
      <right/>
      <top/>
      <bottom style="thin">
        <color rgb="FF777777"/>
      </bottom>
      <diagonal/>
    </border>
    <border>
      <left/>
      <right/>
      <top/>
      <bottom style="thin">
        <color rgb="FF777777"/>
      </bottom>
      <diagonal/>
    </border>
    <border>
      <left/>
      <right style="thin">
        <color rgb="FF777777"/>
      </right>
      <top/>
      <bottom style="thin">
        <color rgb="FF77777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49" fontId="0" fillId="6" borderId="2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top" wrapText="1"/>
    </xf>
    <xf numFmtId="2" fontId="0" fillId="0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center" wrapText="1"/>
    </xf>
    <xf numFmtId="0" fontId="9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9" fillId="6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10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6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2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center" wrapText="1"/>
    </xf>
    <xf numFmtId="2" fontId="0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2" fontId="0" fillId="6" borderId="1" applyAlignment="1" pivotButton="0" quotePrefix="0" xfId="0">
      <alignment horizontal="center" vertical="center" wrapText="1"/>
    </xf>
    <xf numFmtId="164" fontId="0" fillId="6" borderId="1" applyAlignment="1" pivotButton="0" quotePrefix="0" xfId="0">
      <alignment horizontal="center" vertical="center" wrapText="1"/>
    </xf>
    <xf numFmtId="49" fontId="0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49" fontId="0" fillId="6" borderId="2" applyAlignment="1" pivotButton="0" quotePrefix="0" xfId="0">
      <alignment horizontal="center" vertical="center" wrapText="1"/>
    </xf>
    <xf numFmtId="0" fontId="0" fillId="0" borderId="4" pivotButton="0" quotePrefix="0" xfId="0"/>
    <xf numFmtId="0" fontId="6" fillId="2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10" fillId="0" borderId="0" applyAlignment="1" pivotButton="0" quotePrefix="0" xfId="0">
      <alignment horizontal="center" vertical="bottom"/>
    </xf>
    <xf numFmtId="2" fontId="0" fillId="0" borderId="1" applyAlignment="1" pivotButton="0" quotePrefix="0" xfId="0">
      <alignment horizontal="general" vertical="bottom"/>
    </xf>
    <xf numFmtId="164" fontId="0" fillId="0" borderId="1" applyAlignment="1" pivotButton="0" quotePrefix="0" xfId="0">
      <alignment horizontal="general" vertical="bottom"/>
    </xf>
    <xf numFmtId="0" fontId="9" fillId="8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6" pivotButton="0" quotePrefix="0" xfId="0"/>
    <xf numFmtId="0" fontId="9" fillId="6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7" pivotButton="0" quotePrefix="0" xfId="0"/>
    <xf numFmtId="0" fontId="9" fillId="10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center" vertical="bottom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9" fillId="6" borderId="0" applyAlignment="1" pivotButton="0" quotePrefix="0" xfId="0">
      <alignment horizontal="general" vertical="bottom"/>
    </xf>
    <xf numFmtId="0" fontId="9" fillId="9" borderId="0" applyAlignment="1" pivotButton="0" quotePrefix="0" xfId="0">
      <alignment horizontal="general" vertical="bottom"/>
    </xf>
    <xf numFmtId="0" fontId="9" fillId="10" borderId="0" applyAlignment="1" pivotButton="0" quotePrefix="0" xfId="0">
      <alignment horizontal="general" vertical="bottom"/>
    </xf>
    <xf numFmtId="2" fontId="0" fillId="4" borderId="0" applyAlignment="1" pivotButton="0" quotePrefix="0" xfId="0">
      <alignment horizontal="general" vertical="bottom"/>
    </xf>
    <xf numFmtId="0" fontId="9" fillId="8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EADCF8"/>
      <rgbColor rgb="FF878787"/>
      <rgbColor rgb="FF9999FF"/>
      <rgbColor rgb="FFBE4B48"/>
      <rgbColor rgb="FFFFF2CC"/>
      <rgbColor rgb="FFD9EAF7"/>
      <rgbColor rgb="FF660066"/>
      <rgbColor rgb="FFFF8080"/>
      <rgbColor rgb="FF0070C0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EBF7"/>
      <rgbColor rgb="FFE2F0D9"/>
      <rgbColor rgb="FFFFFF99"/>
      <rgbColor rgb="FF99CCFF"/>
      <rgbColor rgb="FFFF99CC"/>
      <rgbColor rgb="FFCC99FF"/>
      <rgbColor rgb="FFFCE4D6"/>
      <rgbColor rgb="FF4A7EBB"/>
      <rgbColor rgb="FF33CCCC"/>
      <rgbColor rgb="FF99CC00"/>
      <rgbColor rgb="FFFFCC00"/>
      <rgbColor rgb="FFFF9900"/>
      <rgbColor rgb="FFC65911"/>
      <rgbColor rgb="FF666666"/>
      <rgbColor rgb="FF777777"/>
      <rgbColor rgb="FF003366"/>
      <rgbColor rgb="FF548235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System Curve vs Trial Pump Curve</a:t>
            </a:r>
          </a:p>
        </rich>
      </tx>
      <overlay val="0"/>
      <spPr>
        <a:noFill/>
        <a:ln w="0">
          <a:noFill/>
          <a:prstDash val="solid"/>
        </a:ln>
      </spPr>
    </title>
    <plotArea>
      <scatterChart>
        <scatterStyle val="line"/>
        <varyColors val="0"/>
        <ser>
          <idx val="0"/>
          <order val="0"/>
          <tx>
            <strRef>
              <f>"System TDH"</f>
              <strCache>
                <ptCount val="1"/>
                <pt idx="0">
                  <v>System TDH</v>
                </pt>
              </strCache>
            </strRef>
          </tx>
          <spPr>
            <a:solidFill>
              <a:srgbClr val="4a7ebb"/>
            </a:solidFill>
            <a:ln w="28440">
              <a:solidFill>
                <a:srgbClr val="4a7ebb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'Pump Curve'!$A$5:$A$25</f>
              <numCache>
                <formatCode>0.00</formatCode>
                <ptCount val="21"/>
                <pt idx="0">
                  <v>0</v>
                </pt>
                <pt idx="1">
                  <v>0.5</v>
                </pt>
                <pt idx="2">
                  <v>1</v>
                </pt>
                <pt idx="3">
                  <v>1.5</v>
                </pt>
                <pt idx="4">
                  <v>2</v>
                </pt>
                <pt idx="5">
                  <v>2.5</v>
                </pt>
                <pt idx="6">
                  <v>3</v>
                </pt>
                <pt idx="7">
                  <v>3.5</v>
                </pt>
                <pt idx="8">
                  <v>4</v>
                </pt>
                <pt idx="9">
                  <v>4.5</v>
                </pt>
                <pt idx="10">
                  <v>5</v>
                </pt>
                <pt idx="11">
                  <v>5.5</v>
                </pt>
                <pt idx="12">
                  <v>6</v>
                </pt>
                <pt idx="13">
                  <v>6.5</v>
                </pt>
                <pt idx="14">
                  <v>7</v>
                </pt>
                <pt idx="15">
                  <v>7.5</v>
                </pt>
                <pt idx="16">
                  <v>8</v>
                </pt>
                <pt idx="17">
                  <v>8.5</v>
                </pt>
                <pt idx="18">
                  <v>9</v>
                </pt>
                <pt idx="19">
                  <v>9.5</v>
                </pt>
                <pt idx="20">
                  <v>10</v>
                </pt>
              </numCache>
            </numRef>
          </xVal>
          <yVal>
            <numRef>
              <f>'Pump Curve'!$F$5:$F$25</f>
              <numCache>
                <formatCode>0.00</formatCode>
                <ptCount val="21"/>
                <pt idx="0">
                  <v>2.7</v>
                </pt>
                <pt idx="1">
                  <v>2.70913995852492</v>
                </pt>
                <pt idx="2">
                  <v>2.73655983409966</v>
                </pt>
                <pt idx="3">
                  <v>2.78225962672424</v>
                </pt>
                <pt idx="4">
                  <v>2.84623933639864</v>
                </pt>
                <pt idx="5">
                  <v>2.92849896312288</v>
                </pt>
                <pt idx="6">
                  <v>3.02903850689695</v>
                </pt>
                <pt idx="7">
                  <v>3.14785796772084</v>
                </pt>
                <pt idx="8">
                  <v>3.28495734559457</v>
                </pt>
                <pt idx="9">
                  <v>3.44033664051812</v>
                </pt>
                <pt idx="10">
                  <v>3.61399585249151</v>
                </pt>
                <pt idx="11">
                  <v>3.80593498151473</v>
                </pt>
                <pt idx="12">
                  <v>4.01615402758777</v>
                </pt>
                <pt idx="13">
                  <v>4.24465299071065</v>
                </pt>
                <pt idx="14">
                  <v>4.49143187088336</v>
                </pt>
                <pt idx="15">
                  <v>4.7564906681059</v>
                </pt>
                <pt idx="16">
                  <v>5.03982938237826</v>
                </pt>
                <pt idx="17">
                  <v>5.34144801370046</v>
                </pt>
                <pt idx="18">
                  <v>5.66134656207249</v>
                </pt>
                <pt idx="19">
                  <v>5.99952502749435</v>
                </pt>
                <pt idx="20">
                  <v>6.35598340996604</v>
                </pt>
              </numCache>
            </numRef>
          </yVal>
          <smooth val="1"/>
        </ser>
        <ser>
          <idx val="1"/>
          <order val="1"/>
          <tx>
            <strRef>
              <f>"Trial pump head"</f>
              <strCache>
                <ptCount val="1"/>
                <pt idx="0">
                  <v>Trial pump head</v>
                </pt>
              </strCache>
            </strRef>
          </tx>
          <spPr>
            <a:solidFill>
              <a:srgbClr val="be4b48"/>
            </a:solidFill>
            <a:ln w="28440">
              <a:solidFill>
                <a:srgbClr val="be4b48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dLbls>
            <txPr>
              <a:bodyPr/>
              <a:lstStyle/>
              <a:p>
                <a:pPr>
                  <a:defRPr sz="1000" b="0" strike="noStrike">
                    <a:uFillTx/>
                    <a:latin typeface="Arial"/>
                  </a:defRPr>
                </a:pPr>
                <a:r>
                  <a:t/>
                </a:r>
              </a:p>
            </txPr>
            <showLegendKey val="0"/>
            <showVal val="0"/>
            <showCatName val="0"/>
            <showSerName val="0"/>
            <showPercent val="0"/>
            <showLeaderLines val="1"/>
          </dLbls>
          <xVal>
            <numRef>
              <f>'Pump Curve'!$A$5:$A$25</f>
              <numCache>
                <formatCode>0.00</formatCode>
                <ptCount val="21"/>
                <pt idx="0">
                  <v>0</v>
                </pt>
                <pt idx="1">
                  <v>0.5</v>
                </pt>
                <pt idx="2">
                  <v>1</v>
                </pt>
                <pt idx="3">
                  <v>1.5</v>
                </pt>
                <pt idx="4">
                  <v>2</v>
                </pt>
                <pt idx="5">
                  <v>2.5</v>
                </pt>
                <pt idx="6">
                  <v>3</v>
                </pt>
                <pt idx="7">
                  <v>3.5</v>
                </pt>
                <pt idx="8">
                  <v>4</v>
                </pt>
                <pt idx="9">
                  <v>4.5</v>
                </pt>
                <pt idx="10">
                  <v>5</v>
                </pt>
                <pt idx="11">
                  <v>5.5</v>
                </pt>
                <pt idx="12">
                  <v>6</v>
                </pt>
                <pt idx="13">
                  <v>6.5</v>
                </pt>
                <pt idx="14">
                  <v>7</v>
                </pt>
                <pt idx="15">
                  <v>7.5</v>
                </pt>
                <pt idx="16">
                  <v>8</v>
                </pt>
                <pt idx="17">
                  <v>8.5</v>
                </pt>
                <pt idx="18">
                  <v>9</v>
                </pt>
                <pt idx="19">
                  <v>9.5</v>
                </pt>
                <pt idx="20">
                  <v>10</v>
                </pt>
              </numCache>
            </numRef>
          </xVal>
          <yVal>
            <numRef>
              <f>'Pump Curve'!$G$5:$G$25</f>
              <numCache>
                <formatCode>0.00</formatCode>
                <ptCount val="21"/>
                <pt idx="0">
                  <v>12</v>
                </pt>
                <pt idx="1">
                  <v>11.9125</v>
                </pt>
                <pt idx="2">
                  <v>11.65</v>
                </pt>
                <pt idx="3">
                  <v>11.2125</v>
                </pt>
                <pt idx="4">
                  <v>10.6</v>
                </pt>
                <pt idx="5">
                  <v>9.8125</v>
                </pt>
                <pt idx="6">
                  <v>8.85</v>
                </pt>
                <pt idx="7">
                  <v>7.7125</v>
                </pt>
                <pt idx="8">
                  <v>6.4</v>
                </pt>
                <pt idx="9">
                  <v>4.9125</v>
                </pt>
                <pt idx="10">
                  <v>3.25</v>
                </pt>
                <pt idx="11">
                  <v>1.4125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</numCache>
            </numRef>
          </yVal>
          <smooth val="1"/>
        </ser>
        <axId val="54597356"/>
        <axId val="6901910"/>
      </scatterChart>
      <valAx>
        <axId val="54597356"/>
        <scaling>
          <orientation val="minMax"/>
        </scaling>
        <delete val="0"/>
        <axPos val="b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Flow (L/s)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901910"/>
        <crosses val="autoZero"/>
        <crossBetween val="midCat"/>
      </valAx>
      <valAx>
        <axId val="690191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sz="1300" b="0" strike="noStrike">
                    <a:uFillTx/>
                    <a:latin typeface="Arial"/>
                  </a:defRPr>
                </a:pPr>
                <a:r>
                  <a:rPr sz="1000" b="1" strike="noStrike">
                    <a:solidFill>
                      <a:srgbClr val="000000"/>
                    </a:solidFill>
                    <a:uFillTx/>
                    <a:latin typeface="Calibri"/>
                  </a:rPr>
                  <a:t>Head (m)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0.00" sourceLinked="1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4597356"/>
        <crosses val="autoZero"/>
        <crossBetween val="midCat"/>
      </valAx>
    </plotArea>
    <legend>
      <legendPos val="b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Codex</author>
  </authors>
  <commentList>
    <comment ref="B5" authorId="0" shapeId="0">
      <text>
        <t>Used only as a preliminary industrial wastewater proxy, not roof runoff.</t>
      </text>
    </comment>
    <comment ref="F5" authorId="0" shapeId="0">
      <text>
        <t>Circular wet well diameter.</t>
      </text>
    </comment>
    <comment ref="B6" authorId="0" shapeId="0">
      <text>
        <t>Replace with company water-use data or municipal design criterion if available.</t>
      </text>
    </comment>
    <comment ref="F6" authorId="0" shapeId="0">
      <text>
        <t>Use project datum or temporary relative datum.</t>
      </text>
    </comment>
    <comment ref="B7" authorId="0" shapeId="0">
      <text>
        <t>Enter known staff count or test scenarios.</t>
      </text>
    </comment>
    <comment ref="F7" authorId="0" shapeId="0">
      <text>
        <t>Water level where pump stops.</t>
      </text>
    </comment>
    <comment ref="B8" authorId="0" shapeId="0">
      <text>
        <t>Preliminary value for toilets/handwashing. Increase if showers/cafeteria are present.</t>
      </text>
    </comment>
    <comment ref="F8" authorId="0" shapeId="0">
      <text>
        <t>Water level where lead pump starts.</t>
      </text>
    </comment>
    <comment ref="B9" authorId="0" shapeId="0">
      <text>
        <t>Parts washing, floor washdown, process drains, etc.</t>
      </text>
    </comment>
    <comment ref="F9" authorId="0" shapeId="0">
      <text>
        <t>Alarm level above pump start.</t>
      </text>
    </comment>
    <comment ref="B10" authorId="0" shapeId="0">
      <text>
        <t>Preliminary peaking factor. Confirm with municipality/design criteria.</t>
      </text>
    </comment>
    <comment ref="F10" authorId="0" shapeId="0">
      <text>
        <t>Gravity inlet invert entering wet well.</t>
      </text>
    </comment>
    <comment ref="B11" authorId="0" shapeId="0">
      <text>
        <t>Small sewage pumps often have a practical minimum selected flow.</t>
      </text>
    </comment>
    <comment ref="F11" authorId="0" shapeId="0">
      <text>
        <t>Approximate force-main outlet from station.</t>
      </text>
    </comment>
    <comment ref="B12" authorId="0" shapeId="0">
      <text>
        <t>Optional design margin.</t>
      </text>
    </comment>
    <comment ref="F12" authorId="0" shapeId="0">
      <text>
        <t>Overall preliminary efficiency.</t>
      </text>
    </comment>
    <comment ref="B19" authorId="0" shapeId="0">
      <text>
        <t>Use for settling tank, oil/grit separator, neutralization, or other industrial pretreatment.</t>
      </text>
    </comment>
    <comment ref="F19" authorId="0" shapeId="0">
      <text>
        <t>Use downstream hydraulic grade/tailwater if known.</t>
      </text>
    </comment>
    <comment ref="B20" authorId="0" shapeId="0">
      <text>
        <t>Invert entering pretreatment unit.</t>
      </text>
    </comment>
    <comment ref="F20" authorId="0" shapeId="0">
      <text>
        <t>Invert in receiving manhole.</t>
      </text>
    </comment>
    <comment ref="B21" authorId="0" shapeId="0">
      <text>
        <t>Invert leaving pretreatment unit.</t>
      </text>
    </comment>
    <comment ref="F21" authorId="0" shapeId="0">
      <text>
        <t>Total discharge pipe length.</t>
      </text>
    </comment>
    <comment ref="B22" authorId="0" shapeId="0">
      <text>
        <t>Effective liquid volume.</t>
      </text>
    </comment>
    <comment ref="F22" authorId="0" shapeId="0">
      <text>
        <t>Use actual internal diameter.</t>
      </text>
    </comment>
    <comment ref="B23" authorId="0" shapeId="0">
      <text>
        <t>Preliminary detention target.</t>
      </text>
    </comment>
    <comment ref="F23" authorId="0" shapeId="0">
      <text>
        <t>Preliminary value; revise with pipe material/roughness.</t>
      </text>
    </comment>
    <comment ref="B24" authorId="0" shapeId="0">
      <text>
        <t>Hydraulic loss through device/tank if applicable.</t>
      </text>
    </comment>
    <comment ref="F24" authorId="0" shapeId="0">
      <text>
        <t>Valves, bends, entrance, exit, check valve.</t>
      </text>
    </comment>
    <comment ref="F25" authorId="0" shapeId="0">
      <text>
        <t>Common preliminary lower check for solids transport.</t>
      </text>
    </comment>
    <comment ref="F26" authorId="0" shapeId="0">
      <text>
        <t>Common preliminary upper check for excessive losses.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9</col>
      <colOff>0</colOff>
      <row>7</row>
      <rowOff>0</rowOff>
    </from>
    <to>
      <col>19</col>
      <colOff>364680</colOff>
      <row>21</row>
      <rowOff>225720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H3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8" customWidth="1" style="31" min="1" max="1"/>
    <col width="15" customWidth="1" style="31" min="2" max="2"/>
    <col width="10" customWidth="1" style="31" min="3" max="3"/>
    <col width="60" customWidth="1" style="31" min="4" max="4"/>
    <col width="40" customWidth="1" style="31" min="5" max="5"/>
    <col width="16" customWidth="1" style="31" min="6" max="6"/>
    <col width="12" customWidth="1" style="31" min="7" max="7"/>
    <col width="62" customWidth="1" style="31" min="8" max="8"/>
  </cols>
  <sheetData>
    <row r="1" ht="21" customHeight="1" s="32">
      <c r="A1" s="33" t="inlineStr">
        <is>
          <t>Sanitary / Industrial Wastewater Pump Station - Preliminary Design Inputs</t>
        </is>
      </c>
    </row>
    <row r="2" ht="21" customHeight="1" s="32">
      <c r="A2" s="34" t="inlineStr">
        <is>
          <t>Yellow cells are editable except the fixed external area assumption linked in B5. Placeholder values must be validated with survey, municipal criteria, and process-water data.</t>
        </is>
      </c>
    </row>
    <row r="3" ht="21" customHeight="1" s="32"/>
    <row r="4" ht="21" customHeight="1" s="32">
      <c r="A4" s="35" t="inlineStr">
        <is>
          <t>Wastewater Flow Inputs</t>
        </is>
      </c>
      <c r="E4" s="36" t="inlineStr">
        <is>
          <t>Pump Sump / Control Inputs</t>
        </is>
      </c>
    </row>
    <row r="5" ht="21" customHeight="1" s="32">
      <c r="A5" s="37" t="inlineStr">
        <is>
          <t>Contributing industrial area (linked to fixed assumption)</t>
        </is>
      </c>
      <c r="B5" s="38">
        <f>B29</f>
        <v/>
      </c>
      <c r="C5" s="37" t="inlineStr">
        <is>
          <t>m2</t>
        </is>
      </c>
      <c r="D5" s="39" t="inlineStr">
        <is>
          <t>Linked to fixed external assumption below; keep outside adjustable scenario inputs.</t>
        </is>
      </c>
      <c r="E5" s="37" t="inlineStr">
        <is>
          <t>Sump internal diameter</t>
        </is>
      </c>
      <c r="F5" s="40" t="n">
        <v>1.5</v>
      </c>
      <c r="G5" s="37" t="inlineStr">
        <is>
          <t>m</t>
        </is>
      </c>
      <c r="H5" s="39" t="inlineStr">
        <is>
          <t>Circular wet well diameter.</t>
        </is>
      </c>
    </row>
    <row r="6" ht="21" customHeight="1" s="32">
      <c r="A6" s="37" t="inlineStr">
        <is>
          <t>Unit wastewater allowance by area</t>
        </is>
      </c>
      <c r="B6" s="40" t="n">
        <v>0.5</v>
      </c>
      <c r="C6" s="37" t="inlineStr">
        <is>
          <t>L/m2/d</t>
        </is>
      </c>
      <c r="D6" s="39" t="inlineStr">
        <is>
          <t>Replace with company water-use data or municipal design criterion if available.</t>
        </is>
      </c>
      <c r="E6" s="37" t="inlineStr">
        <is>
          <t>Sump bottom elevation</t>
        </is>
      </c>
      <c r="F6" s="40" t="n">
        <v>100</v>
      </c>
      <c r="G6" s="37" t="inlineStr">
        <is>
          <t>m</t>
        </is>
      </c>
      <c r="H6" s="39" t="inlineStr">
        <is>
          <t>Use project datum or temporary relative datum.</t>
        </is>
      </c>
    </row>
    <row r="7" ht="21" customHeight="1" s="32">
      <c r="A7" s="37" t="inlineStr">
        <is>
          <t>Number of employees</t>
        </is>
      </c>
      <c r="B7" s="40" t="n">
        <v>0</v>
      </c>
      <c r="C7" s="37" t="inlineStr">
        <is>
          <t>persons</t>
        </is>
      </c>
      <c r="D7" s="39" t="inlineStr">
        <is>
          <t>Enter known staff count or test scenarios.</t>
        </is>
      </c>
      <c r="E7" s="37" t="inlineStr">
        <is>
          <t>Pump stop elevation</t>
        </is>
      </c>
      <c r="F7" s="40" t="n">
        <v>100.3</v>
      </c>
      <c r="G7" s="37" t="inlineStr">
        <is>
          <t>m</t>
        </is>
      </c>
      <c r="H7" s="39" t="inlineStr">
        <is>
          <t>Water level where pump stops.</t>
        </is>
      </c>
    </row>
    <row r="8" ht="21" customHeight="1" s="32">
      <c r="A8" s="37" t="inlineStr">
        <is>
          <t>Domestic flow per employee</t>
        </is>
      </c>
      <c r="B8" s="40" t="n">
        <v>75</v>
      </c>
      <c r="C8" s="37" t="inlineStr">
        <is>
          <t>L/p/d</t>
        </is>
      </c>
      <c r="D8" s="39" t="inlineStr">
        <is>
          <t>Preliminary value for toilets/handwashing. Increase if showers/cafeteria are present.</t>
        </is>
      </c>
      <c r="E8" s="37" t="inlineStr">
        <is>
          <t>Pump start elevation</t>
        </is>
      </c>
      <c r="F8" s="40" t="n">
        <v>100.9</v>
      </c>
      <c r="G8" s="37" t="inlineStr">
        <is>
          <t>m</t>
        </is>
      </c>
      <c r="H8" s="39" t="inlineStr">
        <is>
          <t>Water level where lead pump starts.</t>
        </is>
      </c>
    </row>
    <row r="9" ht="21" customHeight="1" s="32">
      <c r="A9" s="37" t="inlineStr">
        <is>
          <t>Process wastewater</t>
        </is>
      </c>
      <c r="B9" s="40" t="n">
        <v>0</v>
      </c>
      <c r="C9" s="37" t="inlineStr">
        <is>
          <t>m3/d</t>
        </is>
      </c>
      <c r="D9" s="39" t="inlineStr">
        <is>
          <t>Parts washing, floor washdown, process drains, etc.</t>
        </is>
      </c>
      <c r="E9" s="37" t="inlineStr">
        <is>
          <t>High alarm elevation</t>
        </is>
      </c>
      <c r="F9" s="40" t="n">
        <v>101.1</v>
      </c>
      <c r="G9" s="37" t="inlineStr">
        <is>
          <t>m</t>
        </is>
      </c>
      <c r="H9" s="39" t="inlineStr">
        <is>
          <t>Alarm level above pump start.</t>
        </is>
      </c>
    </row>
    <row r="10" ht="21" customHeight="1" s="32">
      <c r="A10" s="37" t="inlineStr">
        <is>
          <t>Peak factor</t>
        </is>
      </c>
      <c r="B10" s="40" t="n">
        <v>4</v>
      </c>
      <c r="C10" s="37" t="inlineStr">
        <is>
          <t>-</t>
        </is>
      </c>
      <c r="D10" s="39" t="inlineStr">
        <is>
          <t>Preliminary peaking factor. Confirm with municipality/design criteria.</t>
        </is>
      </c>
      <c r="E10" s="37" t="inlineStr">
        <is>
          <t>Inlet pipe invert at sump</t>
        </is>
      </c>
      <c r="F10" s="40" t="n">
        <v>100.8</v>
      </c>
      <c r="G10" s="37" t="inlineStr">
        <is>
          <t>m</t>
        </is>
      </c>
      <c r="H10" s="39" t="inlineStr">
        <is>
          <t>Gravity inlet invert entering wet well.</t>
        </is>
      </c>
    </row>
    <row r="11" ht="21" customHeight="1" s="32">
      <c r="A11" s="37" t="inlineStr">
        <is>
          <t>Minimum practical pump flow</t>
        </is>
      </c>
      <c r="B11" s="40" t="n">
        <v>2</v>
      </c>
      <c r="C11" s="37" t="inlineStr">
        <is>
          <t>L/s</t>
        </is>
      </c>
      <c r="D11" s="39" t="inlineStr">
        <is>
          <t>Small sewage pumps often have a practical minimum selected flow.</t>
        </is>
      </c>
      <c r="E11" s="37" t="inlineStr">
        <is>
          <t>Pump discharge/force main invert</t>
        </is>
      </c>
      <c r="F11" s="40" t="n">
        <v>100.75</v>
      </c>
      <c r="G11" s="37" t="inlineStr">
        <is>
          <t>m</t>
        </is>
      </c>
      <c r="H11" s="39" t="inlineStr">
        <is>
          <t>Approximate force-main outlet from station.</t>
        </is>
      </c>
    </row>
    <row r="12" ht="21" customHeight="1" s="32">
      <c r="A12" s="37" t="inlineStr">
        <is>
          <t>Design safety factor on flow</t>
        </is>
      </c>
      <c r="B12" s="40" t="n">
        <v>1</v>
      </c>
      <c r="C12" s="37" t="inlineStr">
        <is>
          <t>-</t>
        </is>
      </c>
      <c r="D12" s="39" t="inlineStr">
        <is>
          <t>Optional design margin.</t>
        </is>
      </c>
      <c r="E12" s="37" t="inlineStr">
        <is>
          <t>Pump efficiency</t>
        </is>
      </c>
      <c r="F12" s="40" t="n">
        <v>0.6</v>
      </c>
      <c r="G12" s="37" t="inlineStr">
        <is>
          <t>-</t>
        </is>
      </c>
      <c r="H12" s="39" t="inlineStr">
        <is>
          <t>Overall preliminary efficiency.</t>
        </is>
      </c>
    </row>
    <row r="13" ht="21" customHeight="1" s="32"/>
    <row r="14" ht="21" customHeight="1" s="32"/>
    <row r="15" ht="21" customHeight="1" s="32"/>
    <row r="16" ht="21" customHeight="1" s="32"/>
    <row r="17" ht="21" customHeight="1" s="32"/>
    <row r="18" ht="21" customHeight="1" s="32">
      <c r="A18" s="41" t="inlineStr">
        <is>
          <t>Pretreatment / Settling Inputs</t>
        </is>
      </c>
      <c r="E18" s="35" t="inlineStr">
        <is>
          <t>Force Main / Discharge Inputs</t>
        </is>
      </c>
    </row>
    <row r="19" ht="21" customHeight="1" s="32">
      <c r="A19" s="37" t="inlineStr">
        <is>
          <t>Pretreatment provided?</t>
        </is>
      </c>
      <c r="B19" s="42" t="inlineStr">
        <is>
          <t>Yes/No</t>
        </is>
      </c>
      <c r="C19" s="37" t="inlineStr">
        <is>
          <t>-</t>
        </is>
      </c>
      <c r="D19" s="39" t="inlineStr">
        <is>
          <t>Use for settling tank, oil/grit separator, neutralization, or other industrial pretreatment.</t>
        </is>
      </c>
      <c r="E19" s="37" t="inlineStr">
        <is>
          <t>Receiving MH water elevation</t>
        </is>
      </c>
      <c r="F19" s="40" t="n">
        <v>103</v>
      </c>
      <c r="G19" s="37" t="inlineStr">
        <is>
          <t>m</t>
        </is>
      </c>
      <c r="H19" s="39" t="inlineStr">
        <is>
          <t>Use downstream hydraulic grade/tailwater if known.</t>
        </is>
      </c>
    </row>
    <row r="20" ht="21" customHeight="1" s="32">
      <c r="A20" s="37" t="inlineStr">
        <is>
          <t>Pretreatment inlet invert</t>
        </is>
      </c>
      <c r="B20" s="40" t="n">
        <v>100.95</v>
      </c>
      <c r="C20" s="37" t="inlineStr">
        <is>
          <t>m</t>
        </is>
      </c>
      <c r="D20" s="39" t="inlineStr">
        <is>
          <t>Invert entering pretreatment unit.</t>
        </is>
      </c>
      <c r="E20" s="37" t="inlineStr">
        <is>
          <t>Receiving MH invert</t>
        </is>
      </c>
      <c r="F20" s="40" t="n">
        <v>102.7</v>
      </c>
      <c r="G20" s="37" t="inlineStr">
        <is>
          <t>m</t>
        </is>
      </c>
      <c r="H20" s="39" t="inlineStr">
        <is>
          <t>Invert in receiving manhole.</t>
        </is>
      </c>
    </row>
    <row r="21" ht="21" customHeight="1" s="32">
      <c r="A21" s="37" t="inlineStr">
        <is>
          <t>Pretreatment outlet invert</t>
        </is>
      </c>
      <c r="B21" s="40" t="n">
        <v>100.85</v>
      </c>
      <c r="C21" s="37" t="inlineStr">
        <is>
          <t>m</t>
        </is>
      </c>
      <c r="D21" s="39" t="inlineStr">
        <is>
          <t>Invert leaving pretreatment unit.</t>
        </is>
      </c>
      <c r="E21" s="37" t="inlineStr">
        <is>
          <t>Force main length</t>
        </is>
      </c>
      <c r="F21" s="40" t="n">
        <v>30</v>
      </c>
      <c r="G21" s="37" t="inlineStr">
        <is>
          <t>m</t>
        </is>
      </c>
      <c r="H21" s="39" t="inlineStr">
        <is>
          <t>Total discharge pipe length.</t>
        </is>
      </c>
    </row>
    <row r="22" ht="21" customHeight="1" s="32">
      <c r="A22" s="37" t="inlineStr">
        <is>
          <t>Provided tank volume</t>
        </is>
      </c>
      <c r="B22" s="40" t="n">
        <v>1.5</v>
      </c>
      <c r="C22" s="37" t="inlineStr">
        <is>
          <t>m3</t>
        </is>
      </c>
      <c r="D22" s="39" t="inlineStr">
        <is>
          <t>Effective liquid volume.</t>
        </is>
      </c>
      <c r="E22" s="37" t="inlineStr">
        <is>
          <t>Force main internal diameter</t>
        </is>
      </c>
      <c r="F22" s="40" t="n">
        <v>0.075</v>
      </c>
      <c r="G22" s="37" t="inlineStr">
        <is>
          <t>m</t>
        </is>
      </c>
      <c r="H22" s="39" t="inlineStr">
        <is>
          <t>Use actual internal diameter.</t>
        </is>
      </c>
    </row>
    <row r="23" ht="21" customHeight="1" s="32">
      <c r="A23" s="37" t="inlineStr">
        <is>
          <t>Target detention at peak</t>
        </is>
      </c>
      <c r="B23" s="40" t="n">
        <v>10</v>
      </c>
      <c r="C23" s="37" t="inlineStr">
        <is>
          <t>min</t>
        </is>
      </c>
      <c r="D23" s="39" t="inlineStr">
        <is>
          <t>Preliminary detention target.</t>
        </is>
      </c>
      <c r="E23" s="37" t="inlineStr">
        <is>
          <t>Darcy friction factor f</t>
        </is>
      </c>
      <c r="F23" s="40" t="n">
        <v>0.025</v>
      </c>
      <c r="G23" s="37" t="inlineStr">
        <is>
          <t>-</t>
        </is>
      </c>
      <c r="H23" s="39" t="inlineStr">
        <is>
          <t>Preliminary value; revise with pipe material/roughness.</t>
        </is>
      </c>
    </row>
    <row r="24" ht="21" customHeight="1" s="32">
      <c r="A24" s="37" t="inlineStr">
        <is>
          <t>Pretreatment headloss</t>
        </is>
      </c>
      <c r="B24" s="40" t="n">
        <v>0.1</v>
      </c>
      <c r="C24" s="37" t="inlineStr">
        <is>
          <t>m</t>
        </is>
      </c>
      <c r="D24" s="39" t="inlineStr">
        <is>
          <t>Hydraulic loss through device/tank if applicable.</t>
        </is>
      </c>
      <c r="E24" s="37" t="inlineStr">
        <is>
          <t>Minor loss coefficient K</t>
        </is>
      </c>
      <c r="F24" s="40" t="n">
        <v>4</v>
      </c>
      <c r="G24" s="37" t="inlineStr">
        <is>
          <t>-</t>
        </is>
      </c>
      <c r="H24" s="39" t="inlineStr">
        <is>
          <t>Valves, bends, entrance, exit, check valve.</t>
        </is>
      </c>
    </row>
    <row r="25" ht="21" customHeight="1" s="32">
      <c r="E25" s="37" t="inlineStr">
        <is>
          <t>Minimum target velocity</t>
        </is>
      </c>
      <c r="F25" s="40" t="n">
        <v>0.6</v>
      </c>
      <c r="G25" s="37" t="inlineStr">
        <is>
          <t>m/s</t>
        </is>
      </c>
      <c r="H25" s="39" t="inlineStr">
        <is>
          <t>Common preliminary lower check for solids transport.</t>
        </is>
      </c>
    </row>
    <row r="26" ht="21" customHeight="1" s="32">
      <c r="E26" s="37" t="inlineStr">
        <is>
          <t>Maximum target velocity</t>
        </is>
      </c>
      <c r="F26" s="40" t="n">
        <v>2.5</v>
      </c>
      <c r="G26" s="37" t="inlineStr">
        <is>
          <t>m/s</t>
        </is>
      </c>
      <c r="H26" s="39" t="inlineStr">
        <is>
          <t>Common preliminary upper check for excessive losses.</t>
        </is>
      </c>
    </row>
    <row r="27" ht="21" customHeight="1" s="32"/>
    <row r="28" ht="21" customHeight="1" s="32">
      <c r="A28" s="41" t="inlineStr">
        <is>
          <t>Fixed External Assumptions (outside editable scenario inputs)</t>
        </is>
      </c>
      <c r="E28" s="37" t="inlineStr">
        <is>
          <t>Design Criteria / Operational Targets</t>
        </is>
      </c>
      <c r="F28" s="40" t="n"/>
      <c r="G28" s="37" t="n"/>
      <c r="H28" s="39" t="n"/>
    </row>
    <row r="29" ht="21" customHeight="1" s="32">
      <c r="A29" s="37" t="inlineStr">
        <is>
          <t>Fixed industrial/roof contributing area</t>
        </is>
      </c>
      <c r="B29" s="43" t="n">
        <v>7600</v>
      </c>
      <c r="C29" s="37" t="inlineStr">
        <is>
          <t>m2</t>
        </is>
      </c>
      <c r="D29" s="39" t="inlineStr">
        <is>
          <t>Owner-provided fixed value. Keep this constant unless the facility footprint is revised.</t>
        </is>
      </c>
      <c r="E29" s="37" t="inlineStr">
        <is>
          <t>Maximum starts per hour (recommended)</t>
        </is>
      </c>
      <c r="F29" s="43" t="n">
        <v>10</v>
      </c>
      <c r="G29" s="37" t="inlineStr">
        <is>
          <t>starts/hr</t>
        </is>
      </c>
      <c r="H29" s="39" t="inlineStr">
        <is>
          <t>Typical municipal preliminary target.</t>
        </is>
      </c>
    </row>
    <row r="30" ht="21" customHeight="1" s="32">
      <c r="E30" s="37" t="inlineStr">
        <is>
          <t>Minimum stop submergence target</t>
        </is>
      </c>
      <c r="F30" s="43" t="n">
        <v>0.3</v>
      </c>
      <c r="G30" s="37" t="inlineStr">
        <is>
          <t>m</t>
        </is>
      </c>
      <c r="H30" s="39" t="inlineStr">
        <is>
          <t>Protect pump hydraulics and avoid vortex/air entrainment.</t>
        </is>
      </c>
    </row>
    <row r="31" ht="21" customHeight="1" s="32">
      <c r="E31" s="37" t="inlineStr">
        <is>
          <t>Minimum emergency storage time (alarm to inlet)</t>
        </is>
      </c>
      <c r="F31" s="43" t="n">
        <v>10</v>
      </c>
      <c r="G31" s="37" t="inlineStr">
        <is>
          <t>min</t>
        </is>
      </c>
      <c r="H31" s="39" t="inlineStr">
        <is>
          <t>Preferred buffer before inlet surcharge at peak inflow.</t>
        </is>
      </c>
    </row>
    <row r="32" ht="21" customHeight="1" s="32">
      <c r="E32" s="37" t="inlineStr">
        <is>
          <t>Motor service factor</t>
        </is>
      </c>
      <c r="F32" s="43" t="n">
        <v>1.15</v>
      </c>
      <c r="G32" s="37" t="inlineStr">
        <is>
          <t>-</t>
        </is>
      </c>
      <c r="H32" s="39" t="inlineStr">
        <is>
          <t>Apply to preliminary motor sizing.</t>
        </is>
      </c>
    </row>
    <row r="33" ht="21" customHeight="1" s="32">
      <c r="E33" s="37" t="inlineStr">
        <is>
          <t>Duty pumps in parallel (normal operation)</t>
        </is>
      </c>
      <c r="F33" s="43" t="n">
        <v>1</v>
      </c>
      <c r="G33" s="37" t="inlineStr">
        <is>
          <t>-</t>
        </is>
      </c>
      <c r="H33" s="39" t="inlineStr">
        <is>
          <t>Use 1 for duty+standby; set &gt;1 if pumps run in parallel.</t>
        </is>
      </c>
    </row>
    <row r="34" ht="21" customHeight="1" s="32">
      <c r="E34" s="37" t="inlineStr">
        <is>
          <t>Standby pumps (N+1)</t>
        </is>
      </c>
      <c r="F34" s="43" t="n">
        <v>1</v>
      </c>
      <c r="G34" s="37" t="inlineStr">
        <is>
          <t>-</t>
        </is>
      </c>
      <c r="H34" s="39" t="inlineStr">
        <is>
          <t>For redundancy check and procurement definition.</t>
        </is>
      </c>
    </row>
    <row r="35" ht="21" customHeight="1" s="32">
      <c r="E35" s="37" t="inlineStr">
        <is>
          <t>Future flow factor</t>
        </is>
      </c>
      <c r="F35" s="43" t="n">
        <v>1</v>
      </c>
      <c r="G35" s="37" t="inlineStr">
        <is>
          <t>-</t>
        </is>
      </c>
      <c r="H35" s="39" t="inlineStr">
        <is>
          <t>Multiply average flow to account for growth/uncertainty.</t>
        </is>
      </c>
    </row>
    <row r="36" ht="21" customHeight="1" s="32"/>
    <row r="37" ht="21" customHeight="1" s="32"/>
    <row r="38" ht="21" customHeight="1" s="32"/>
    <row r="39" ht="21" customHeight="1" s="32"/>
    <row r="40" ht="21" customHeight="1" s="32"/>
    <row r="41" ht="21" customHeight="1" s="32"/>
    <row r="42" ht="21" customHeight="1" s="32"/>
    <row r="43" ht="21" customHeight="1" s="32"/>
    <row r="44" ht="21" customHeight="1" s="32"/>
    <row r="45" ht="21" customHeight="1" s="32"/>
    <row r="46" ht="21" customHeight="1" s="32"/>
    <row r="47" ht="21" customHeight="1" s="32"/>
    <row r="48" ht="21" customHeight="1" s="32"/>
    <row r="49" ht="21" customHeight="1" s="32"/>
    <row r="50" ht="21" customHeight="1" s="32"/>
    <row r="51" ht="21" customHeight="1" s="32"/>
    <row r="52" ht="21" customHeight="1" s="32"/>
    <row r="53" ht="21" customHeight="1" s="32"/>
    <row r="54" ht="21" customHeight="1" s="32"/>
    <row r="55" ht="21" customHeight="1" s="32"/>
    <row r="56" ht="21" customHeight="1" s="32"/>
    <row r="57" ht="21" customHeight="1" s="32"/>
    <row r="58" ht="21" customHeight="1" s="32"/>
    <row r="59" ht="21" customHeight="1" s="32"/>
    <row r="60" ht="21" customHeight="1" s="32"/>
    <row r="61" ht="21" customHeight="1" s="32"/>
    <row r="62" ht="21" customHeight="1" s="32"/>
    <row r="63" ht="21" customHeight="1" s="32"/>
    <row r="64" ht="21" customHeight="1" s="32"/>
    <row r="65" ht="21" customHeight="1" s="32"/>
    <row r="66" ht="21" customHeight="1" s="32"/>
    <row r="67" ht="21" customHeight="1" s="32"/>
    <row r="68" ht="21" customHeight="1" s="32"/>
    <row r="69" ht="21" customHeight="1" s="32"/>
    <row r="70" ht="21" customHeight="1" s="32"/>
    <row r="71" ht="21" customHeight="1" s="32"/>
    <row r="72" ht="21" customHeight="1" s="32"/>
    <row r="73" ht="21" customHeight="1" s="32"/>
    <row r="74" ht="21" customHeight="1" s="32"/>
    <row r="75" ht="21" customHeight="1" s="32"/>
    <row r="76" ht="21" customHeight="1" s="32"/>
    <row r="77" ht="21" customHeight="1" s="32"/>
    <row r="78" ht="21" customHeight="1" s="32"/>
    <row r="79" ht="21" customHeight="1" s="32"/>
  </sheetData>
  <mergeCells count="6">
    <mergeCell ref="A18:D18"/>
    <mergeCell ref="E18:H18"/>
    <mergeCell ref="A4:D4"/>
    <mergeCell ref="A2:H2"/>
    <mergeCell ref="E4:H4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H3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10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34" customWidth="1" style="31" min="1" max="1"/>
    <col width="16" customWidth="1" style="31" min="2" max="2"/>
    <col width="9" customWidth="1" style="31" min="3" max="3"/>
    <col width="42" customWidth="1" style="31" min="4" max="4"/>
    <col width="42" customWidth="1" style="31" min="5" max="5"/>
    <col width="18" customWidth="1" style="31" min="6" max="6"/>
    <col width="10" customWidth="1" style="31" min="7" max="7"/>
    <col width="48" customWidth="1" style="31" min="8" max="8"/>
  </cols>
  <sheetData>
    <row r="1" ht="21" customHeight="1" s="32">
      <c r="A1" s="33" t="inlineStr">
        <is>
          <t>Preliminary Pump Station Design Summary</t>
        </is>
      </c>
    </row>
    <row r="2" ht="21" customHeight="1" s="32"/>
    <row r="3" ht="21" customHeight="1" s="32">
      <c r="A3" s="35" t="inlineStr">
        <is>
          <t>Flow Results</t>
        </is>
      </c>
      <c r="E3" s="36" t="inlineStr">
        <is>
          <t>Wet-Well / Pump Cycle Results</t>
        </is>
      </c>
    </row>
    <row r="4" ht="21" customHeight="1" s="32">
      <c r="A4" s="37" t="inlineStr">
        <is>
          <t>Area-based flow</t>
        </is>
      </c>
      <c r="B4" s="44">
        <f>Inputs!B5*Inputs!B6/1000</f>
        <v/>
      </c>
      <c r="C4" s="37" t="inlineStr">
        <is>
          <t>m3/d</t>
        </is>
      </c>
      <c r="D4" s="31" t="inlineStr">
        <is>
          <t>A preliminary proxy only.</t>
        </is>
      </c>
      <c r="E4" s="37" t="inlineStr">
        <is>
          <t>Active depth</t>
        </is>
      </c>
      <c r="F4" s="44">
        <f>Inputs!F8-Inputs!F7</f>
        <v/>
      </c>
      <c r="G4" s="37" t="inlineStr">
        <is>
          <t>m</t>
        </is>
      </c>
      <c r="H4" s="31" t="inlineStr">
        <is>
          <t>Start minus stop.</t>
        </is>
      </c>
    </row>
    <row r="5" ht="21" customHeight="1" s="32">
      <c r="A5" s="37" t="inlineStr">
        <is>
          <t>Employee domestic flow</t>
        </is>
      </c>
      <c r="B5" s="44">
        <f>Inputs!B7*Inputs!B8/1000</f>
        <v/>
      </c>
      <c r="C5" s="37" t="inlineStr">
        <is>
          <t>m3/d</t>
        </is>
      </c>
      <c r="E5" s="37" t="inlineStr">
        <is>
          <t>Active wet-well volume</t>
        </is>
      </c>
      <c r="F5" s="44">
        <f>PI()*Inputs!F5^2/4*F4</f>
        <v/>
      </c>
      <c r="G5" s="37" t="inlineStr">
        <is>
          <t>m3</t>
        </is>
      </c>
    </row>
    <row r="6" ht="21" customHeight="1" s="32">
      <c r="A6" s="37" t="inlineStr">
        <is>
          <t>Total average flow</t>
        </is>
      </c>
      <c r="B6" s="45">
        <f>(B4+B5+Inputs!B9)*Inputs!F35</f>
        <v/>
      </c>
      <c r="C6" s="37" t="inlineStr">
        <is>
          <t>m3/d</t>
        </is>
      </c>
      <c r="D6" t="inlineStr">
        <is>
          <t>Includes future-flow factor.</t>
        </is>
      </c>
      <c r="E6" s="37" t="inlineStr">
        <is>
          <t>Storage above alarm to inlet</t>
        </is>
      </c>
      <c r="F6" s="44">
        <f>MAX(0,Inputs!F10-Inputs!F9)*PI()*Inputs!F5^2/4</f>
        <v/>
      </c>
      <c r="G6" s="37" t="inlineStr">
        <is>
          <t>m3</t>
        </is>
      </c>
      <c r="H6" s="31" t="inlineStr">
        <is>
          <t>Simple emergency buffer before inlet surcharge.</t>
        </is>
      </c>
    </row>
    <row r="7" ht="21" customHeight="1" s="32">
      <c r="A7" s="37" t="inlineStr">
        <is>
          <t>Peak influent flow</t>
        </is>
      </c>
      <c r="B7" s="45">
        <f>B6*Inputs!B10*1000/86400*Inputs!B12</f>
        <v/>
      </c>
      <c r="C7" s="37" t="inlineStr">
        <is>
          <t>L/s</t>
        </is>
      </c>
      <c r="E7" s="37" t="inlineStr">
        <is>
          <t>Fill time pump off</t>
        </is>
      </c>
      <c r="F7" s="44">
        <f>IF(B7&gt;0,F5/(B7/1000)/60,"")</f>
        <v/>
      </c>
      <c r="G7" s="37" t="inlineStr">
        <is>
          <t>min</t>
        </is>
      </c>
    </row>
    <row r="8" ht="21" customHeight="1" s="32">
      <c r="A8" s="37" t="inlineStr">
        <is>
          <t>Selected pump flow</t>
        </is>
      </c>
      <c r="B8" s="45">
        <f>MAX(B7,Inputs!B11)</f>
        <v/>
      </c>
      <c r="C8" s="37" t="inlineStr">
        <is>
          <t>L/s</t>
        </is>
      </c>
      <c r="E8" s="37" t="inlineStr">
        <is>
          <t>Drawdown time pump on</t>
        </is>
      </c>
      <c r="F8" s="44">
        <f>IF(B8&gt;B7,F5/((B8-B7)/1000)/60,"")</f>
        <v/>
      </c>
      <c r="G8" s="37" t="inlineStr">
        <is>
          <t>min</t>
        </is>
      </c>
    </row>
    <row r="9" ht="21" customHeight="1" s="32">
      <c r="A9" s="37" t="inlineStr">
        <is>
          <t>Selected pump flow</t>
        </is>
      </c>
      <c r="B9" s="45">
        <f>B8/1000</f>
        <v/>
      </c>
      <c r="C9" s="37" t="inlineStr">
        <is>
          <t>m3/s</t>
        </is>
      </c>
      <c r="E9" s="37" t="inlineStr">
        <is>
          <t>Approx starts per hour</t>
        </is>
      </c>
      <c r="F9" s="45">
        <f>IF(AND(F7&gt;0,F8&gt;0),60/(F7+F8),"")</f>
        <v/>
      </c>
      <c r="G9" s="37" t="inlineStr">
        <is>
          <t>starts/hr</t>
        </is>
      </c>
    </row>
    <row r="10" ht="21" customHeight="1" s="32">
      <c r="A10" s="37" t="inlineStr">
        <is>
          <t>Average daily volume</t>
        </is>
      </c>
      <c r="B10" s="44">
        <f>B6</f>
        <v/>
      </c>
      <c r="C10" s="37" t="inlineStr">
        <is>
          <t>m3/d</t>
        </is>
      </c>
      <c r="E10" s="37" t="inlineStr">
        <is>
          <t>Start level above inlet invert</t>
        </is>
      </c>
      <c r="F10" s="44">
        <f>Inputs!F8-Inputs!F10</f>
        <v/>
      </c>
      <c r="G10" s="37" t="inlineStr">
        <is>
          <t>m</t>
        </is>
      </c>
      <c r="H10" s="31" t="inlineStr">
        <is>
          <t>Positive means start level above inlet invert.</t>
        </is>
      </c>
    </row>
    <row r="11" ht="21" customHeight="1" s="32">
      <c r="E11" s="37" t="inlineStr">
        <is>
          <t>Stop submergence above bottom</t>
        </is>
      </c>
      <c r="F11" s="44">
        <f>Inputs!F7-Inputs!F6</f>
        <v/>
      </c>
      <c r="G11" s="37" t="inlineStr">
        <is>
          <t>m</t>
        </is>
      </c>
    </row>
    <row r="12" ht="21" customHeight="1" s="32">
      <c r="E12" s="37" t="inlineStr">
        <is>
          <t>Emergency storage time (alarm to inlet)</t>
        </is>
      </c>
      <c r="F12" s="45">
        <f>IF(B7&gt;0,F6/(B7/1000)/60,"")</f>
        <v/>
      </c>
      <c r="G12" s="37" t="inlineStr">
        <is>
          <t>min</t>
        </is>
      </c>
      <c r="H12" s="31" t="inlineStr">
        <is>
          <t>Time from high alarm to inlet surcharge at peak inflow.</t>
        </is>
      </c>
    </row>
    <row r="13" ht="21" customHeight="1" s="32">
      <c r="E13" s="37" t="inlineStr">
        <is>
          <t>Required active volume @ starts limit</t>
        </is>
      </c>
      <c r="F13" s="45">
        <f>IF(OR(Inputs!F29&lt;=0,B7&lt;=0,B8&lt;=B7),"",3600/Inputs!F29/(1/(B7/1000)+1/((B8-B7)/1000)))</f>
        <v/>
      </c>
      <c r="G13" s="37" t="inlineStr">
        <is>
          <t>m3</t>
        </is>
      </c>
      <c r="H13" s="31" t="inlineStr">
        <is>
          <t>Minimum active volume to keep starts/hr within target.</t>
        </is>
      </c>
    </row>
    <row r="14" ht="21" customHeight="1" s="32">
      <c r="E14" s="37" t="inlineStr">
        <is>
          <t>Active volume margin vs starts limit</t>
        </is>
      </c>
      <c r="F14" s="45">
        <f>IF(F13="","",F5-F13)</f>
        <v/>
      </c>
      <c r="G14" s="37" t="inlineStr">
        <is>
          <t>m3</t>
        </is>
      </c>
      <c r="H14" s="31" t="inlineStr">
        <is>
          <t>Positive means wet-well active storage is adequate.</t>
        </is>
      </c>
    </row>
    <row r="15" ht="21" customHeight="1" s="32"/>
    <row r="16" ht="21" customHeight="1" s="32">
      <c r="A16" s="35" t="inlineStr">
        <is>
          <t>Force Main / TDH Results</t>
        </is>
      </c>
      <c r="E16" s="41" t="inlineStr">
        <is>
          <t>Pretreatment Results</t>
        </is>
      </c>
    </row>
    <row r="17" ht="21" customHeight="1" s="32">
      <c r="A17" s="37" t="inlineStr">
        <is>
          <t>Force main area</t>
        </is>
      </c>
      <c r="B17" s="45">
        <f>PI()*Inputs!F22^2/4</f>
        <v/>
      </c>
      <c r="C17" s="37" t="inlineStr">
        <is>
          <t>m2</t>
        </is>
      </c>
      <c r="E17" s="37" t="inlineStr">
        <is>
          <t>Pretreatment invert drop</t>
        </is>
      </c>
      <c r="F17" s="44">
        <f>IF(OR(UPPER(TRIM(Inputs!B19))="YES",UPPER(TRIM(Inputs!B19))="OUI",UPPER(TRIM(Inputs!B19))="Y"),Inputs!B20-Inputs!B21,0)</f>
        <v/>
      </c>
      <c r="G17" s="37" t="inlineStr">
        <is>
          <t>m</t>
        </is>
      </c>
    </row>
    <row r="18" ht="21" customHeight="1" s="32">
      <c r="A18" s="37" t="inlineStr">
        <is>
          <t>Force main velocity</t>
        </is>
      </c>
      <c r="B18" s="45">
        <f>IF(B17&gt;0,B9/B17,"")</f>
        <v/>
      </c>
      <c r="C18" s="37" t="inlineStr">
        <is>
          <t>m/s</t>
        </is>
      </c>
      <c r="E18" s="37" t="inlineStr">
        <is>
          <t>Average detention</t>
        </is>
      </c>
      <c r="F18" s="44">
        <f>IF(AND(OR(UPPER(TRIM(Inputs!B19))="YES",UPPER(TRIM(Inputs!B19))="OUI",UPPER(TRIM(Inputs!B19))="Y"),B6&gt;0),Inputs!B22/B6*1440,"")</f>
        <v/>
      </c>
      <c r="G18" s="37" t="inlineStr">
        <is>
          <t>min</t>
        </is>
      </c>
    </row>
    <row r="19" ht="21" customHeight="1" s="32">
      <c r="A19" s="37" t="inlineStr">
        <is>
          <t>Velocity head</t>
        </is>
      </c>
      <c r="B19" s="44">
        <f>B18^2/(2*9.81)</f>
        <v/>
      </c>
      <c r="C19" s="37" t="inlineStr">
        <is>
          <t>m</t>
        </is>
      </c>
      <c r="E19" s="37" t="inlineStr">
        <is>
          <t>Peak detention</t>
        </is>
      </c>
      <c r="F19" s="44">
        <f>IF(AND(OR(UPPER(TRIM(Inputs!B19))="YES",UPPER(TRIM(Inputs!B19))="OUI",UPPER(TRIM(Inputs!B19))="Y"),B7&gt;0),Inputs!B22/(B7/1000)/60,"")</f>
        <v/>
      </c>
      <c r="G19" s="37" t="inlineStr">
        <is>
          <t>min</t>
        </is>
      </c>
    </row>
    <row r="20" ht="21" customHeight="1" s="32">
      <c r="A20" s="37" t="inlineStr">
        <is>
          <t>Friction headloss</t>
        </is>
      </c>
      <c r="B20" s="45">
        <f>IF(OR(Inputs!F22&lt;=0,Inputs!F21&lt;0),"",Inputs!F23*(Inputs!F21/Inputs!F22)*B19)</f>
        <v/>
      </c>
      <c r="C20" s="37" t="inlineStr">
        <is>
          <t>m</t>
        </is>
      </c>
      <c r="D20" s="31" t="inlineStr">
        <is>
          <t>Darcy-Weisbach.</t>
        </is>
      </c>
      <c r="E20" s="37" t="inlineStr">
        <is>
          <t>Required volume at target</t>
        </is>
      </c>
      <c r="F20" s="44">
        <f>IF(OR(UPPER(TRIM(Inputs!B19))="YES",UPPER(TRIM(Inputs!B19))="OUI",UPPER(TRIM(Inputs!B19))="Y"),Inputs!B23*(B7/1000)*60,"")</f>
        <v/>
      </c>
      <c r="G20" s="37" t="inlineStr">
        <is>
          <t>m3</t>
        </is>
      </c>
    </row>
    <row r="21" ht="21" customHeight="1" s="32">
      <c r="A21" s="37" t="inlineStr">
        <is>
          <t>Minor losses</t>
        </is>
      </c>
      <c r="B21" s="45">
        <f>IF(B19="","",Inputs!F24*B19)</f>
        <v/>
      </c>
      <c r="C21" s="37" t="inlineStr">
        <is>
          <t>m</t>
        </is>
      </c>
      <c r="E21" s="37" t="inlineStr">
        <is>
          <t>Volume margin</t>
        </is>
      </c>
      <c r="F21" s="44">
        <f>IF(F20="","",Inputs!B22-F20)</f>
        <v/>
      </c>
      <c r="G21" s="37" t="inlineStr">
        <is>
          <t>m3</t>
        </is>
      </c>
      <c r="H21" s="31" t="inlineStr">
        <is>
          <t>Positive is OK.</t>
        </is>
      </c>
    </row>
    <row r="22" ht="21" customHeight="1" s="32">
      <c r="A22" s="37" t="inlineStr">
        <is>
          <t>Static lift</t>
        </is>
      </c>
      <c r="B22" s="45">
        <f>MAX(0,Inputs!F19-Inputs!F7)</f>
        <v/>
      </c>
      <c r="C22" s="37" t="inlineStr">
        <is>
          <t>m</t>
        </is>
      </c>
      <c r="D22" s="31" t="inlineStr">
        <is>
          <t>Receiving water level minus pump stop elevation.</t>
        </is>
      </c>
      <c r="E22" s="37" t="inlineStr">
        <is>
          <t>Pretreatment status</t>
        </is>
      </c>
      <c r="F22" s="46">
        <f>IF(OR(UPPER(TRIM(Inputs!B19))="YES",UPPER(TRIM(Inputs!B19))="OUI",UPPER(TRIM(Inputs!B19))="Y"),IF(Inputs!B22=0,"Pretreatment selected but no volume entered",IF(F21&gt;=0,"Pretreatment volume OK","Increase pretreatment volume")),"Pretreatment not included in sizing")</f>
        <v/>
      </c>
      <c r="G22" s="37" t="inlineStr">
        <is>
          <t>-</t>
        </is>
      </c>
    </row>
    <row r="23" ht="21" customHeight="1" s="32">
      <c r="A23" s="37" t="inlineStr">
        <is>
          <t>Total dynamic head</t>
        </is>
      </c>
      <c r="B23" s="45">
        <f>SUM(B20:B22)</f>
        <v/>
      </c>
      <c r="C23" s="37" t="inlineStr">
        <is>
          <t>m</t>
        </is>
      </c>
    </row>
    <row r="24" ht="21" customHeight="1" s="32">
      <c r="A24" s="37" t="inlineStr">
        <is>
          <t>Approx hydraulic power</t>
        </is>
      </c>
      <c r="B24" s="45">
        <f>IF(OR(B9="",B23=""),"",B9*9.81*1000*B23/1000)</f>
        <v/>
      </c>
      <c r="C24" s="37" t="inlineStr">
        <is>
          <t>kW</t>
        </is>
      </c>
      <c r="D24" s="31" t="inlineStr">
        <is>
          <t>Water power only.</t>
        </is>
      </c>
      <c r="E24" s="37" t="inlineStr">
        <is>
          <t>Best-fit operating flow (from curve)</t>
        </is>
      </c>
      <c r="F24" s="45">
        <f>IFERROR('Pump Curve'!K9,"")</f>
        <v/>
      </c>
      <c r="G24" s="37" t="inlineStr">
        <is>
          <t>L/s</t>
        </is>
      </c>
      <c r="H24" t="inlineStr">
        <is>
          <t>Closest intersection between trial pump and system curves.</t>
        </is>
      </c>
    </row>
    <row r="25" ht="21" customHeight="1" s="32">
      <c r="A25" s="37" t="inlineStr">
        <is>
          <t>Approx motor power</t>
        </is>
      </c>
      <c r="B25" s="45">
        <f>IF(Inputs!F12&gt;0,B24/Inputs!F12,"")</f>
        <v/>
      </c>
      <c r="C25" s="37" t="inlineStr">
        <is>
          <t>kW</t>
        </is>
      </c>
      <c r="D25" s="31" t="inlineStr">
        <is>
          <t>Preliminary.</t>
        </is>
      </c>
      <c r="E25" s="37" t="inlineStr">
        <is>
          <t>Best-fit system TDH</t>
        </is>
      </c>
      <c r="F25" s="45">
        <f>IFERROR('Pump Curve'!K10,"")</f>
        <v/>
      </c>
      <c r="G25" s="37" t="inlineStr">
        <is>
          <t>m</t>
        </is>
      </c>
    </row>
    <row r="26" ht="21" customHeight="1" s="32">
      <c r="A26" s="37" t="inlineStr">
        <is>
          <t>Force main internal volume</t>
        </is>
      </c>
      <c r="B26" s="45">
        <f>B17*Inputs!F21</f>
        <v/>
      </c>
      <c r="C26" s="37" t="inlineStr">
        <is>
          <t>m3</t>
        </is>
      </c>
      <c r="D26" s="31" t="inlineStr">
        <is>
          <t>Useful for septicity and retention checks.</t>
        </is>
      </c>
      <c r="E26" s="37" t="inlineStr">
        <is>
          <t>Best-fit motor power (with service factor)</t>
        </is>
      </c>
      <c r="F26" s="45">
        <f>IFERROR('Pump Curve'!K14*Inputs!F32,"")</f>
        <v/>
      </c>
      <c r="G26" s="37" t="inlineStr">
        <is>
          <t>kW</t>
        </is>
      </c>
      <c r="H26" t="inlineStr">
        <is>
          <t>Preliminary motor sizing check.</t>
        </is>
      </c>
    </row>
    <row r="27" ht="21" customHeight="1" s="32">
      <c r="A27" s="37" t="inlineStr">
        <is>
          <t>Force-main retention at average flow</t>
        </is>
      </c>
      <c r="B27" s="45">
        <f>IF(B6&gt;0,B26/(B6/1440),"")</f>
        <v/>
      </c>
      <c r="C27" s="37" t="inlineStr">
        <is>
          <t>min</t>
        </is>
      </c>
      <c r="D27" s="31" t="inlineStr">
        <is>
          <t>Long retention can drive odor and corrosion risk.</t>
        </is>
      </c>
      <c r="E27" s="37" t="inlineStr">
        <is>
          <t>Head residual at best fit (pump-system)</t>
        </is>
      </c>
      <c r="F27" s="45">
        <f>IFERROR('Pump Curve'!K12,"")</f>
        <v/>
      </c>
      <c r="G27" s="37" t="inlineStr">
        <is>
          <t>m</t>
        </is>
      </c>
      <c r="H27" t="inlineStr">
        <is>
          <t>Absolute value near zero indicates good match.</t>
        </is>
      </c>
    </row>
    <row r="28" ht="21" customHeight="1" s="32">
      <c r="A28" s="37" t="inlineStr">
        <is>
          <t>Force-main retention at selected flow</t>
        </is>
      </c>
      <c r="B28" s="45">
        <f>IF(B9&gt;0,B26/B9/60,"")</f>
        <v/>
      </c>
      <c r="C28" s="37" t="inlineStr">
        <is>
          <t>min</t>
        </is>
      </c>
      <c r="D28" s="31" t="inlineStr">
        <is>
          <t>During pump operation.</t>
        </is>
      </c>
    </row>
    <row r="29" ht="21" customHeight="1" s="32">
      <c r="A29" s="37" t="inlineStr">
        <is>
          <t>Duty pump flow per operating pump</t>
        </is>
      </c>
      <c r="B29" s="45">
        <f>IF(Inputs!F33&gt;0,B8/Inputs!F33,"")</f>
        <v/>
      </c>
      <c r="C29" s="37" t="inlineStr">
        <is>
          <t>L/s</t>
        </is>
      </c>
      <c r="D29" s="31" t="inlineStr">
        <is>
          <t>Use for vendor pump selection when multiple duty pumps run.</t>
        </is>
      </c>
    </row>
    <row r="30" ht="21" customHeight="1" s="32">
      <c r="A30" s="47" t="inlineStr">
        <is>
          <t>Design Flags</t>
        </is>
      </c>
    </row>
    <row r="31" ht="21" customHeight="1" s="32">
      <c r="A31" s="37" t="inlineStr">
        <is>
          <t>Velocity check</t>
        </is>
      </c>
      <c r="B31" s="48">
        <f>IF(B18="","Check force-main diameter",IF(B18&lt;Inputs!F25,"Velocity low",IF(B18&gt;Inputs!F26,"Velocity high","Velocity OK")))</f>
        <v/>
      </c>
      <c r="C31" s="49" t="n"/>
      <c r="D31" s="49" t="n"/>
      <c r="E31" s="49" t="n"/>
      <c r="F31" s="49" t="n"/>
      <c r="G31" s="49" t="n"/>
      <c r="H31" s="49" t="n"/>
    </row>
    <row r="32" ht="21" customHeight="1" s="32">
      <c r="A32" s="37" t="inlineStr">
        <is>
          <t>Pump cycling check</t>
        </is>
      </c>
      <c r="B32" s="48">
        <f>IF(F9="","Check inputs",IF(F9&gt;Inputs!F29,"Too many starts/hr","Starts/hr preliminary OK"))</f>
        <v/>
      </c>
      <c r="C32" s="49" t="n"/>
      <c r="D32" s="49" t="n"/>
      <c r="E32" s="49" t="n"/>
      <c r="F32" s="49" t="n"/>
      <c r="G32" s="49" t="n"/>
      <c r="H32" s="49" t="n"/>
    </row>
    <row r="33" ht="21" customHeight="1" s="32">
      <c r="A33" s="37" t="inlineStr">
        <is>
          <t>Wet well level check</t>
        </is>
      </c>
      <c r="B33" s="48">
        <f>IF(OR(F4&lt;=0,Inputs!F9&lt;=Inputs!F8,Inputs!F8&lt;=Inputs!F7),"Check control elevations","Wet well levels OK")</f>
        <v/>
      </c>
      <c r="C33" s="49" t="n"/>
      <c r="D33" s="49" t="n"/>
      <c r="E33" s="49" t="n"/>
      <c r="F33" s="49" t="n"/>
      <c r="G33" s="49" t="n"/>
      <c r="H33" s="49" t="n"/>
    </row>
    <row r="34" ht="21" customHeight="1" s="32">
      <c r="A34" s="37" t="inlineStr">
        <is>
          <t>Inlet surcharge warning</t>
        </is>
      </c>
      <c r="B34" s="48">
        <f>IF(F10&gt;0,"Pump start above inlet invert - check surcharge","Pump start below inlet invert")</f>
        <v/>
      </c>
      <c r="C34" s="49" t="n"/>
      <c r="D34" s="49" t="n"/>
      <c r="E34" s="49" t="n"/>
      <c r="F34" s="49" t="n"/>
      <c r="G34" s="49" t="n"/>
      <c r="H34" s="49" t="n"/>
    </row>
    <row r="35" ht="21" customHeight="1" s="32">
      <c r="A35" s="37" t="inlineStr">
        <is>
          <t>Pretreatment check</t>
        </is>
      </c>
      <c r="B35" s="48">
        <f>F22</f>
        <v/>
      </c>
      <c r="C35" s="49" t="n"/>
      <c r="D35" s="49" t="n"/>
      <c r="E35" s="49" t="n"/>
      <c r="F35" s="49" t="n"/>
      <c r="G35" s="49" t="n"/>
      <c r="H35" s="49" t="n"/>
    </row>
    <row r="36" ht="21" customHeight="1" s="32">
      <c r="A36" s="37" t="inlineStr">
        <is>
          <t>Submergence check</t>
        </is>
      </c>
      <c r="B36" s="48">
        <f>IF(F11&gt;=Inputs!F30,"Submergence OK","Increase stop level or sump depth")</f>
        <v/>
      </c>
    </row>
    <row r="37" ht="21" customHeight="1" s="32">
      <c r="A37" s="37" t="inlineStr">
        <is>
          <t>Emergency storage check</t>
        </is>
      </c>
      <c r="B37" s="48">
        <f>IF(F12="","Check levels",IF(F12&gt;=Inputs!F31,"Emergency storage OK","Increase alarm-to-inlet storage"))</f>
        <v/>
      </c>
    </row>
    <row r="38" ht="21" customHeight="1" s="32">
      <c r="A38" s="37" t="inlineStr">
        <is>
          <t>Operating point check</t>
        </is>
      </c>
      <c r="B38" s="48">
        <f>IF(ABS(F27)&lt;=0.5,"Pump/system match OK","Adjust pump selection")</f>
        <v/>
      </c>
    </row>
    <row r="39" ht="21" customHeight="1" s="32"/>
    <row r="40" ht="21" customHeight="1" s="32"/>
    <row r="41" ht="21" customHeight="1" s="32"/>
    <row r="42" ht="21" customHeight="1" s="32"/>
    <row r="43" ht="21" customHeight="1" s="32"/>
    <row r="44" ht="21" customHeight="1" s="32"/>
    <row r="45" ht="21" customHeight="1" s="32"/>
    <row r="46" ht="21" customHeight="1" s="32"/>
    <row r="47" ht="21" customHeight="1" s="32"/>
    <row r="48" ht="21" customHeight="1" s="32"/>
    <row r="49" ht="21" customHeight="1" s="32"/>
    <row r="50" ht="21" customHeight="1" s="32"/>
    <row r="51" ht="21" customHeight="1" s="32"/>
    <row r="52" ht="21" customHeight="1" s="32"/>
    <row r="53" ht="21" customHeight="1" s="32"/>
    <row r="54" ht="21" customHeight="1" s="32"/>
    <row r="55" ht="21" customHeight="1" s="32"/>
    <row r="56" ht="21" customHeight="1" s="32"/>
    <row r="57" ht="21" customHeight="1" s="32"/>
    <row r="58" ht="21" customHeight="1" s="32"/>
    <row r="59" ht="21" customHeight="1" s="32"/>
    <row r="60" ht="21" customHeight="1" s="32"/>
    <row r="61" ht="21" customHeight="1" s="32"/>
    <row r="62" ht="21" customHeight="1" s="32"/>
    <row r="63" ht="21" customHeight="1" s="32"/>
    <row r="64" ht="21" customHeight="1" s="32"/>
    <row r="65" ht="21" customHeight="1" s="32"/>
    <row r="66" ht="21" customHeight="1" s="32"/>
    <row r="67" ht="21" customHeight="1" s="32"/>
    <row r="68" ht="21" customHeight="1" s="32"/>
    <row r="69" ht="21" customHeight="1" s="32"/>
    <row r="70" ht="21" customHeight="1" s="32"/>
    <row r="71" ht="21" customHeight="1" s="32"/>
    <row r="72" ht="21" customHeight="1" s="32"/>
    <row r="73" ht="21" customHeight="1" s="32"/>
    <row r="74" ht="21" customHeight="1" s="32"/>
    <row r="75" ht="21" customHeight="1" s="32"/>
    <row r="76" ht="21" customHeight="1" s="32"/>
    <row r="77" ht="21" customHeight="1" s="32"/>
    <row r="78" ht="21" customHeight="1" s="32"/>
    <row r="79" ht="21" customHeight="1" s="32"/>
  </sheetData>
  <mergeCells count="11">
    <mergeCell ref="B32:H32"/>
    <mergeCell ref="A30:H30"/>
    <mergeCell ref="E3:H3"/>
    <mergeCell ref="B35:H35"/>
    <mergeCell ref="A3:D3"/>
    <mergeCell ref="E16:H16"/>
    <mergeCell ref="A16:D16"/>
    <mergeCell ref="A1:H1"/>
    <mergeCell ref="B33:H33"/>
    <mergeCell ref="B34:H34"/>
    <mergeCell ref="B31:H3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N2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12" customWidth="1" style="31" min="1" max="1"/>
    <col width="16" customWidth="1" style="31" min="2" max="4"/>
    <col width="18" customWidth="1" style="31" min="5" max="8"/>
    <col width="12" customWidth="1" style="32" min="9" max="9"/>
    <col width="42" customWidth="1" style="32" min="10" max="10"/>
    <col width="16" customWidth="1" style="32" min="11" max="11"/>
    <col width="2" customWidth="1" style="32" min="12" max="12"/>
    <col width="44" customWidth="1" style="32" min="13" max="13"/>
  </cols>
  <sheetData>
    <row r="1" ht="21" customHeight="1" s="32">
      <c r="A1" s="33" t="inlineStr">
        <is>
          <t>System Curve and Trial Pump Curve</t>
        </is>
      </c>
    </row>
    <row r="2" ht="21" customHeight="1" s="32"/>
    <row r="3" ht="21" customHeight="1" s="32">
      <c r="A3" s="50" t="inlineStr">
        <is>
          <t>Flow</t>
        </is>
      </c>
      <c r="B3" s="50" t="inlineStr">
        <is>
          <t>Flow</t>
        </is>
      </c>
      <c r="C3" s="50" t="inlineStr">
        <is>
          <t>Velocity</t>
        </is>
      </c>
      <c r="D3" s="50" t="inlineStr">
        <is>
          <t>Static Head</t>
        </is>
      </c>
      <c r="E3" s="50" t="inlineStr">
        <is>
          <t>Friction + Minor</t>
        </is>
      </c>
      <c r="F3" s="50" t="inlineStr">
        <is>
          <t>System TDH</t>
        </is>
      </c>
      <c r="G3" s="50" t="inlineStr">
        <is>
          <t>Trial Pump Head</t>
        </is>
      </c>
      <c r="H3" s="50" t="inlineStr">
        <is>
          <t>Difference</t>
        </is>
      </c>
      <c r="I3" s="50" t="inlineStr">
        <is>
          <t>Abs Difference</t>
        </is>
      </c>
      <c r="J3" s="51" t="inlineStr">
        <is>
          <t>Operating Point (auto-fit)</t>
        </is>
      </c>
      <c r="M3" s="52" t="inlineStr">
        <is>
          <t>Replace column G with manufacturer data when available.</t>
        </is>
      </c>
    </row>
    <row r="4" ht="21" customHeight="1" s="32">
      <c r="A4" s="53" t="inlineStr">
        <is>
          <t>L/s</t>
        </is>
      </c>
      <c r="B4" s="53" t="inlineStr">
        <is>
          <t>m3/s</t>
        </is>
      </c>
      <c r="C4" s="53" t="inlineStr">
        <is>
          <t>m/s</t>
        </is>
      </c>
      <c r="D4" s="53" t="inlineStr">
        <is>
          <t>m</t>
        </is>
      </c>
      <c r="E4" s="53" t="inlineStr">
        <is>
          <t>m</t>
        </is>
      </c>
      <c r="F4" s="53" t="inlineStr">
        <is>
          <t>m</t>
        </is>
      </c>
      <c r="G4" s="53" t="inlineStr">
        <is>
          <t>m</t>
        </is>
      </c>
      <c r="H4" s="53" t="inlineStr">
        <is>
          <t>m</t>
        </is>
      </c>
      <c r="I4" s="53" t="inlineStr">
        <is>
          <t>m</t>
        </is>
      </c>
      <c r="J4" s="52" t="inlineStr">
        <is>
          <t>Based on minimum absolute head difference in column I.</t>
        </is>
      </c>
    </row>
    <row r="5" ht="21" customHeight="1" s="32">
      <c r="A5" s="54" t="n">
        <v>0</v>
      </c>
      <c r="B5" s="54">
        <f>A5/1000</f>
        <v/>
      </c>
      <c r="C5" s="54">
        <f>IF(Inputs!F22&gt;0,B5/(PI()*Inputs!F22^2/4),"")</f>
        <v/>
      </c>
      <c r="D5" s="54">
        <f>MAX(0,Inputs!F19-Inputs!F7)</f>
        <v/>
      </c>
      <c r="E5" s="54">
        <f>(Inputs!F23*(Inputs!F21/Inputs!F22)+Inputs!F24)*(C5^2/(2*9.81))</f>
        <v/>
      </c>
      <c r="F5" s="54">
        <f>D5+E5</f>
        <v/>
      </c>
      <c r="G5" s="54">
        <f>MAX(0,12-0.35*A5^2)</f>
        <v/>
      </c>
      <c r="H5" s="54">
        <f>G5-F5</f>
        <v/>
      </c>
      <c r="I5" s="55">
        <f>ABS(H5)</f>
        <v/>
      </c>
    </row>
    <row r="6" ht="21" customHeight="1" s="32">
      <c r="A6" s="54" t="n">
        <v>0.5</v>
      </c>
      <c r="B6" s="54">
        <f>A6/1000</f>
        <v/>
      </c>
      <c r="C6" s="54">
        <f>IF(Inputs!F22&gt;0,B6/(PI()*Inputs!F22^2/4),"")</f>
        <v/>
      </c>
      <c r="D6" s="54">
        <f>MAX(0,Inputs!F19-Inputs!F7)</f>
        <v/>
      </c>
      <c r="E6" s="54">
        <f>(Inputs!F23*(Inputs!F21/Inputs!F22)+Inputs!F24)*(C6^2/(2*9.81))</f>
        <v/>
      </c>
      <c r="F6" s="54">
        <f>D6+E6</f>
        <v/>
      </c>
      <c r="G6" s="54">
        <f>MAX(0,12-0.35*A6^2)</f>
        <v/>
      </c>
      <c r="H6" s="54">
        <f>G6-F6</f>
        <v/>
      </c>
      <c r="I6" s="55">
        <f>ABS(H6)</f>
        <v/>
      </c>
    </row>
    <row r="7" ht="21" customHeight="1" s="32">
      <c r="A7" s="54" t="n">
        <v>1</v>
      </c>
      <c r="B7" s="54">
        <f>A7/1000</f>
        <v/>
      </c>
      <c r="C7" s="54">
        <f>IF(Inputs!F22&gt;0,B7/(PI()*Inputs!F22^2/4),"")</f>
        <v/>
      </c>
      <c r="D7" s="54">
        <f>MAX(0,Inputs!F19-Inputs!F7)</f>
        <v/>
      </c>
      <c r="E7" s="54">
        <f>(Inputs!F23*(Inputs!F21/Inputs!F22)+Inputs!F24)*(C7^2/(2*9.81))</f>
        <v/>
      </c>
      <c r="F7" s="54">
        <f>D7+E7</f>
        <v/>
      </c>
      <c r="G7" s="54">
        <f>MAX(0,12-0.35*A7^2)</f>
        <v/>
      </c>
      <c r="H7" s="54">
        <f>G7-F7</f>
        <v/>
      </c>
      <c r="I7" s="55">
        <f>ABS(H7)</f>
        <v/>
      </c>
    </row>
    <row r="8" ht="21" customHeight="1" s="32">
      <c r="A8" s="54" t="n">
        <v>1.5</v>
      </c>
      <c r="B8" s="54">
        <f>A8/1000</f>
        <v/>
      </c>
      <c r="C8" s="54">
        <f>IF(Inputs!F22&gt;0,B8/(PI()*Inputs!F22^2/4),"")</f>
        <v/>
      </c>
      <c r="D8" s="54">
        <f>MAX(0,Inputs!F19-Inputs!F7)</f>
        <v/>
      </c>
      <c r="E8" s="54">
        <f>(Inputs!F23*(Inputs!F21/Inputs!F22)+Inputs!F24)*(C8^2/(2*9.81))</f>
        <v/>
      </c>
      <c r="F8" s="54">
        <f>D8+E8</f>
        <v/>
      </c>
      <c r="G8" s="54">
        <f>MAX(0,12-0.35*A8^2)</f>
        <v/>
      </c>
      <c r="H8" s="54">
        <f>G8-F8</f>
        <v/>
      </c>
      <c r="I8" s="54">
        <f>ABS(H8)</f>
        <v/>
      </c>
      <c r="J8" s="51" t="inlineStr">
        <is>
          <t>Best-fit row</t>
        </is>
      </c>
      <c r="K8" s="55">
        <f>MATCH(MIN(I5:I25),I5:I25,0)+4</f>
        <v/>
      </c>
    </row>
    <row r="9" ht="21" customHeight="1" s="32">
      <c r="A9" s="54" t="n">
        <v>2</v>
      </c>
      <c r="B9" s="54">
        <f>A9/1000</f>
        <v/>
      </c>
      <c r="C9" s="54">
        <f>IF(Inputs!F22&gt;0,B9/(PI()*Inputs!F22^2/4),"")</f>
        <v/>
      </c>
      <c r="D9" s="54">
        <f>MAX(0,Inputs!F19-Inputs!F7)</f>
        <v/>
      </c>
      <c r="E9" s="54">
        <f>(Inputs!F23*(Inputs!F21/Inputs!F22)+Inputs!F24)*(C9^2/(2*9.81))</f>
        <v/>
      </c>
      <c r="F9" s="54">
        <f>D9+E9</f>
        <v/>
      </c>
      <c r="G9" s="54">
        <f>MAX(0,12-0.35*A9^2)</f>
        <v/>
      </c>
      <c r="H9" s="54">
        <f>G9-F9</f>
        <v/>
      </c>
      <c r="I9" s="54">
        <f>ABS(H9)</f>
        <v/>
      </c>
      <c r="J9" s="51" t="inlineStr">
        <is>
          <t>Operating flow (L/s)</t>
        </is>
      </c>
      <c r="K9" s="55">
        <f>INDEX(A5:A25,MATCH(MIN(I5:I25),I5:I25,0))</f>
        <v/>
      </c>
    </row>
    <row r="10" ht="21" customHeight="1" s="32">
      <c r="A10" s="54" t="n">
        <v>2.5</v>
      </c>
      <c r="B10" s="54">
        <f>A10/1000</f>
        <v/>
      </c>
      <c r="C10" s="54">
        <f>IF(Inputs!F22&gt;0,B10/(PI()*Inputs!F22^2/4),"")</f>
        <v/>
      </c>
      <c r="D10" s="54">
        <f>MAX(0,Inputs!F19-Inputs!F7)</f>
        <v/>
      </c>
      <c r="E10" s="54">
        <f>(Inputs!F23*(Inputs!F21/Inputs!F22)+Inputs!F24)*(C10^2/(2*9.81))</f>
        <v/>
      </c>
      <c r="F10" s="54">
        <f>D10+E10</f>
        <v/>
      </c>
      <c r="G10" s="54">
        <f>MAX(0,12-0.35*A10^2)</f>
        <v/>
      </c>
      <c r="H10" s="54">
        <f>G10-F10</f>
        <v/>
      </c>
      <c r="I10" s="54">
        <f>ABS(H10)</f>
        <v/>
      </c>
      <c r="J10" s="51" t="inlineStr">
        <is>
          <t>System TDH at operating point (m)</t>
        </is>
      </c>
      <c r="K10" s="55">
        <f>INDEX(F5:F25,MATCH(MIN(I5:I25),I5:I25,0))</f>
        <v/>
      </c>
    </row>
    <row r="11" ht="21" customHeight="1" s="32">
      <c r="A11" s="54" t="n">
        <v>3</v>
      </c>
      <c r="B11" s="54">
        <f>A11/1000</f>
        <v/>
      </c>
      <c r="C11" s="54">
        <f>IF(Inputs!F22&gt;0,B11/(PI()*Inputs!F22^2/4),"")</f>
        <v/>
      </c>
      <c r="D11" s="54">
        <f>MAX(0,Inputs!F19-Inputs!F7)</f>
        <v/>
      </c>
      <c r="E11" s="54">
        <f>(Inputs!F23*(Inputs!F21/Inputs!F22)+Inputs!F24)*(C11^2/(2*9.81))</f>
        <v/>
      </c>
      <c r="F11" s="54">
        <f>D11+E11</f>
        <v/>
      </c>
      <c r="G11" s="54">
        <f>MAX(0,12-0.35*A11^2)</f>
        <v/>
      </c>
      <c r="H11" s="54">
        <f>G11-F11</f>
        <v/>
      </c>
      <c r="I11" s="54">
        <f>ABS(H11)</f>
        <v/>
      </c>
      <c r="J11" s="51" t="inlineStr">
        <is>
          <t>Pump head at operating point (m)</t>
        </is>
      </c>
      <c r="K11" s="55">
        <f>INDEX(G5:G25,MATCH(MIN(I5:I25),I5:I25,0))</f>
        <v/>
      </c>
    </row>
    <row r="12" ht="21" customHeight="1" s="32">
      <c r="A12" s="54" t="n">
        <v>3.5</v>
      </c>
      <c r="B12" s="54">
        <f>A12/1000</f>
        <v/>
      </c>
      <c r="C12" s="54">
        <f>IF(Inputs!F22&gt;0,B12/(PI()*Inputs!F22^2/4),"")</f>
        <v/>
      </c>
      <c r="D12" s="54">
        <f>MAX(0,Inputs!F19-Inputs!F7)</f>
        <v/>
      </c>
      <c r="E12" s="54">
        <f>(Inputs!F23*(Inputs!F21/Inputs!F22)+Inputs!F24)*(C12^2/(2*9.81))</f>
        <v/>
      </c>
      <c r="F12" s="54">
        <f>D12+E12</f>
        <v/>
      </c>
      <c r="G12" s="54">
        <f>MAX(0,12-0.35*A12^2)</f>
        <v/>
      </c>
      <c r="H12" s="54">
        <f>G12-F12</f>
        <v/>
      </c>
      <c r="I12" s="54">
        <f>ABS(H12)</f>
        <v/>
      </c>
      <c r="J12" s="51" t="inlineStr">
        <is>
          <t>Head residual (pump - system) (m)</t>
        </is>
      </c>
      <c r="K12" s="55">
        <f>INDEX(H5:H25,MATCH(MIN(I5:I25),I5:I25,0))</f>
        <v/>
      </c>
    </row>
    <row r="13" ht="21" customHeight="1" s="32">
      <c r="A13" s="54" t="n">
        <v>4</v>
      </c>
      <c r="B13" s="54">
        <f>A13/1000</f>
        <v/>
      </c>
      <c r="C13" s="54">
        <f>IF(Inputs!F22&gt;0,B13/(PI()*Inputs!F22^2/4),"")</f>
        <v/>
      </c>
      <c r="D13" s="54">
        <f>MAX(0,Inputs!F19-Inputs!F7)</f>
        <v/>
      </c>
      <c r="E13" s="54">
        <f>(Inputs!F23*(Inputs!F21/Inputs!F22)+Inputs!F24)*(C13^2/(2*9.81))</f>
        <v/>
      </c>
      <c r="F13" s="54">
        <f>D13+E13</f>
        <v/>
      </c>
      <c r="G13" s="54">
        <f>MAX(0,12-0.35*A13^2)</f>
        <v/>
      </c>
      <c r="H13" s="54">
        <f>G13-F13</f>
        <v/>
      </c>
      <c r="I13" s="54">
        <f>ABS(H13)</f>
        <v/>
      </c>
      <c r="J13" s="51" t="inlineStr">
        <is>
          <t>Flow per duty pump (L/s)</t>
        </is>
      </c>
      <c r="K13" s="55">
        <f>IF(Inputs!F33&gt;0,K9/Inputs!F33,"")</f>
        <v/>
      </c>
    </row>
    <row r="14" ht="21" customHeight="1" s="32">
      <c r="A14" s="54" t="n">
        <v>4.5</v>
      </c>
      <c r="B14" s="54">
        <f>A14/1000</f>
        <v/>
      </c>
      <c r="C14" s="54">
        <f>IF(Inputs!F22&gt;0,B14/(PI()*Inputs!F22^2/4),"")</f>
        <v/>
      </c>
      <c r="D14" s="54">
        <f>MAX(0,Inputs!F19-Inputs!F7)</f>
        <v/>
      </c>
      <c r="E14" s="54">
        <f>(Inputs!F23*(Inputs!F21/Inputs!F22)+Inputs!F24)*(C14^2/(2*9.81))</f>
        <v/>
      </c>
      <c r="F14" s="54">
        <f>D14+E14</f>
        <v/>
      </c>
      <c r="G14" s="54">
        <f>MAX(0,12-0.35*A14^2)</f>
        <v/>
      </c>
      <c r="H14" s="54">
        <f>G14-F14</f>
        <v/>
      </c>
      <c r="I14" s="54">
        <f>ABS(H14)</f>
        <v/>
      </c>
      <c r="J14" s="51" t="inlineStr">
        <is>
          <t>Estimated motor power at op. (kW)</t>
        </is>
      </c>
      <c r="K14" s="55">
        <f>IF(Inputs!F12&gt;0,(K9/1000)*9.81*K10/Inputs!F12,"")</f>
        <v/>
      </c>
    </row>
    <row r="15" ht="21" customHeight="1" s="32">
      <c r="A15" s="54" t="n">
        <v>5</v>
      </c>
      <c r="B15" s="54">
        <f>A15/1000</f>
        <v/>
      </c>
      <c r="C15" s="54">
        <f>IF(Inputs!F22&gt;0,B15/(PI()*Inputs!F22^2/4),"")</f>
        <v/>
      </c>
      <c r="D15" s="54">
        <f>MAX(0,Inputs!F19-Inputs!F7)</f>
        <v/>
      </c>
      <c r="E15" s="54">
        <f>(Inputs!F23*(Inputs!F21/Inputs!F22)+Inputs!F24)*(C15^2/(2*9.81))</f>
        <v/>
      </c>
      <c r="F15" s="54">
        <f>D15+E15</f>
        <v/>
      </c>
      <c r="G15" s="54">
        <f>MAX(0,12-0.35*A15^2)</f>
        <v/>
      </c>
      <c r="H15" s="54">
        <f>G15-F15</f>
        <v/>
      </c>
      <c r="I15" s="54">
        <f>ABS(H15)</f>
        <v/>
      </c>
    </row>
    <row r="16" ht="21" customHeight="1" s="32">
      <c r="A16" s="54" t="n">
        <v>5.5</v>
      </c>
      <c r="B16" s="54">
        <f>A16/1000</f>
        <v/>
      </c>
      <c r="C16" s="54">
        <f>IF(Inputs!F22&gt;0,B16/(PI()*Inputs!F22^2/4),"")</f>
        <v/>
      </c>
      <c r="D16" s="54">
        <f>MAX(0,Inputs!F19-Inputs!F7)</f>
        <v/>
      </c>
      <c r="E16" s="54">
        <f>(Inputs!F23*(Inputs!F21/Inputs!F22)+Inputs!F24)*(C16^2/(2*9.81))</f>
        <v/>
      </c>
      <c r="F16" s="54">
        <f>D16+E16</f>
        <v/>
      </c>
      <c r="G16" s="54">
        <f>MAX(0,12-0.35*A16^2)</f>
        <v/>
      </c>
      <c r="H16" s="54">
        <f>G16-F16</f>
        <v/>
      </c>
      <c r="I16" s="54">
        <f>ABS(H16)</f>
        <v/>
      </c>
    </row>
    <row r="17" ht="21" customHeight="1" s="32">
      <c r="A17" s="54" t="n">
        <v>6</v>
      </c>
      <c r="B17" s="54">
        <f>A17/1000</f>
        <v/>
      </c>
      <c r="C17" s="54">
        <f>IF(Inputs!F22&gt;0,B17/(PI()*Inputs!F22^2/4),"")</f>
        <v/>
      </c>
      <c r="D17" s="54">
        <f>MAX(0,Inputs!F19-Inputs!F7)</f>
        <v/>
      </c>
      <c r="E17" s="54">
        <f>(Inputs!F23*(Inputs!F21/Inputs!F22)+Inputs!F24)*(C17^2/(2*9.81))</f>
        <v/>
      </c>
      <c r="F17" s="54">
        <f>D17+E17</f>
        <v/>
      </c>
      <c r="G17" s="54">
        <f>MAX(0,12-0.35*A17^2)</f>
        <v/>
      </c>
      <c r="H17" s="54">
        <f>G17-F17</f>
        <v/>
      </c>
      <c r="I17" s="54">
        <f>ABS(H17)</f>
        <v/>
      </c>
    </row>
    <row r="18" ht="21" customHeight="1" s="32">
      <c r="A18" s="54" t="n">
        <v>6.5</v>
      </c>
      <c r="B18" s="54">
        <f>A18/1000</f>
        <v/>
      </c>
      <c r="C18" s="54">
        <f>IF(Inputs!F22&gt;0,B18/(PI()*Inputs!F22^2/4),"")</f>
        <v/>
      </c>
      <c r="D18" s="54">
        <f>MAX(0,Inputs!F19-Inputs!F7)</f>
        <v/>
      </c>
      <c r="E18" s="54">
        <f>(Inputs!F23*(Inputs!F21/Inputs!F22)+Inputs!F24)*(C18^2/(2*9.81))</f>
        <v/>
      </c>
      <c r="F18" s="54">
        <f>D18+E18</f>
        <v/>
      </c>
      <c r="G18" s="54">
        <f>MAX(0,12-0.35*A18^2)</f>
        <v/>
      </c>
      <c r="H18" s="54">
        <f>G18-F18</f>
        <v/>
      </c>
      <c r="I18" s="54">
        <f>ABS(H18)</f>
        <v/>
      </c>
    </row>
    <row r="19" ht="21" customHeight="1" s="32">
      <c r="A19" s="54" t="n">
        <v>7</v>
      </c>
      <c r="B19" s="54">
        <f>A19/1000</f>
        <v/>
      </c>
      <c r="C19" s="54">
        <f>IF(Inputs!F22&gt;0,B19/(PI()*Inputs!F22^2/4),"")</f>
        <v/>
      </c>
      <c r="D19" s="54">
        <f>MAX(0,Inputs!F19-Inputs!F7)</f>
        <v/>
      </c>
      <c r="E19" s="54">
        <f>(Inputs!F23*(Inputs!F21/Inputs!F22)+Inputs!F24)*(C19^2/(2*9.81))</f>
        <v/>
      </c>
      <c r="F19" s="54">
        <f>D19+E19</f>
        <v/>
      </c>
      <c r="G19" s="54">
        <f>MAX(0,12-0.35*A19^2)</f>
        <v/>
      </c>
      <c r="H19" s="54">
        <f>G19-F19</f>
        <v/>
      </c>
      <c r="I19" s="54">
        <f>ABS(H19)</f>
        <v/>
      </c>
    </row>
    <row r="20" ht="21" customHeight="1" s="32">
      <c r="A20" s="54" t="n">
        <v>7.5</v>
      </c>
      <c r="B20" s="54">
        <f>A20/1000</f>
        <v/>
      </c>
      <c r="C20" s="54">
        <f>IF(Inputs!F22&gt;0,B20/(PI()*Inputs!F22^2/4),"")</f>
        <v/>
      </c>
      <c r="D20" s="54">
        <f>MAX(0,Inputs!F19-Inputs!F7)</f>
        <v/>
      </c>
      <c r="E20" s="54">
        <f>(Inputs!F23*(Inputs!F21/Inputs!F22)+Inputs!F24)*(C20^2/(2*9.81))</f>
        <v/>
      </c>
      <c r="F20" s="54">
        <f>D20+E20</f>
        <v/>
      </c>
      <c r="G20" s="54">
        <f>MAX(0,12-0.35*A20^2)</f>
        <v/>
      </c>
      <c r="H20" s="54">
        <f>G20-F20</f>
        <v/>
      </c>
      <c r="I20" s="54">
        <f>ABS(H20)</f>
        <v/>
      </c>
    </row>
    <row r="21" ht="21" customHeight="1" s="32">
      <c r="A21" s="54" t="n">
        <v>8</v>
      </c>
      <c r="B21" s="54">
        <f>A21/1000</f>
        <v/>
      </c>
      <c r="C21" s="54">
        <f>IF(Inputs!F22&gt;0,B21/(PI()*Inputs!F22^2/4),"")</f>
        <v/>
      </c>
      <c r="D21" s="54">
        <f>MAX(0,Inputs!F19-Inputs!F7)</f>
        <v/>
      </c>
      <c r="E21" s="54">
        <f>(Inputs!F23*(Inputs!F21/Inputs!F22)+Inputs!F24)*(C21^2/(2*9.81))</f>
        <v/>
      </c>
      <c r="F21" s="54">
        <f>D21+E21</f>
        <v/>
      </c>
      <c r="G21" s="54">
        <f>MAX(0,12-0.35*A21^2)</f>
        <v/>
      </c>
      <c r="H21" s="54">
        <f>G21-F21</f>
        <v/>
      </c>
      <c r="I21" s="54">
        <f>ABS(H21)</f>
        <v/>
      </c>
    </row>
    <row r="22" ht="21" customHeight="1" s="32">
      <c r="A22" s="54" t="n">
        <v>8.5</v>
      </c>
      <c r="B22" s="54">
        <f>A22/1000</f>
        <v/>
      </c>
      <c r="C22" s="54">
        <f>IF(Inputs!F22&gt;0,B22/(PI()*Inputs!F22^2/4),"")</f>
        <v/>
      </c>
      <c r="D22" s="54">
        <f>MAX(0,Inputs!F19-Inputs!F7)</f>
        <v/>
      </c>
      <c r="E22" s="54">
        <f>(Inputs!F23*(Inputs!F21/Inputs!F22)+Inputs!F24)*(C22^2/(2*9.81))</f>
        <v/>
      </c>
      <c r="F22" s="54">
        <f>D22+E22</f>
        <v/>
      </c>
      <c r="G22" s="54">
        <f>MAX(0,12-0.35*A22^2)</f>
        <v/>
      </c>
      <c r="H22" s="54">
        <f>G22-F22</f>
        <v/>
      </c>
      <c r="I22" s="54">
        <f>ABS(H22)</f>
        <v/>
      </c>
    </row>
    <row r="23" ht="21" customHeight="1" s="32">
      <c r="A23" s="54" t="n">
        <v>9</v>
      </c>
      <c r="B23" s="54">
        <f>A23/1000</f>
        <v/>
      </c>
      <c r="C23" s="54">
        <f>IF(Inputs!F22&gt;0,B23/(PI()*Inputs!F22^2/4),"")</f>
        <v/>
      </c>
      <c r="D23" s="54">
        <f>MAX(0,Inputs!F19-Inputs!F7)</f>
        <v/>
      </c>
      <c r="E23" s="54">
        <f>(Inputs!F23*(Inputs!F21/Inputs!F22)+Inputs!F24)*(C23^2/(2*9.81))</f>
        <v/>
      </c>
      <c r="F23" s="54">
        <f>D23+E23</f>
        <v/>
      </c>
      <c r="G23" s="54">
        <f>MAX(0,12-0.35*A23^2)</f>
        <v/>
      </c>
      <c r="H23" s="54">
        <f>G23-F23</f>
        <v/>
      </c>
      <c r="I23" s="54">
        <f>ABS(H23)</f>
        <v/>
      </c>
    </row>
    <row r="24" ht="21" customHeight="1" s="32">
      <c r="A24" s="54" t="n">
        <v>9.5</v>
      </c>
      <c r="B24" s="54">
        <f>A24/1000</f>
        <v/>
      </c>
      <c r="C24" s="54">
        <f>IF(Inputs!F22&gt;0,B24/(PI()*Inputs!F22^2/4),"")</f>
        <v/>
      </c>
      <c r="D24" s="54">
        <f>MAX(0,Inputs!F19-Inputs!F7)</f>
        <v/>
      </c>
      <c r="E24" s="54">
        <f>(Inputs!F23*(Inputs!F21/Inputs!F22)+Inputs!F24)*(C24^2/(2*9.81))</f>
        <v/>
      </c>
      <c r="F24" s="54">
        <f>D24+E24</f>
        <v/>
      </c>
      <c r="G24" s="54">
        <f>MAX(0,12-0.35*A24^2)</f>
        <v/>
      </c>
      <c r="H24" s="54">
        <f>G24-F24</f>
        <v/>
      </c>
      <c r="I24" s="54">
        <f>ABS(H24)</f>
        <v/>
      </c>
    </row>
    <row r="25" ht="21" customHeight="1" s="32">
      <c r="A25" s="54" t="n">
        <v>10</v>
      </c>
      <c r="B25" s="54">
        <f>A25/1000</f>
        <v/>
      </c>
      <c r="C25" s="54">
        <f>IF(Inputs!F22&gt;0,B25/(PI()*Inputs!F22^2/4),"")</f>
        <v/>
      </c>
      <c r="D25" s="54">
        <f>MAX(0,Inputs!F19-Inputs!F7)</f>
        <v/>
      </c>
      <c r="E25" s="54">
        <f>(Inputs!F23*(Inputs!F21/Inputs!F22)+Inputs!F24)*(C25^2/(2*9.81))</f>
        <v/>
      </c>
      <c r="F25" s="54">
        <f>D25+E25</f>
        <v/>
      </c>
      <c r="G25" s="54">
        <f>MAX(0,12-0.35*A25^2)</f>
        <v/>
      </c>
      <c r="H25" s="54">
        <f>G25-F25</f>
        <v/>
      </c>
      <c r="I25" s="54">
        <f>ABS(H25)</f>
        <v/>
      </c>
    </row>
    <row r="26" ht="21" customHeight="1" s="32"/>
    <row r="27" ht="21" customHeight="1" s="32"/>
    <row r="28" ht="21" customHeight="1" s="32"/>
    <row r="29" ht="21" customHeight="1" s="32"/>
    <row r="30" ht="21" customHeight="1" s="32"/>
    <row r="31" ht="21" customHeight="1" s="32"/>
    <row r="32" ht="21" customHeight="1" s="32"/>
    <row r="33" ht="21" customHeight="1" s="32"/>
    <row r="34" ht="21" customHeight="1" s="32"/>
    <row r="35" ht="21" customHeight="1" s="32"/>
    <row r="36" ht="21" customHeight="1" s="32"/>
    <row r="37" ht="21" customHeight="1" s="32"/>
    <row r="38" ht="21" customHeight="1" s="32"/>
    <row r="39" ht="21" customHeight="1" s="32"/>
    <row r="40" ht="21" customHeight="1" s="32"/>
    <row r="41" ht="21" customHeight="1" s="32"/>
    <row r="42" ht="21" customHeight="1" s="32"/>
    <row r="43" ht="21" customHeight="1" s="32"/>
    <row r="44" ht="21" customHeight="1" s="32"/>
    <row r="45" ht="21" customHeight="1" s="32"/>
    <row r="46" ht="21" customHeight="1" s="32"/>
    <row r="47" ht="21" customHeight="1" s="32"/>
    <row r="48" ht="21" customHeight="1" s="32"/>
    <row r="49" ht="21" customHeight="1" s="32"/>
    <row r="50" ht="21" customHeight="1" s="32"/>
    <row r="51" ht="21" customHeight="1" s="32"/>
    <row r="52" ht="21" customHeight="1" s="32"/>
    <row r="53" ht="21" customHeight="1" s="32"/>
    <row r="54" ht="21" customHeight="1" s="32"/>
    <row r="55" ht="21" customHeight="1" s="32"/>
    <row r="56" ht="21" customHeight="1" s="32"/>
    <row r="57" ht="21" customHeight="1" s="32"/>
    <row r="58" ht="21" customHeight="1" s="32"/>
    <row r="59" ht="21" customHeight="1" s="32"/>
    <row r="60" ht="21" customHeight="1" s="32"/>
    <row r="61" ht="21" customHeight="1" s="32"/>
    <row r="62" ht="21" customHeight="1" s="32"/>
    <row r="63" ht="21" customHeight="1" s="32"/>
    <row r="64" ht="21" customHeight="1" s="32"/>
    <row r="65" ht="21" customHeight="1" s="32"/>
    <row r="66" ht="21" customHeight="1" s="32"/>
    <row r="67" ht="21" customHeight="1" s="32"/>
    <row r="68" ht="21" customHeight="1" s="32"/>
    <row r="69" ht="21" customHeight="1" s="32"/>
    <row r="70" ht="21" customHeight="1" s="32"/>
    <row r="71" ht="21" customHeight="1" s="32"/>
    <row r="72" ht="21" customHeight="1" s="32"/>
    <row r="73" ht="21" customHeight="1" s="32"/>
    <row r="74" ht="21" customHeight="1" s="32"/>
    <row r="75" ht="21" customHeight="1" s="32"/>
    <row r="76" ht="21" customHeight="1" s="32"/>
    <row r="77" ht="21" customHeight="1" s="32"/>
    <row r="78" ht="21" customHeight="1" s="32"/>
    <row r="79" ht="21" customHeight="1" s="32"/>
  </sheetData>
  <mergeCells count="2">
    <mergeCell ref="J4:N6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AD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3" topLeftCell="A7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1" zeroHeight="0" outlineLevelRow="0"/>
  <cols>
    <col width="4.3" customWidth="1" style="31" min="1" max="1"/>
    <col width="4.3" customWidth="1" style="31" min="3" max="6"/>
    <col width="10.57" customWidth="1" style="31" min="7" max="7"/>
    <col width="5.71" customWidth="1" style="31" min="8" max="8"/>
    <col width="4.3" customWidth="1" style="31" min="9" max="12"/>
    <col width="12.51" customWidth="1" style="31" min="13" max="13"/>
    <col width="7.5" customWidth="1" style="31" min="14" max="14"/>
    <col width="4.3" customWidth="1" style="31" min="15" max="18"/>
    <col width="14.19" customWidth="1" style="31" min="19" max="19"/>
    <col width="8.210000000000001" customWidth="1" style="31" min="20" max="20"/>
    <col width="4.3" customWidth="1" style="31" min="21" max="24"/>
    <col width="13.22" customWidth="1" style="31" min="25" max="25"/>
    <col width="4.3" customWidth="1" style="31" min="26" max="30"/>
  </cols>
  <sheetData>
    <row r="1" ht="21" customHeight="1" s="32">
      <c r="A1" s="33" t="inlineStr">
        <is>
          <t>Concept Croquis - Sanitary / Industrial Wastewater Pumping System</t>
        </is>
      </c>
    </row>
    <row r="2" ht="21" customHeight="1" s="32"/>
    <row r="3" ht="21" customHeight="1" s="32"/>
    <row r="4" ht="21" customHeight="1" s="32"/>
    <row r="5" ht="21" customHeight="1" s="32"/>
    <row r="6" ht="21" customHeight="1" s="32">
      <c r="N6" s="56" t="inlineStr">
        <is>
          <t>Pump Sump / Wet Well
lead pump + standby pump
start/stop controls</t>
        </is>
      </c>
      <c r="O6" s="57" t="n"/>
      <c r="P6" s="57" t="n"/>
      <c r="Q6" s="57" t="n"/>
      <c r="R6" s="58" t="n"/>
    </row>
    <row r="7" ht="21" customHeight="1" s="32">
      <c r="B7" s="59" t="inlineStr">
        <is>
          <t>Industrial Building
floor drains / sanitary fixtures
process wastewater if connected</t>
        </is>
      </c>
      <c r="C7" s="57" t="n"/>
      <c r="D7" s="57" t="n"/>
      <c r="E7" s="57" t="n"/>
      <c r="F7" s="58" t="n"/>
      <c r="H7" s="60" t="inlineStr">
        <is>
          <t>Pretreatment / Settling
(optional or municipal requirement)</t>
        </is>
      </c>
      <c r="I7" s="57" t="n"/>
      <c r="J7" s="57" t="n"/>
      <c r="K7" s="57" t="n"/>
      <c r="L7" s="58" t="n"/>
      <c r="N7" s="61" t="n"/>
      <c r="R7" s="62" t="n"/>
      <c r="T7" s="63" t="inlineStr">
        <is>
          <t>Receiving Manhole</t>
        </is>
      </c>
      <c r="U7" s="57" t="n"/>
      <c r="V7" s="57" t="n"/>
      <c r="W7" s="57" t="n"/>
      <c r="X7" s="58" t="n"/>
      <c r="Z7" s="64" t="inlineStr">
        <is>
          <t>Municipal Sewer /
Approved Discharge</t>
        </is>
      </c>
      <c r="AA7" s="57" t="n"/>
      <c r="AB7" s="57" t="n"/>
      <c r="AC7" s="57" t="n"/>
      <c r="AD7" s="58" t="n"/>
    </row>
    <row r="8" ht="21" customHeight="1" s="32">
      <c r="B8" s="61" t="n"/>
      <c r="F8" s="62" t="n"/>
      <c r="H8" s="61" t="n"/>
      <c r="L8" s="62" t="n"/>
      <c r="N8" s="61" t="n"/>
      <c r="R8" s="62" t="n"/>
      <c r="T8" s="61" t="n"/>
      <c r="X8" s="62" t="n"/>
      <c r="Z8" s="61" t="n"/>
      <c r="AD8" s="62" t="n"/>
    </row>
    <row r="9" ht="21" customHeight="1" s="32">
      <c r="B9" s="61" t="n"/>
      <c r="F9" s="62" t="n"/>
      <c r="G9" s="65" t="inlineStr">
        <is>
          <t>gravity</t>
        </is>
      </c>
      <c r="H9" s="61" t="n"/>
      <c r="L9" s="62" t="n"/>
      <c r="M9" s="65" t="inlineStr">
        <is>
          <t>gravity</t>
        </is>
      </c>
      <c r="N9" s="61" t="n"/>
      <c r="R9" s="62" t="n"/>
      <c r="S9" s="65" t="inlineStr">
        <is>
          <t>force main</t>
        </is>
      </c>
      <c r="T9" s="61" t="n"/>
      <c r="X9" s="62" t="n"/>
      <c r="Y9" s="65" t="inlineStr">
        <is>
          <t>gravity / pressure</t>
        </is>
      </c>
      <c r="Z9" s="61" t="n"/>
      <c r="AD9" s="62" t="n"/>
    </row>
    <row r="10" ht="21" customHeight="1" s="32">
      <c r="B10" s="61" t="n"/>
      <c r="F10" s="62" t="n"/>
      <c r="G10" s="66">
        <f>&gt;</f>
        <v/>
      </c>
      <c r="H10" s="61" t="n"/>
      <c r="L10" s="62" t="n"/>
      <c r="M10" s="66">
        <f>&gt;</f>
        <v/>
      </c>
      <c r="N10" s="61" t="n"/>
      <c r="R10" s="62" t="n"/>
      <c r="S10" s="66">
        <f>&gt;</f>
        <v/>
      </c>
      <c r="T10" s="61" t="n"/>
      <c r="X10" s="62" t="n"/>
      <c r="Y10" s="66">
        <f>&gt;</f>
        <v/>
      </c>
      <c r="Z10" s="61" t="n"/>
      <c r="AD10" s="62" t="n"/>
    </row>
    <row r="11" ht="21" customHeight="1" s="32">
      <c r="B11" s="61" t="n"/>
      <c r="F11" s="62" t="n"/>
      <c r="H11" s="61" t="n"/>
      <c r="L11" s="62" t="n"/>
      <c r="N11" s="61" t="n"/>
      <c r="R11" s="62" t="n"/>
      <c r="T11" s="61" t="n"/>
      <c r="X11" s="62" t="n"/>
      <c r="Z11" s="61" t="n"/>
      <c r="AD11" s="62" t="n"/>
    </row>
    <row r="12" ht="21" customHeight="1" s="32">
      <c r="B12" s="61" t="n"/>
      <c r="F12" s="62" t="n"/>
      <c r="H12" s="61" t="n"/>
      <c r="L12" s="62" t="n"/>
      <c r="N12" s="61" t="n"/>
      <c r="R12" s="62" t="n"/>
      <c r="T12" s="61" t="n"/>
      <c r="X12" s="62" t="n"/>
      <c r="Z12" s="61" t="n"/>
      <c r="AD12" s="62" t="n"/>
    </row>
    <row r="13" ht="21" customHeight="1" s="32">
      <c r="B13" s="61" t="n"/>
      <c r="F13" s="62" t="n"/>
      <c r="H13" s="61" t="n"/>
      <c r="L13" s="62" t="n"/>
      <c r="N13" s="61" t="n"/>
      <c r="R13" s="62" t="n"/>
      <c r="T13" s="61" t="n"/>
      <c r="X13" s="62" t="n"/>
      <c r="Z13" s="61" t="n"/>
      <c r="AD13" s="62" t="n"/>
    </row>
    <row r="14" ht="21" customHeight="1" s="32">
      <c r="B14" s="67" t="n"/>
      <c r="C14" s="68" t="n"/>
      <c r="D14" s="68" t="n"/>
      <c r="E14" s="68" t="n"/>
      <c r="F14" s="69" t="n"/>
      <c r="H14" s="67" t="n"/>
      <c r="I14" s="68" t="n"/>
      <c r="J14" s="68" t="n"/>
      <c r="K14" s="68" t="n"/>
      <c r="L14" s="69" t="n"/>
      <c r="N14" s="61" t="n"/>
      <c r="R14" s="62" t="n"/>
      <c r="T14" s="67" t="n"/>
      <c r="U14" s="68" t="n"/>
      <c r="V14" s="68" t="n"/>
      <c r="W14" s="68" t="n"/>
      <c r="X14" s="69" t="n"/>
      <c r="Z14" s="67" t="n"/>
      <c r="AA14" s="68" t="n"/>
      <c r="AB14" s="68" t="n"/>
      <c r="AC14" s="68" t="n"/>
      <c r="AD14" s="69" t="n"/>
    </row>
    <row r="15" ht="21" customHeight="1" s="32">
      <c r="N15" s="61" t="n"/>
      <c r="R15" s="62" t="n"/>
    </row>
    <row r="16" ht="21" customHeight="1" s="32">
      <c r="N16" s="67" t="n"/>
      <c r="O16" s="68" t="n"/>
      <c r="P16" s="68" t="n"/>
      <c r="Q16" s="68" t="n"/>
      <c r="R16" s="69" t="n"/>
    </row>
    <row r="17" ht="21" customHeight="1" s="32">
      <c r="B17" s="70" t="inlineStr">
        <is>
          <t>Flow inputs</t>
        </is>
      </c>
      <c r="H17" s="71" t="inlineStr">
        <is>
          <t>Pretreatment volume</t>
        </is>
      </c>
      <c r="T17" s="72" t="inlineStr">
        <is>
          <t>Receiving water level</t>
        </is>
      </c>
    </row>
    <row r="18" ht="21" customHeight="1" s="32">
      <c r="B18" s="73">
        <f>Inputs!B5</f>
        <v/>
      </c>
      <c r="C18" s="31" t="inlineStr">
        <is>
          <t>m2 industrial area</t>
        </is>
      </c>
      <c r="H18" s="73">
        <f>Inputs!B22</f>
        <v/>
      </c>
      <c r="I18" s="31" t="inlineStr">
        <is>
          <t>m3</t>
        </is>
      </c>
      <c r="N18" s="74" t="inlineStr">
        <is>
          <t>Pump start</t>
        </is>
      </c>
      <c r="T18" s="73">
        <f>Inputs!F19</f>
        <v/>
      </c>
      <c r="U18" s="31" t="inlineStr">
        <is>
          <t>m</t>
        </is>
      </c>
    </row>
    <row r="19" ht="21" customHeight="1" s="32">
      <c r="N19" s="73">
        <f>Inputs!F8</f>
        <v/>
      </c>
      <c r="O19" s="31" t="inlineStr">
        <is>
          <t>m</t>
        </is>
      </c>
      <c r="T19" s="72" t="inlineStr">
        <is>
          <t>Force main diameter</t>
        </is>
      </c>
    </row>
    <row r="20" ht="21" customHeight="1" s="32">
      <c r="A20" t="inlineStr">
        <is>
          <t>Industrial area used in sizing is fixed external assumption.</t>
        </is>
      </c>
      <c r="B20">
        <f>Inputs!B29</f>
        <v/>
      </c>
      <c r="C20" t="inlineStr">
        <is>
          <t>m2</t>
        </is>
      </c>
      <c r="N20" s="74" t="inlineStr">
        <is>
          <t>Pump stop</t>
        </is>
      </c>
      <c r="T20" s="73">
        <f>Inputs!F22</f>
        <v/>
      </c>
      <c r="U20" s="31" t="inlineStr">
        <is>
          <t>m</t>
        </is>
      </c>
    </row>
    <row r="21" ht="21" customHeight="1" s="32">
      <c r="N21" s="73">
        <f>Inputs!F7</f>
        <v/>
      </c>
      <c r="O21" s="31" t="inlineStr">
        <is>
          <t>m</t>
        </is>
      </c>
      <c r="T21" s="72" t="inlineStr">
        <is>
          <t>Force main length</t>
        </is>
      </c>
    </row>
    <row r="22" ht="21" customHeight="1" s="32">
      <c r="N22" s="74" t="inlineStr">
        <is>
          <t>Sump bottom</t>
        </is>
      </c>
      <c r="T22" s="73">
        <f>Inputs!F21</f>
        <v/>
      </c>
      <c r="U22" s="31" t="inlineStr">
        <is>
          <t>m</t>
        </is>
      </c>
    </row>
    <row r="23" ht="21" customHeight="1" s="32">
      <c r="N23" s="73">
        <f>Inputs!F6</f>
        <v/>
      </c>
      <c r="O23" s="31" t="inlineStr">
        <is>
          <t>m</t>
        </is>
      </c>
    </row>
    <row r="24" ht="21" customHeight="1" s="32"/>
    <row r="25" ht="21" customHeight="1" s="32"/>
    <row r="26" ht="21" customHeight="1" s="32"/>
    <row r="27" ht="21" customHeight="1" s="32"/>
    <row r="28" ht="21" customHeight="1" s="32"/>
    <row r="29" ht="21" customHeight="1" s="32"/>
    <row r="30" ht="21" customHeight="1" s="32"/>
    <row r="31" ht="21" customHeight="1" s="32"/>
    <row r="32" ht="21" customHeight="1" s="32"/>
    <row r="33" ht="21" customHeight="1" s="32"/>
    <row r="34" ht="21" customHeight="1" s="32"/>
    <row r="35" ht="21" customHeight="1" s="32"/>
    <row r="36" ht="21" customHeight="1" s="32"/>
    <row r="37" ht="21" customHeight="1" s="32"/>
    <row r="38" ht="21" customHeight="1" s="32"/>
    <row r="39" ht="21" customHeight="1" s="32"/>
    <row r="40" ht="21" customHeight="1" s="32"/>
    <row r="41" ht="21" customHeight="1" s="32"/>
    <row r="42" ht="21" customHeight="1" s="32"/>
    <row r="43" ht="21" customHeight="1" s="32"/>
    <row r="44" ht="21" customHeight="1" s="32"/>
    <row r="45" ht="21" customHeight="1" s="32"/>
    <row r="46" ht="21" customHeight="1" s="32"/>
    <row r="47" ht="21" customHeight="1" s="32"/>
    <row r="48" ht="21" customHeight="1" s="32"/>
    <row r="49" ht="21" customHeight="1" s="32"/>
    <row r="50" ht="21" customHeight="1" s="32"/>
    <row r="51" ht="21" customHeight="1" s="32"/>
    <row r="52" ht="21" customHeight="1" s="32"/>
    <row r="53" ht="21" customHeight="1" s="32"/>
    <row r="54" ht="21" customHeight="1" s="32"/>
    <row r="55" ht="21" customHeight="1" s="32"/>
    <row r="56" ht="21" customHeight="1" s="32"/>
    <row r="57" ht="21" customHeight="1" s="32"/>
    <row r="58" ht="21" customHeight="1" s="32"/>
    <row r="59" ht="21" customHeight="1" s="32"/>
    <row r="60" ht="21" customHeight="1" s="32"/>
    <row r="61" ht="21" customHeight="1" s="32"/>
    <row r="62" ht="21" customHeight="1" s="32"/>
    <row r="63" ht="21" customHeight="1" s="32"/>
    <row r="64" ht="21" customHeight="1" s="32"/>
    <row r="65" ht="21" customHeight="1" s="32"/>
    <row r="66" ht="21" customHeight="1" s="32"/>
    <row r="67" ht="21" customHeight="1" s="32"/>
    <row r="68" ht="21" customHeight="1" s="32"/>
    <row r="69" ht="21" customHeight="1" s="32"/>
    <row r="70" ht="21" customHeight="1" s="32"/>
    <row r="71" ht="21" customHeight="1" s="32"/>
    <row r="72" ht="21" customHeight="1" s="32"/>
    <row r="73" ht="21" customHeight="1" s="32"/>
    <row r="74" ht="21" customHeight="1" s="32"/>
    <row r="75" ht="21" customHeight="1" s="32"/>
    <row r="76" ht="21" customHeight="1" s="32"/>
    <row r="77" ht="21" customHeight="1" s="32"/>
    <row r="78" ht="21" customHeight="1" s="32"/>
    <row r="79" ht="21" customHeight="1" s="32"/>
  </sheetData>
  <mergeCells count="14">
    <mergeCell ref="N20:P20"/>
    <mergeCell ref="H7:L14"/>
    <mergeCell ref="T19:V19"/>
    <mergeCell ref="B7:F14"/>
    <mergeCell ref="T7:X14"/>
    <mergeCell ref="Z7:AD14"/>
    <mergeCell ref="N6:R16"/>
    <mergeCell ref="N18:P18"/>
    <mergeCell ref="N22:P22"/>
    <mergeCell ref="B17:D17"/>
    <mergeCell ref="T17:V17"/>
    <mergeCell ref="T21:V21"/>
    <mergeCell ref="H17:J17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landscape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en-CA</dc:language>
  <dcterms:created xsi:type="dcterms:W3CDTF">2026-05-26T12:23:39Z</dcterms:created>
  <dcterms:modified xsi:type="dcterms:W3CDTF">2026-06-09T10:01:54Z</dcterms:modified>
  <cp:revision>1</cp:revision>
</cp:coreProperties>
</file>